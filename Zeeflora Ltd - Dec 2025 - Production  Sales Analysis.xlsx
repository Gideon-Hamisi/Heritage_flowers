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50F7DB6-BBAB-4DAF-B027-039876588414}" xr6:coauthVersionLast="36" xr6:coauthVersionMax="36" xr10:uidLastSave="{00000000-0000-0000-0000-000000000000}"/>
  <bookViews>
    <workbookView xWindow="0" yWindow="0" windowWidth="21600" windowHeight="9840" tabRatio="870" firstSheet="7" activeTab="19" xr2:uid="{00000000-000D-0000-FFFF-FFFF00000000}"/>
  </bookViews>
  <sheets>
    <sheet name="Comparative Sales" sheetId="3" r:id="rId1"/>
    <sheet name="Jan 2025-Prodn &amp; Sales Analysis" sheetId="1" state="hidden" r:id="rId2"/>
    <sheet name="Jan - Colour Code" sheetId="6" state="hidden" r:id="rId3"/>
    <sheet name="Feb 2025 -Prodn&amp; Sales Analysis" sheetId="7" state="hidden" r:id="rId4"/>
    <sheet name="Feb -Colour Code" sheetId="8" state="hidden" r:id="rId5"/>
    <sheet name="March 2025 - Prodn &amp; Sales" sheetId="9" r:id="rId6"/>
    <sheet name="April 2025 - Prodn &amp; Sales" sheetId="14" state="hidden" r:id="rId7"/>
    <sheet name="April - Colour Code" sheetId="15" r:id="rId8"/>
    <sheet name="May 2025 - Prodn &amp; Sales" sheetId="16" state="hidden" r:id="rId9"/>
    <sheet name="June 2025 - Prodn &amp; Sales" sheetId="20" state="hidden" r:id="rId10"/>
    <sheet name="June 2025 - Colour Code" sheetId="21" state="hidden" r:id="rId11"/>
    <sheet name="May - Colour Code" sheetId="19" state="hidden" r:id="rId12"/>
    <sheet name="March - Colour Code" sheetId="10" state="hidden" r:id="rId13"/>
    <sheet name="July 2025- Prodn &amp; Sales" sheetId="23" state="hidden" r:id="rId14"/>
    <sheet name="Aug 2025 - Prodn &amp; Sales" sheetId="25" state="hidden" r:id="rId15"/>
    <sheet name="Sept 2025 - Prodn &amp; Sales" sheetId="29" state="hidden" r:id="rId16"/>
    <sheet name="Sheet2" sheetId="26" state="hidden" r:id="rId17"/>
    <sheet name="July 2025 - Colour Code" sheetId="24" state="hidden" r:id="rId18"/>
    <sheet name="Oct 2025 - Prodn &amp; Sales" sheetId="28" state="hidden" r:id="rId19"/>
    <sheet name="Nov 2025 - Prodn &amp; Sales" sheetId="30" r:id="rId20"/>
    <sheet name="Revenue Per SQM" sheetId="5" r:id="rId21"/>
    <sheet name="Cumulative sales &amp; Prodn" sheetId="13" r:id="rId22"/>
    <sheet name="2025 Cumulative Prodn" sheetId="2" r:id="rId23"/>
    <sheet name="Dec 2025 - Prodn &amp; Sales" sheetId="31" r:id="rId2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0" i="31" l="1"/>
  <c r="P51" i="31"/>
  <c r="P52" i="31"/>
  <c r="P53" i="31"/>
  <c r="P54" i="31"/>
  <c r="P55" i="31"/>
  <c r="P56" i="31"/>
  <c r="P43" i="31"/>
  <c r="P44" i="31"/>
  <c r="P45" i="31"/>
  <c r="P46" i="31"/>
  <c r="P47" i="31"/>
  <c r="P48" i="31"/>
  <c r="P49" i="31"/>
  <c r="P30" i="31"/>
  <c r="P31" i="31"/>
  <c r="P32" i="31"/>
  <c r="P33" i="31"/>
  <c r="P34" i="31"/>
  <c r="P35" i="31"/>
  <c r="P36" i="31"/>
  <c r="P37" i="31"/>
  <c r="P38" i="31"/>
  <c r="P39" i="31"/>
  <c r="P40" i="31"/>
  <c r="P41" i="31"/>
  <c r="P42" i="31"/>
  <c r="O57" i="31" l="1"/>
  <c r="J57" i="31"/>
  <c r="I57" i="31"/>
  <c r="G57" i="31"/>
  <c r="F57" i="31"/>
  <c r="D57" i="31"/>
  <c r="C57" i="31"/>
  <c r="M56" i="31"/>
  <c r="N56" i="31" s="1"/>
  <c r="K56" i="31"/>
  <c r="Q56" i="31" s="1"/>
  <c r="H56" i="31"/>
  <c r="E56" i="31"/>
  <c r="L56" i="31" s="1"/>
  <c r="M55" i="31"/>
  <c r="N55" i="31" s="1"/>
  <c r="K55" i="31"/>
  <c r="Q55" i="31" s="1"/>
  <c r="H55" i="31"/>
  <c r="E55" i="31"/>
  <c r="L55" i="31" s="1"/>
  <c r="M54" i="31"/>
  <c r="N54" i="31" s="1"/>
  <c r="K54" i="31"/>
  <c r="Q54" i="31" s="1"/>
  <c r="H54" i="31"/>
  <c r="E54" i="31"/>
  <c r="L54" i="31" s="1"/>
  <c r="M53" i="31"/>
  <c r="N53" i="31" s="1"/>
  <c r="K53" i="31"/>
  <c r="Q53" i="31" s="1"/>
  <c r="H53" i="31"/>
  <c r="E53" i="31"/>
  <c r="L53" i="31" s="1"/>
  <c r="M52" i="31"/>
  <c r="N52" i="31" s="1"/>
  <c r="K52" i="31"/>
  <c r="Q52" i="31" s="1"/>
  <c r="H52" i="31"/>
  <c r="E52" i="31"/>
  <c r="L52" i="31" s="1"/>
  <c r="M51" i="31"/>
  <c r="N51" i="31" s="1"/>
  <c r="K51" i="31"/>
  <c r="Q51" i="31" s="1"/>
  <c r="H51" i="31"/>
  <c r="E51" i="31"/>
  <c r="L51" i="31" s="1"/>
  <c r="M50" i="31"/>
  <c r="N50" i="31" s="1"/>
  <c r="K50" i="31"/>
  <c r="Q50" i="31" s="1"/>
  <c r="H50" i="31"/>
  <c r="E50" i="31"/>
  <c r="L50" i="31" s="1"/>
  <c r="M49" i="31"/>
  <c r="N49" i="31" s="1"/>
  <c r="K49" i="31"/>
  <c r="Q49" i="31" s="1"/>
  <c r="H49" i="31"/>
  <c r="E49" i="31"/>
  <c r="L49" i="31" s="1"/>
  <c r="M48" i="31"/>
  <c r="N48" i="31" s="1"/>
  <c r="K48" i="31"/>
  <c r="Q48" i="31" s="1"/>
  <c r="H48" i="31"/>
  <c r="E48" i="31"/>
  <c r="L48" i="31" s="1"/>
  <c r="M47" i="31"/>
  <c r="N47" i="31" s="1"/>
  <c r="K47" i="31"/>
  <c r="Q47" i="31" s="1"/>
  <c r="H47" i="31"/>
  <c r="E47" i="31"/>
  <c r="L47" i="31" s="1"/>
  <c r="M46" i="31"/>
  <c r="N46" i="31" s="1"/>
  <c r="K46" i="31"/>
  <c r="Q46" i="31" s="1"/>
  <c r="H46" i="31"/>
  <c r="E46" i="31"/>
  <c r="L46" i="31" s="1"/>
  <c r="M45" i="31"/>
  <c r="N45" i="31" s="1"/>
  <c r="K45" i="31"/>
  <c r="Q45" i="31" s="1"/>
  <c r="H45" i="31"/>
  <c r="E45" i="31"/>
  <c r="L45" i="31" s="1"/>
  <c r="M44" i="31"/>
  <c r="N44" i="31" s="1"/>
  <c r="K44" i="31"/>
  <c r="Q44" i="31" s="1"/>
  <c r="H44" i="31"/>
  <c r="E44" i="31"/>
  <c r="L44" i="31" s="1"/>
  <c r="M43" i="31"/>
  <c r="N43" i="31" s="1"/>
  <c r="K43" i="31"/>
  <c r="Q43" i="31" s="1"/>
  <c r="H43" i="31"/>
  <c r="E43" i="31"/>
  <c r="L43" i="31" s="1"/>
  <c r="M42" i="31"/>
  <c r="N42" i="31" s="1"/>
  <c r="K42" i="31"/>
  <c r="Q42" i="31" s="1"/>
  <c r="H42" i="31"/>
  <c r="E42" i="31"/>
  <c r="L42" i="31" s="1"/>
  <c r="M41" i="31"/>
  <c r="N41" i="31" s="1"/>
  <c r="K41" i="31"/>
  <c r="Q41" i="31" s="1"/>
  <c r="H41" i="31"/>
  <c r="E41" i="31"/>
  <c r="L41" i="31" s="1"/>
  <c r="M40" i="31"/>
  <c r="N40" i="31" s="1"/>
  <c r="K40" i="31"/>
  <c r="Q40" i="31" s="1"/>
  <c r="H40" i="31"/>
  <c r="E40" i="31"/>
  <c r="L40" i="31" s="1"/>
  <c r="M39" i="31"/>
  <c r="N39" i="31" s="1"/>
  <c r="K39" i="31"/>
  <c r="Q39" i="31" s="1"/>
  <c r="H39" i="31"/>
  <c r="E39" i="31"/>
  <c r="L39" i="31" s="1"/>
  <c r="M38" i="31"/>
  <c r="N38" i="31" s="1"/>
  <c r="K38" i="31"/>
  <c r="Q38" i="31" s="1"/>
  <c r="H38" i="31"/>
  <c r="E38" i="31"/>
  <c r="L38" i="31" s="1"/>
  <c r="M37" i="31"/>
  <c r="N37" i="31" s="1"/>
  <c r="K37" i="31"/>
  <c r="Q37" i="31" s="1"/>
  <c r="H37" i="31"/>
  <c r="E37" i="31"/>
  <c r="L37" i="31" s="1"/>
  <c r="M36" i="31"/>
  <c r="N36" i="31" s="1"/>
  <c r="K36" i="31"/>
  <c r="Q36" i="31" s="1"/>
  <c r="H36" i="31"/>
  <c r="E36" i="31"/>
  <c r="L36" i="31" s="1"/>
  <c r="M35" i="31"/>
  <c r="N35" i="31" s="1"/>
  <c r="K35" i="31"/>
  <c r="Q35" i="31" s="1"/>
  <c r="H35" i="31"/>
  <c r="E35" i="31"/>
  <c r="L35" i="31" s="1"/>
  <c r="M34" i="31"/>
  <c r="N34" i="31" s="1"/>
  <c r="K34" i="31"/>
  <c r="Q34" i="31" s="1"/>
  <c r="H34" i="31"/>
  <c r="E34" i="31"/>
  <c r="L34" i="31" s="1"/>
  <c r="M33" i="31"/>
  <c r="N33" i="31" s="1"/>
  <c r="K33" i="31"/>
  <c r="Q33" i="31" s="1"/>
  <c r="H33" i="31"/>
  <c r="E33" i="31"/>
  <c r="L33" i="31" s="1"/>
  <c r="M32" i="31"/>
  <c r="N32" i="31" s="1"/>
  <c r="K32" i="31"/>
  <c r="Q32" i="31" s="1"/>
  <c r="H32" i="31"/>
  <c r="E32" i="31"/>
  <c r="L32" i="31" s="1"/>
  <c r="M31" i="31"/>
  <c r="N31" i="31" s="1"/>
  <c r="K31" i="31"/>
  <c r="Q31" i="31" s="1"/>
  <c r="H31" i="31"/>
  <c r="E31" i="31"/>
  <c r="L31" i="31" s="1"/>
  <c r="M30" i="31"/>
  <c r="N30" i="31" s="1"/>
  <c r="K30" i="31"/>
  <c r="Q30" i="31" s="1"/>
  <c r="H30" i="31"/>
  <c r="E30" i="31"/>
  <c r="L30" i="31" s="1"/>
  <c r="P29" i="31"/>
  <c r="M29" i="31"/>
  <c r="N29" i="31" s="1"/>
  <c r="K29" i="31"/>
  <c r="Q29" i="31" s="1"/>
  <c r="H29" i="31"/>
  <c r="E29" i="31"/>
  <c r="L29" i="31" s="1"/>
  <c r="O26" i="31"/>
  <c r="O60" i="31" s="1"/>
  <c r="J26" i="31"/>
  <c r="J60" i="31" s="1"/>
  <c r="I26" i="31"/>
  <c r="G26" i="31"/>
  <c r="F26" i="31"/>
  <c r="D26" i="31"/>
  <c r="C26" i="31"/>
  <c r="P25" i="31"/>
  <c r="M25" i="31"/>
  <c r="N25" i="31" s="1"/>
  <c r="K25" i="31"/>
  <c r="Q25" i="31" s="1"/>
  <c r="H25" i="31"/>
  <c r="E25" i="31"/>
  <c r="L25" i="31" s="1"/>
  <c r="P24" i="31"/>
  <c r="M24" i="31"/>
  <c r="N24" i="31" s="1"/>
  <c r="K24" i="31"/>
  <c r="Q24" i="31" s="1"/>
  <c r="H24" i="31"/>
  <c r="E24" i="31"/>
  <c r="L24" i="31" s="1"/>
  <c r="M23" i="31"/>
  <c r="N23" i="31" s="1"/>
  <c r="K23" i="31"/>
  <c r="H23" i="31"/>
  <c r="E23" i="31"/>
  <c r="L23" i="31" s="1"/>
  <c r="P22" i="31"/>
  <c r="M22" i="31"/>
  <c r="N22" i="31" s="1"/>
  <c r="K22" i="31"/>
  <c r="Q22" i="31" s="1"/>
  <c r="H22" i="31"/>
  <c r="E22" i="31"/>
  <c r="L22" i="31" s="1"/>
  <c r="P21" i="31"/>
  <c r="N21" i="31"/>
  <c r="K21" i="31"/>
  <c r="H21" i="31"/>
  <c r="E21" i="31"/>
  <c r="L21" i="31" s="1"/>
  <c r="P20" i="31"/>
  <c r="M20" i="31"/>
  <c r="N20" i="31" s="1"/>
  <c r="K20" i="31"/>
  <c r="Q20" i="31" s="1"/>
  <c r="H20" i="31"/>
  <c r="E20" i="31"/>
  <c r="L20" i="31" s="1"/>
  <c r="P19" i="31"/>
  <c r="M19" i="31"/>
  <c r="N19" i="31" s="1"/>
  <c r="K19" i="31"/>
  <c r="Q19" i="31" s="1"/>
  <c r="H19" i="31"/>
  <c r="E19" i="31"/>
  <c r="L19" i="31" s="1"/>
  <c r="P18" i="31"/>
  <c r="M18" i="31"/>
  <c r="N18" i="31" s="1"/>
  <c r="K18" i="31"/>
  <c r="Q18" i="31" s="1"/>
  <c r="H18" i="31"/>
  <c r="E18" i="31"/>
  <c r="L18" i="31" s="1"/>
  <c r="P17" i="31"/>
  <c r="M17" i="31"/>
  <c r="N17" i="31" s="1"/>
  <c r="K17" i="31"/>
  <c r="Q17" i="31" s="1"/>
  <c r="H17" i="31"/>
  <c r="E17" i="31"/>
  <c r="L17" i="31" s="1"/>
  <c r="P16" i="31"/>
  <c r="M16" i="31"/>
  <c r="N16" i="31" s="1"/>
  <c r="K16" i="31"/>
  <c r="Q16" i="31" s="1"/>
  <c r="H16" i="31"/>
  <c r="E16" i="31"/>
  <c r="L16" i="31" s="1"/>
  <c r="P15" i="31"/>
  <c r="M15" i="31"/>
  <c r="N15" i="31" s="1"/>
  <c r="K15" i="31"/>
  <c r="Q15" i="31" s="1"/>
  <c r="H15" i="31"/>
  <c r="E15" i="31"/>
  <c r="L15" i="31" s="1"/>
  <c r="P14" i="31"/>
  <c r="M14" i="31"/>
  <c r="N14" i="31" s="1"/>
  <c r="K14" i="31"/>
  <c r="Q14" i="31" s="1"/>
  <c r="H14" i="31"/>
  <c r="E14" i="31"/>
  <c r="L14" i="31" s="1"/>
  <c r="P13" i="31"/>
  <c r="N13" i="31"/>
  <c r="K13" i="31"/>
  <c r="Q13" i="31" s="1"/>
  <c r="E13" i="31"/>
  <c r="L13" i="31" s="1"/>
  <c r="P12" i="31"/>
  <c r="M12" i="31"/>
  <c r="N12" i="31" s="1"/>
  <c r="K12" i="31"/>
  <c r="Q12" i="31" s="1"/>
  <c r="H12" i="31"/>
  <c r="E12" i="31"/>
  <c r="L12" i="31" s="1"/>
  <c r="P11" i="31"/>
  <c r="M11" i="31"/>
  <c r="N11" i="31" s="1"/>
  <c r="K11" i="31"/>
  <c r="Q11" i="31" s="1"/>
  <c r="H11" i="31"/>
  <c r="E11" i="31"/>
  <c r="L11" i="31" s="1"/>
  <c r="P10" i="31"/>
  <c r="M10" i="31"/>
  <c r="N10" i="31" s="1"/>
  <c r="K10" i="31"/>
  <c r="Q10" i="31" s="1"/>
  <c r="H10" i="31"/>
  <c r="E10" i="31"/>
  <c r="L10" i="31" s="1"/>
  <c r="P9" i="31"/>
  <c r="M9" i="31"/>
  <c r="N9" i="31" s="1"/>
  <c r="K9" i="31"/>
  <c r="Q9" i="31" s="1"/>
  <c r="H9" i="31"/>
  <c r="E9" i="31"/>
  <c r="L9" i="31" s="1"/>
  <c r="P8" i="31"/>
  <c r="M8" i="31"/>
  <c r="N8" i="31" s="1"/>
  <c r="K8" i="31"/>
  <c r="Q8" i="31" s="1"/>
  <c r="H8" i="31"/>
  <c r="E8" i="31"/>
  <c r="L8" i="31" s="1"/>
  <c r="P7" i="31"/>
  <c r="M7" i="31"/>
  <c r="N7" i="31" s="1"/>
  <c r="K7" i="31"/>
  <c r="Q7" i="31" s="1"/>
  <c r="E7" i="31"/>
  <c r="L7" i="31" s="1"/>
  <c r="P6" i="31"/>
  <c r="M6" i="31"/>
  <c r="N6" i="31" s="1"/>
  <c r="K6" i="31"/>
  <c r="H6" i="31"/>
  <c r="E6" i="31"/>
  <c r="L6" i="31" s="1"/>
  <c r="M56" i="30"/>
  <c r="N56" i="30" s="1"/>
  <c r="H56" i="30"/>
  <c r="E56" i="30"/>
  <c r="L56" i="30" s="1"/>
  <c r="P57" i="31" l="1"/>
  <c r="P26" i="31"/>
  <c r="K57" i="31"/>
  <c r="Q57" i="31" s="1"/>
  <c r="H57" i="31"/>
  <c r="F60" i="31"/>
  <c r="G60" i="31"/>
  <c r="D58" i="31"/>
  <c r="K26" i="31"/>
  <c r="I60" i="31"/>
  <c r="H26" i="31"/>
  <c r="M26" i="31"/>
  <c r="N26" i="31" s="1"/>
  <c r="D27" i="31"/>
  <c r="H60" i="31"/>
  <c r="E57" i="31"/>
  <c r="M57" i="31"/>
  <c r="N57" i="31" s="1"/>
  <c r="D60" i="31"/>
  <c r="D61" i="31" s="1"/>
  <c r="E26" i="31"/>
  <c r="C60" i="31"/>
  <c r="P60" i="31" s="1"/>
  <c r="Q6" i="31"/>
  <c r="M60" i="31" l="1"/>
  <c r="N60" i="31" s="1"/>
  <c r="K60" i="31"/>
  <c r="Q60" i="31" s="1"/>
  <c r="Q26" i="31"/>
  <c r="E58" i="31"/>
  <c r="L57" i="31"/>
  <c r="E27" i="31"/>
  <c r="L26" i="31"/>
  <c r="E60" i="31"/>
  <c r="E61" i="31" l="1"/>
  <c r="L60" i="31"/>
  <c r="P56" i="30" l="1"/>
  <c r="D57" i="30"/>
  <c r="F57" i="30"/>
  <c r="G57" i="30"/>
  <c r="I57" i="30"/>
  <c r="J57" i="30"/>
  <c r="C57" i="30"/>
  <c r="K56" i="30"/>
  <c r="Q56" i="30" s="1"/>
  <c r="O57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7" i="30"/>
  <c r="Q7" i="30" s="1"/>
  <c r="K8" i="30"/>
  <c r="K9" i="30"/>
  <c r="K10" i="30"/>
  <c r="K11" i="30"/>
  <c r="K12" i="30"/>
  <c r="K13" i="30"/>
  <c r="Q13" i="30" s="1"/>
  <c r="K14" i="30"/>
  <c r="K15" i="30"/>
  <c r="K16" i="30"/>
  <c r="K17" i="30"/>
  <c r="K18" i="30"/>
  <c r="K19" i="30"/>
  <c r="Q19" i="30" s="1"/>
  <c r="K20" i="30"/>
  <c r="K21" i="30"/>
  <c r="K22" i="30"/>
  <c r="K23" i="30"/>
  <c r="K24" i="30"/>
  <c r="K25" i="30"/>
  <c r="Q25" i="30" s="1"/>
  <c r="P25" i="30"/>
  <c r="P7" i="30"/>
  <c r="O26" i="30"/>
  <c r="D26" i="30"/>
  <c r="F26" i="30"/>
  <c r="G26" i="30"/>
  <c r="I26" i="30"/>
  <c r="J26" i="30"/>
  <c r="H21" i="30" l="1"/>
  <c r="H19" i="30"/>
  <c r="P21" i="30"/>
  <c r="P19" i="30"/>
  <c r="P13" i="30"/>
  <c r="N13" i="30" l="1"/>
  <c r="N21" i="30"/>
  <c r="M7" i="30"/>
  <c r="N7" i="30" s="1"/>
  <c r="M8" i="30"/>
  <c r="N8" i="30" s="1"/>
  <c r="M9" i="30"/>
  <c r="N9" i="30" s="1"/>
  <c r="M10" i="30"/>
  <c r="N10" i="30" s="1"/>
  <c r="M11" i="30"/>
  <c r="N11" i="30" s="1"/>
  <c r="M12" i="30"/>
  <c r="N12" i="30" s="1"/>
  <c r="M14" i="30"/>
  <c r="N14" i="30" s="1"/>
  <c r="M15" i="30"/>
  <c r="N15" i="30" s="1"/>
  <c r="M16" i="30"/>
  <c r="N16" i="30" s="1"/>
  <c r="M17" i="30"/>
  <c r="N17" i="30" s="1"/>
  <c r="M18" i="30"/>
  <c r="N18" i="30" s="1"/>
  <c r="M19" i="30"/>
  <c r="N19" i="30" s="1"/>
  <c r="M20" i="30"/>
  <c r="N20" i="30" s="1"/>
  <c r="M22" i="30"/>
  <c r="N22" i="30" s="1"/>
  <c r="M25" i="30"/>
  <c r="N25" i="30" s="1"/>
  <c r="M23" i="30"/>
  <c r="N23" i="30" s="1"/>
  <c r="M24" i="30"/>
  <c r="N24" i="30" s="1"/>
  <c r="O18" i="2" l="1"/>
  <c r="O19" i="2"/>
  <c r="O20" i="2"/>
  <c r="O21" i="2"/>
  <c r="O22" i="2"/>
  <c r="O23" i="2"/>
  <c r="O24" i="2"/>
  <c r="O25" i="2"/>
  <c r="O6" i="2" l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P19" i="2"/>
  <c r="P22" i="2"/>
  <c r="P24" i="2"/>
  <c r="P25" i="2"/>
  <c r="E7" i="30"/>
  <c r="L7" i="30" s="1"/>
  <c r="E21" i="30"/>
  <c r="L21" i="30" s="1"/>
  <c r="E13" i="30"/>
  <c r="L13" i="30" s="1"/>
  <c r="E19" i="30"/>
  <c r="L19" i="30" s="1"/>
  <c r="O33" i="13" l="1"/>
  <c r="P55" i="30"/>
  <c r="M55" i="30"/>
  <c r="N55" i="30" s="1"/>
  <c r="Q55" i="30"/>
  <c r="H55" i="30"/>
  <c r="E55" i="30"/>
  <c r="L55" i="30" s="1"/>
  <c r="P54" i="30"/>
  <c r="M54" i="30"/>
  <c r="N54" i="30" s="1"/>
  <c r="Q54" i="30"/>
  <c r="H54" i="30"/>
  <c r="E54" i="30"/>
  <c r="L54" i="30" s="1"/>
  <c r="P53" i="30"/>
  <c r="M53" i="30"/>
  <c r="N53" i="30" s="1"/>
  <c r="Q53" i="30"/>
  <c r="H53" i="30"/>
  <c r="E53" i="30"/>
  <c r="L53" i="30" s="1"/>
  <c r="P52" i="30"/>
  <c r="M52" i="30"/>
  <c r="N52" i="30" s="1"/>
  <c r="Q52" i="30"/>
  <c r="H52" i="30"/>
  <c r="E52" i="30"/>
  <c r="L52" i="30" s="1"/>
  <c r="P51" i="30"/>
  <c r="M51" i="30"/>
  <c r="N51" i="30" s="1"/>
  <c r="Q51" i="30"/>
  <c r="H51" i="30"/>
  <c r="E51" i="30"/>
  <c r="L51" i="30" s="1"/>
  <c r="P50" i="30"/>
  <c r="M50" i="30"/>
  <c r="N50" i="30" s="1"/>
  <c r="Q50" i="30"/>
  <c r="H50" i="30"/>
  <c r="E50" i="30"/>
  <c r="L50" i="30" s="1"/>
  <c r="P49" i="30"/>
  <c r="M49" i="30"/>
  <c r="N49" i="30" s="1"/>
  <c r="Q49" i="30"/>
  <c r="H49" i="30"/>
  <c r="E49" i="30"/>
  <c r="L49" i="30" s="1"/>
  <c r="P48" i="30"/>
  <c r="M48" i="30"/>
  <c r="N48" i="30" s="1"/>
  <c r="Q48" i="30"/>
  <c r="H48" i="30"/>
  <c r="E48" i="30"/>
  <c r="L48" i="30" s="1"/>
  <c r="P47" i="30"/>
  <c r="M47" i="30"/>
  <c r="N47" i="30" s="1"/>
  <c r="Q47" i="30"/>
  <c r="H47" i="30"/>
  <c r="E47" i="30"/>
  <c r="L47" i="30" s="1"/>
  <c r="P46" i="30"/>
  <c r="M46" i="30"/>
  <c r="N46" i="30" s="1"/>
  <c r="Q46" i="30"/>
  <c r="H46" i="30"/>
  <c r="E46" i="30"/>
  <c r="L46" i="30" s="1"/>
  <c r="P45" i="30"/>
  <c r="M45" i="30"/>
  <c r="N45" i="30" s="1"/>
  <c r="Q45" i="30"/>
  <c r="H45" i="30"/>
  <c r="E45" i="30"/>
  <c r="L45" i="30" s="1"/>
  <c r="P44" i="30"/>
  <c r="M44" i="30"/>
  <c r="N44" i="30" s="1"/>
  <c r="Q44" i="30"/>
  <c r="H44" i="30"/>
  <c r="E44" i="30"/>
  <c r="L44" i="30" s="1"/>
  <c r="P43" i="30"/>
  <c r="M43" i="30"/>
  <c r="N43" i="30" s="1"/>
  <c r="Q43" i="30"/>
  <c r="H43" i="30"/>
  <c r="E43" i="30"/>
  <c r="L43" i="30" s="1"/>
  <c r="P42" i="30"/>
  <c r="M42" i="30"/>
  <c r="N42" i="30" s="1"/>
  <c r="Q42" i="30"/>
  <c r="H42" i="30"/>
  <c r="E42" i="30"/>
  <c r="L42" i="30" s="1"/>
  <c r="P41" i="30"/>
  <c r="M41" i="30"/>
  <c r="N41" i="30" s="1"/>
  <c r="Q41" i="30"/>
  <c r="H41" i="30"/>
  <c r="E41" i="30"/>
  <c r="L41" i="30" s="1"/>
  <c r="P40" i="30"/>
  <c r="M40" i="30"/>
  <c r="N40" i="30" s="1"/>
  <c r="Q40" i="30"/>
  <c r="H40" i="30"/>
  <c r="E40" i="30"/>
  <c r="L40" i="30" s="1"/>
  <c r="P39" i="30"/>
  <c r="M39" i="30"/>
  <c r="N39" i="30" s="1"/>
  <c r="Q39" i="30"/>
  <c r="H39" i="30"/>
  <c r="E39" i="30"/>
  <c r="L39" i="30" s="1"/>
  <c r="P38" i="30"/>
  <c r="M38" i="30"/>
  <c r="N38" i="30" s="1"/>
  <c r="Q38" i="30"/>
  <c r="H38" i="30"/>
  <c r="E38" i="30"/>
  <c r="L38" i="30" s="1"/>
  <c r="P37" i="30"/>
  <c r="M37" i="30"/>
  <c r="N37" i="30" s="1"/>
  <c r="Q37" i="30"/>
  <c r="H37" i="30"/>
  <c r="E37" i="30"/>
  <c r="L37" i="30" s="1"/>
  <c r="P36" i="30"/>
  <c r="M36" i="30"/>
  <c r="N36" i="30" s="1"/>
  <c r="Q36" i="30"/>
  <c r="H36" i="30"/>
  <c r="E36" i="30"/>
  <c r="L36" i="30" s="1"/>
  <c r="P35" i="30"/>
  <c r="M35" i="30"/>
  <c r="N35" i="30" s="1"/>
  <c r="Q35" i="30"/>
  <c r="H35" i="30"/>
  <c r="E35" i="30"/>
  <c r="L35" i="30" s="1"/>
  <c r="P34" i="30"/>
  <c r="M34" i="30"/>
  <c r="N34" i="30" s="1"/>
  <c r="Q34" i="30"/>
  <c r="H34" i="30"/>
  <c r="E34" i="30"/>
  <c r="L34" i="30" s="1"/>
  <c r="P33" i="30"/>
  <c r="M33" i="30"/>
  <c r="N33" i="30" s="1"/>
  <c r="Q33" i="30"/>
  <c r="H33" i="30"/>
  <c r="E33" i="30"/>
  <c r="L33" i="30" s="1"/>
  <c r="P32" i="30"/>
  <c r="M32" i="30"/>
  <c r="N32" i="30" s="1"/>
  <c r="Q32" i="30"/>
  <c r="H32" i="30"/>
  <c r="E32" i="30"/>
  <c r="L32" i="30" s="1"/>
  <c r="P31" i="30"/>
  <c r="M31" i="30"/>
  <c r="N31" i="30" s="1"/>
  <c r="Q31" i="30"/>
  <c r="H31" i="30"/>
  <c r="E31" i="30"/>
  <c r="L31" i="30" s="1"/>
  <c r="P30" i="30"/>
  <c r="M30" i="30"/>
  <c r="N30" i="30" s="1"/>
  <c r="Q30" i="30"/>
  <c r="H30" i="30"/>
  <c r="E30" i="30"/>
  <c r="L30" i="30" s="1"/>
  <c r="P29" i="30"/>
  <c r="M29" i="30"/>
  <c r="N29" i="30" s="1"/>
  <c r="K29" i="30"/>
  <c r="H29" i="30"/>
  <c r="E29" i="30"/>
  <c r="I60" i="30"/>
  <c r="G60" i="30"/>
  <c r="C26" i="30"/>
  <c r="P24" i="30"/>
  <c r="Q24" i="30"/>
  <c r="H24" i="30"/>
  <c r="E24" i="30"/>
  <c r="L24" i="30" s="1"/>
  <c r="H23" i="30"/>
  <c r="E23" i="30"/>
  <c r="L23" i="30" s="1"/>
  <c r="H25" i="30"/>
  <c r="E25" i="30"/>
  <c r="L25" i="30" s="1"/>
  <c r="P22" i="30"/>
  <c r="Q22" i="30"/>
  <c r="H22" i="30"/>
  <c r="E22" i="30"/>
  <c r="L22" i="30" s="1"/>
  <c r="P20" i="30"/>
  <c r="Q20" i="30"/>
  <c r="H20" i="30"/>
  <c r="E20" i="30"/>
  <c r="L20" i="30" s="1"/>
  <c r="P18" i="30"/>
  <c r="Q18" i="30"/>
  <c r="H18" i="30"/>
  <c r="E18" i="30"/>
  <c r="L18" i="30" s="1"/>
  <c r="P17" i="30"/>
  <c r="Q17" i="30"/>
  <c r="H17" i="30"/>
  <c r="E17" i="30"/>
  <c r="L17" i="30" s="1"/>
  <c r="P16" i="30"/>
  <c r="Q16" i="30"/>
  <c r="H16" i="30"/>
  <c r="E16" i="30"/>
  <c r="L16" i="30" s="1"/>
  <c r="P15" i="30"/>
  <c r="Q15" i="30"/>
  <c r="H15" i="30"/>
  <c r="E15" i="30"/>
  <c r="L15" i="30" s="1"/>
  <c r="P14" i="30"/>
  <c r="Q14" i="30"/>
  <c r="H14" i="30"/>
  <c r="E14" i="30"/>
  <c r="L14" i="30" s="1"/>
  <c r="P12" i="30"/>
  <c r="Q12" i="30"/>
  <c r="H12" i="30"/>
  <c r="E12" i="30"/>
  <c r="L12" i="30" s="1"/>
  <c r="P11" i="30"/>
  <c r="Q11" i="30"/>
  <c r="H11" i="30"/>
  <c r="E11" i="30"/>
  <c r="L11" i="30" s="1"/>
  <c r="P10" i="30"/>
  <c r="Q10" i="30"/>
  <c r="H10" i="30"/>
  <c r="E10" i="30"/>
  <c r="L10" i="30" s="1"/>
  <c r="P9" i="30"/>
  <c r="Q9" i="30"/>
  <c r="H9" i="30"/>
  <c r="E9" i="30"/>
  <c r="L9" i="30" s="1"/>
  <c r="P8" i="30"/>
  <c r="Q8" i="30"/>
  <c r="H8" i="30"/>
  <c r="E8" i="30"/>
  <c r="L8" i="30" s="1"/>
  <c r="P6" i="30"/>
  <c r="M6" i="30"/>
  <c r="N6" i="30" s="1"/>
  <c r="K6" i="30"/>
  <c r="H6" i="30"/>
  <c r="E6" i="30"/>
  <c r="Q29" i="30" l="1"/>
  <c r="K57" i="30"/>
  <c r="H57" i="30"/>
  <c r="L29" i="30"/>
  <c r="E57" i="30"/>
  <c r="E58" i="30" s="1"/>
  <c r="E26" i="30"/>
  <c r="L26" i="30" s="1"/>
  <c r="H26" i="30"/>
  <c r="Q6" i="30"/>
  <c r="K26" i="30"/>
  <c r="Q26" i="30" s="1"/>
  <c r="D60" i="30"/>
  <c r="F60" i="30"/>
  <c r="M60" i="30" s="1"/>
  <c r="N60" i="30" s="1"/>
  <c r="C60" i="30"/>
  <c r="N33" i="13"/>
  <c r="P33" i="13" s="1"/>
  <c r="J60" i="30"/>
  <c r="Q57" i="30"/>
  <c r="D58" i="30"/>
  <c r="M57" i="30"/>
  <c r="N57" i="30" s="1"/>
  <c r="L6" i="30"/>
  <c r="P26" i="30"/>
  <c r="M26" i="30"/>
  <c r="N26" i="30" s="1"/>
  <c r="P57" i="30"/>
  <c r="O60" i="30"/>
  <c r="D27" i="30"/>
  <c r="L58" i="2"/>
  <c r="M58" i="2"/>
  <c r="D61" i="30" l="1"/>
  <c r="P60" i="30"/>
  <c r="L57" i="30"/>
  <c r="K60" i="30"/>
  <c r="Q60" i="30" s="1"/>
  <c r="E27" i="30"/>
  <c r="E60" i="30"/>
  <c r="E61" i="30" s="1"/>
  <c r="H60" i="30"/>
  <c r="O54" i="28"/>
  <c r="J54" i="28"/>
  <c r="I54" i="28"/>
  <c r="G54" i="28"/>
  <c r="F54" i="28"/>
  <c r="D54" i="28"/>
  <c r="C54" i="28"/>
  <c r="P52" i="28"/>
  <c r="M52" i="28"/>
  <c r="N52" i="28" s="1"/>
  <c r="K52" i="28"/>
  <c r="Q52" i="28" s="1"/>
  <c r="H52" i="28"/>
  <c r="E52" i="28"/>
  <c r="L52" i="28" s="1"/>
  <c r="P51" i="28"/>
  <c r="M51" i="28"/>
  <c r="N51" i="28" s="1"/>
  <c r="K51" i="28"/>
  <c r="Q51" i="28" s="1"/>
  <c r="H51" i="28"/>
  <c r="E51" i="28"/>
  <c r="L51" i="28" s="1"/>
  <c r="P50" i="28"/>
  <c r="M50" i="28"/>
  <c r="N50" i="28" s="1"/>
  <c r="K50" i="28"/>
  <c r="Q50" i="28" s="1"/>
  <c r="H50" i="28"/>
  <c r="E50" i="28"/>
  <c r="L50" i="28" s="1"/>
  <c r="P49" i="28"/>
  <c r="M49" i="28"/>
  <c r="N49" i="28" s="1"/>
  <c r="K49" i="28"/>
  <c r="Q49" i="28" s="1"/>
  <c r="H49" i="28"/>
  <c r="E49" i="28"/>
  <c r="L49" i="28" s="1"/>
  <c r="P48" i="28"/>
  <c r="M48" i="28"/>
  <c r="N48" i="28" s="1"/>
  <c r="K48" i="28"/>
  <c r="Q48" i="28" s="1"/>
  <c r="H48" i="28"/>
  <c r="E48" i="28"/>
  <c r="L48" i="28" s="1"/>
  <c r="P47" i="28"/>
  <c r="M47" i="28"/>
  <c r="N47" i="28" s="1"/>
  <c r="K47" i="28"/>
  <c r="Q47" i="28" s="1"/>
  <c r="H47" i="28"/>
  <c r="E47" i="28"/>
  <c r="L47" i="28" s="1"/>
  <c r="P46" i="28"/>
  <c r="M46" i="28"/>
  <c r="N46" i="28" s="1"/>
  <c r="K46" i="28"/>
  <c r="Q46" i="28" s="1"/>
  <c r="H46" i="28"/>
  <c r="E46" i="28"/>
  <c r="L46" i="28" s="1"/>
  <c r="P45" i="28"/>
  <c r="M45" i="28"/>
  <c r="N45" i="28" s="1"/>
  <c r="K45" i="28"/>
  <c r="Q45" i="28" s="1"/>
  <c r="H45" i="28"/>
  <c r="E45" i="28"/>
  <c r="L45" i="28" s="1"/>
  <c r="P44" i="28"/>
  <c r="M44" i="28"/>
  <c r="N44" i="28" s="1"/>
  <c r="K44" i="28"/>
  <c r="Q44" i="28" s="1"/>
  <c r="H44" i="28"/>
  <c r="E44" i="28"/>
  <c r="L44" i="28" s="1"/>
  <c r="P43" i="28"/>
  <c r="M43" i="28"/>
  <c r="N43" i="28" s="1"/>
  <c r="K43" i="28"/>
  <c r="Q43" i="28" s="1"/>
  <c r="H43" i="28"/>
  <c r="E43" i="28"/>
  <c r="L43" i="28" s="1"/>
  <c r="P42" i="28"/>
  <c r="M42" i="28"/>
  <c r="N42" i="28" s="1"/>
  <c r="K42" i="28"/>
  <c r="Q42" i="28" s="1"/>
  <c r="H42" i="28"/>
  <c r="E42" i="28"/>
  <c r="L42" i="28" s="1"/>
  <c r="P41" i="28"/>
  <c r="M41" i="28"/>
  <c r="N41" i="28" s="1"/>
  <c r="K41" i="28"/>
  <c r="Q41" i="28" s="1"/>
  <c r="H41" i="28"/>
  <c r="E41" i="28"/>
  <c r="L41" i="28" s="1"/>
  <c r="P40" i="28"/>
  <c r="M40" i="28"/>
  <c r="N40" i="28" s="1"/>
  <c r="K40" i="28"/>
  <c r="Q40" i="28" s="1"/>
  <c r="H40" i="28"/>
  <c r="E40" i="28"/>
  <c r="L40" i="28" s="1"/>
  <c r="P39" i="28"/>
  <c r="M39" i="28"/>
  <c r="N39" i="28" s="1"/>
  <c r="K39" i="28"/>
  <c r="Q39" i="28" s="1"/>
  <c r="H39" i="28"/>
  <c r="E39" i="28"/>
  <c r="L39" i="28" s="1"/>
  <c r="P38" i="28"/>
  <c r="M38" i="28"/>
  <c r="N38" i="28" s="1"/>
  <c r="K38" i="28"/>
  <c r="Q38" i="28" s="1"/>
  <c r="H38" i="28"/>
  <c r="E38" i="28"/>
  <c r="L38" i="28" s="1"/>
  <c r="P37" i="28"/>
  <c r="M37" i="28"/>
  <c r="N37" i="28" s="1"/>
  <c r="K37" i="28"/>
  <c r="Q37" i="28" s="1"/>
  <c r="H37" i="28"/>
  <c r="E37" i="28"/>
  <c r="L37" i="28" s="1"/>
  <c r="P36" i="28"/>
  <c r="M36" i="28"/>
  <c r="N36" i="28" s="1"/>
  <c r="K36" i="28"/>
  <c r="Q36" i="28" s="1"/>
  <c r="H36" i="28"/>
  <c r="E36" i="28"/>
  <c r="L36" i="28" s="1"/>
  <c r="P35" i="28"/>
  <c r="M35" i="28"/>
  <c r="N35" i="28" s="1"/>
  <c r="K35" i="28"/>
  <c r="Q35" i="28" s="1"/>
  <c r="H35" i="28"/>
  <c r="E35" i="28"/>
  <c r="L35" i="28" s="1"/>
  <c r="P34" i="28"/>
  <c r="M34" i="28"/>
  <c r="N34" i="28" s="1"/>
  <c r="K34" i="28"/>
  <c r="Q34" i="28" s="1"/>
  <c r="H34" i="28"/>
  <c r="E34" i="28"/>
  <c r="L34" i="28" s="1"/>
  <c r="P33" i="28"/>
  <c r="M33" i="28"/>
  <c r="N33" i="28" s="1"/>
  <c r="K33" i="28"/>
  <c r="Q33" i="28" s="1"/>
  <c r="H33" i="28"/>
  <c r="E33" i="28"/>
  <c r="L33" i="28" s="1"/>
  <c r="P32" i="28"/>
  <c r="M32" i="28"/>
  <c r="N32" i="28" s="1"/>
  <c r="K32" i="28"/>
  <c r="Q32" i="28" s="1"/>
  <c r="H32" i="28"/>
  <c r="E32" i="28"/>
  <c r="L32" i="28" s="1"/>
  <c r="P31" i="28"/>
  <c r="M31" i="28"/>
  <c r="N31" i="28" s="1"/>
  <c r="K31" i="28"/>
  <c r="Q31" i="28" s="1"/>
  <c r="H31" i="28"/>
  <c r="E31" i="28"/>
  <c r="L31" i="28" s="1"/>
  <c r="P30" i="28"/>
  <c r="M30" i="28"/>
  <c r="N30" i="28" s="1"/>
  <c r="K30" i="28"/>
  <c r="Q30" i="28" s="1"/>
  <c r="H30" i="28"/>
  <c r="E30" i="28"/>
  <c r="L30" i="28" s="1"/>
  <c r="P29" i="28"/>
  <c r="M29" i="28"/>
  <c r="N29" i="28" s="1"/>
  <c r="K29" i="28"/>
  <c r="Q29" i="28" s="1"/>
  <c r="H29" i="28"/>
  <c r="E29" i="28"/>
  <c r="L29" i="28" s="1"/>
  <c r="P28" i="28"/>
  <c r="M28" i="28"/>
  <c r="N28" i="28" s="1"/>
  <c r="K28" i="28"/>
  <c r="Q28" i="28" s="1"/>
  <c r="H28" i="28"/>
  <c r="E28" i="28"/>
  <c r="L28" i="28" s="1"/>
  <c r="P27" i="28"/>
  <c r="M27" i="28"/>
  <c r="N27" i="28" s="1"/>
  <c r="K27" i="28"/>
  <c r="Q27" i="28" s="1"/>
  <c r="H27" i="28"/>
  <c r="E27" i="28"/>
  <c r="L27" i="28" s="1"/>
  <c r="P26" i="28"/>
  <c r="M26" i="28"/>
  <c r="N26" i="28" s="1"/>
  <c r="K26" i="28"/>
  <c r="Q26" i="28" s="1"/>
  <c r="H26" i="28"/>
  <c r="E26" i="28"/>
  <c r="L26" i="28" s="1"/>
  <c r="O23" i="28"/>
  <c r="J23" i="28"/>
  <c r="I23" i="28"/>
  <c r="G23" i="28"/>
  <c r="F23" i="28"/>
  <c r="D23" i="28"/>
  <c r="C23" i="28"/>
  <c r="P21" i="28"/>
  <c r="M21" i="28"/>
  <c r="N21" i="28" s="1"/>
  <c r="K21" i="28"/>
  <c r="Q21" i="28" s="1"/>
  <c r="H21" i="28"/>
  <c r="E21" i="28"/>
  <c r="L21" i="28" s="1"/>
  <c r="P20" i="28"/>
  <c r="M20" i="28"/>
  <c r="N20" i="28" s="1"/>
  <c r="K20" i="28"/>
  <c r="Q20" i="28" s="1"/>
  <c r="H20" i="28"/>
  <c r="E20" i="28"/>
  <c r="L20" i="28" s="1"/>
  <c r="M19" i="28"/>
  <c r="N19" i="28" s="1"/>
  <c r="K19" i="28"/>
  <c r="H19" i="28"/>
  <c r="E19" i="28"/>
  <c r="L19" i="28" s="1"/>
  <c r="P18" i="28"/>
  <c r="M18" i="28"/>
  <c r="N18" i="28" s="1"/>
  <c r="K18" i="28"/>
  <c r="Q18" i="28" s="1"/>
  <c r="H18" i="28"/>
  <c r="E18" i="28"/>
  <c r="L18" i="28" s="1"/>
  <c r="P17" i="28"/>
  <c r="M17" i="28"/>
  <c r="N17" i="28" s="1"/>
  <c r="K17" i="28"/>
  <c r="Q17" i="28" s="1"/>
  <c r="H17" i="28"/>
  <c r="E17" i="28"/>
  <c r="L17" i="28" s="1"/>
  <c r="P16" i="28"/>
  <c r="M16" i="28"/>
  <c r="N16" i="28" s="1"/>
  <c r="K16" i="28"/>
  <c r="Q16" i="28" s="1"/>
  <c r="H16" i="28"/>
  <c r="E16" i="28"/>
  <c r="L16" i="28" s="1"/>
  <c r="P15" i="28"/>
  <c r="M15" i="28"/>
  <c r="N15" i="28" s="1"/>
  <c r="K15" i="28"/>
  <c r="Q15" i="28" s="1"/>
  <c r="H15" i="28"/>
  <c r="E15" i="28"/>
  <c r="L15" i="28" s="1"/>
  <c r="P14" i="28"/>
  <c r="M14" i="28"/>
  <c r="N14" i="28" s="1"/>
  <c r="K14" i="28"/>
  <c r="Q14" i="28" s="1"/>
  <c r="H14" i="28"/>
  <c r="E14" i="28"/>
  <c r="L14" i="28" s="1"/>
  <c r="P13" i="28"/>
  <c r="M13" i="28"/>
  <c r="N13" i="28" s="1"/>
  <c r="K13" i="28"/>
  <c r="Q13" i="28" s="1"/>
  <c r="H13" i="28"/>
  <c r="E13" i="28"/>
  <c r="L13" i="28" s="1"/>
  <c r="P12" i="28"/>
  <c r="M12" i="28"/>
  <c r="N12" i="28" s="1"/>
  <c r="K12" i="28"/>
  <c r="Q12" i="28" s="1"/>
  <c r="H12" i="28"/>
  <c r="E12" i="28"/>
  <c r="L12" i="28" s="1"/>
  <c r="P11" i="28"/>
  <c r="M11" i="28"/>
  <c r="N11" i="28" s="1"/>
  <c r="K11" i="28"/>
  <c r="Q11" i="28" s="1"/>
  <c r="H11" i="28"/>
  <c r="E11" i="28"/>
  <c r="L11" i="28" s="1"/>
  <c r="P10" i="28"/>
  <c r="M10" i="28"/>
  <c r="N10" i="28" s="1"/>
  <c r="K10" i="28"/>
  <c r="Q10" i="28" s="1"/>
  <c r="H10" i="28"/>
  <c r="E10" i="28"/>
  <c r="L10" i="28" s="1"/>
  <c r="P9" i="28"/>
  <c r="M9" i="28"/>
  <c r="N9" i="28" s="1"/>
  <c r="K9" i="28"/>
  <c r="Q9" i="28" s="1"/>
  <c r="H9" i="28"/>
  <c r="E9" i="28"/>
  <c r="L9" i="28" s="1"/>
  <c r="P8" i="28"/>
  <c r="M8" i="28"/>
  <c r="N8" i="28" s="1"/>
  <c r="K8" i="28"/>
  <c r="Q8" i="28" s="1"/>
  <c r="H8" i="28"/>
  <c r="E8" i="28"/>
  <c r="L8" i="28" s="1"/>
  <c r="P7" i="28"/>
  <c r="M7" i="28"/>
  <c r="N7" i="28" s="1"/>
  <c r="K7" i="28"/>
  <c r="Q7" i="28" s="1"/>
  <c r="H7" i="28"/>
  <c r="E7" i="28"/>
  <c r="L7" i="28" s="1"/>
  <c r="P6" i="28"/>
  <c r="M6" i="28"/>
  <c r="N6" i="28" s="1"/>
  <c r="K6" i="28"/>
  <c r="Q6" i="28" s="1"/>
  <c r="H6" i="28"/>
  <c r="E6" i="28"/>
  <c r="L6" i="28" s="1"/>
  <c r="C70" i="28" l="1"/>
  <c r="C30" i="5"/>
  <c r="M30" i="5" s="1"/>
  <c r="O32" i="13"/>
  <c r="G30" i="5"/>
  <c r="I30" i="5" s="1"/>
  <c r="C57" i="28"/>
  <c r="B14" i="5" s="1"/>
  <c r="N32" i="13"/>
  <c r="B30" i="5"/>
  <c r="C71" i="28"/>
  <c r="H30" i="5"/>
  <c r="L60" i="30"/>
  <c r="G57" i="28"/>
  <c r="D14" i="5" s="1"/>
  <c r="M23" i="28"/>
  <c r="N23" i="28" s="1"/>
  <c r="D57" i="28"/>
  <c r="D58" i="28" s="1"/>
  <c r="E23" i="28"/>
  <c r="E24" i="28" s="1"/>
  <c r="K54" i="28"/>
  <c r="Q54" i="28" s="1"/>
  <c r="J30" i="5" s="1"/>
  <c r="M54" i="28"/>
  <c r="N54" i="28" s="1"/>
  <c r="H54" i="28"/>
  <c r="D55" i="28"/>
  <c r="E54" i="28"/>
  <c r="E55" i="28" s="1"/>
  <c r="J57" i="28"/>
  <c r="G14" i="5" s="1"/>
  <c r="I57" i="28"/>
  <c r="F14" i="5" s="1"/>
  <c r="F57" i="28"/>
  <c r="C14" i="5" s="1"/>
  <c r="E14" i="5" s="1"/>
  <c r="H23" i="28"/>
  <c r="C73" i="28"/>
  <c r="K23" i="28"/>
  <c r="P23" i="28"/>
  <c r="P54" i="28"/>
  <c r="O57" i="28"/>
  <c r="P57" i="28" s="1"/>
  <c r="N30" i="5" s="1"/>
  <c r="D24" i="28"/>
  <c r="P32" i="13" l="1"/>
  <c r="D30" i="5"/>
  <c r="L30" i="5"/>
  <c r="H57" i="28"/>
  <c r="L54" i="28"/>
  <c r="J14" i="5" s="1"/>
  <c r="E57" i="28"/>
  <c r="E58" i="28" s="1"/>
  <c r="L23" i="28"/>
  <c r="I14" i="5" s="1"/>
  <c r="M57" i="28"/>
  <c r="K57" i="28"/>
  <c r="Q57" i="28" s="1"/>
  <c r="O30" i="5" s="1"/>
  <c r="Q23" i="28"/>
  <c r="E30" i="5" s="1"/>
  <c r="D23" i="29"/>
  <c r="F23" i="29"/>
  <c r="G23" i="29"/>
  <c r="I23" i="29"/>
  <c r="J23" i="29"/>
  <c r="C23" i="29"/>
  <c r="N57" i="28" l="1"/>
  <c r="M14" i="5" s="1"/>
  <c r="L14" i="5"/>
  <c r="N31" i="13"/>
  <c r="B29" i="5"/>
  <c r="L57" i="28"/>
  <c r="K14" i="5" s="1"/>
  <c r="E16" i="29"/>
  <c r="P52" i="29"/>
  <c r="M52" i="29"/>
  <c r="N52" i="29" s="1"/>
  <c r="K52" i="29"/>
  <c r="Q52" i="29" s="1"/>
  <c r="H52" i="29"/>
  <c r="E52" i="29"/>
  <c r="L52" i="29" s="1"/>
  <c r="P51" i="29"/>
  <c r="M51" i="29"/>
  <c r="N51" i="29" s="1"/>
  <c r="K51" i="29"/>
  <c r="Q51" i="29" s="1"/>
  <c r="H51" i="29"/>
  <c r="E51" i="29"/>
  <c r="L51" i="29" s="1"/>
  <c r="P50" i="29"/>
  <c r="M50" i="29"/>
  <c r="N50" i="29" s="1"/>
  <c r="K50" i="29"/>
  <c r="Q50" i="29" s="1"/>
  <c r="H50" i="29"/>
  <c r="E50" i="29"/>
  <c r="L50" i="29" s="1"/>
  <c r="P49" i="29"/>
  <c r="M49" i="29"/>
  <c r="N49" i="29" s="1"/>
  <c r="K49" i="29"/>
  <c r="Q49" i="29" s="1"/>
  <c r="H49" i="29"/>
  <c r="E49" i="29"/>
  <c r="L49" i="29" s="1"/>
  <c r="P48" i="29"/>
  <c r="M48" i="29"/>
  <c r="N48" i="29" s="1"/>
  <c r="K48" i="29"/>
  <c r="Q48" i="29" s="1"/>
  <c r="H48" i="29"/>
  <c r="E48" i="29"/>
  <c r="L48" i="29" s="1"/>
  <c r="P47" i="29"/>
  <c r="M47" i="29"/>
  <c r="N47" i="29" s="1"/>
  <c r="K47" i="29"/>
  <c r="Q47" i="29" s="1"/>
  <c r="H47" i="29"/>
  <c r="E47" i="29"/>
  <c r="L47" i="29" s="1"/>
  <c r="P46" i="29"/>
  <c r="M46" i="29"/>
  <c r="N46" i="29" s="1"/>
  <c r="K46" i="29"/>
  <c r="Q46" i="29" s="1"/>
  <c r="H46" i="29"/>
  <c r="E46" i="29"/>
  <c r="L46" i="29" s="1"/>
  <c r="P45" i="29"/>
  <c r="M45" i="29"/>
  <c r="N45" i="29" s="1"/>
  <c r="K45" i="29"/>
  <c r="Q45" i="29" s="1"/>
  <c r="H45" i="29"/>
  <c r="E45" i="29"/>
  <c r="L45" i="29" s="1"/>
  <c r="P44" i="29"/>
  <c r="M44" i="29"/>
  <c r="N44" i="29" s="1"/>
  <c r="K44" i="29"/>
  <c r="Q44" i="29" s="1"/>
  <c r="H44" i="29"/>
  <c r="E44" i="29"/>
  <c r="L44" i="29" s="1"/>
  <c r="P43" i="29"/>
  <c r="M43" i="29"/>
  <c r="N43" i="29" s="1"/>
  <c r="K43" i="29"/>
  <c r="Q43" i="29" s="1"/>
  <c r="H43" i="29"/>
  <c r="E43" i="29"/>
  <c r="L43" i="29" s="1"/>
  <c r="P42" i="29"/>
  <c r="M42" i="29"/>
  <c r="N42" i="29" s="1"/>
  <c r="K42" i="29"/>
  <c r="Q42" i="29" s="1"/>
  <c r="H42" i="29"/>
  <c r="E42" i="29"/>
  <c r="L42" i="29" s="1"/>
  <c r="P41" i="29"/>
  <c r="M41" i="29"/>
  <c r="N41" i="29" s="1"/>
  <c r="K41" i="29"/>
  <c r="Q41" i="29" s="1"/>
  <c r="H41" i="29"/>
  <c r="E41" i="29"/>
  <c r="L41" i="29" s="1"/>
  <c r="P40" i="29"/>
  <c r="M40" i="29"/>
  <c r="N40" i="29" s="1"/>
  <c r="K40" i="29"/>
  <c r="Q40" i="29" s="1"/>
  <c r="H40" i="29"/>
  <c r="E40" i="29"/>
  <c r="L40" i="29" s="1"/>
  <c r="P39" i="29"/>
  <c r="M39" i="29"/>
  <c r="N39" i="29" s="1"/>
  <c r="K39" i="29"/>
  <c r="Q39" i="29" s="1"/>
  <c r="H39" i="29"/>
  <c r="E39" i="29"/>
  <c r="L39" i="29" s="1"/>
  <c r="P38" i="29"/>
  <c r="M38" i="29"/>
  <c r="N38" i="29" s="1"/>
  <c r="K38" i="29"/>
  <c r="Q38" i="29" s="1"/>
  <c r="H38" i="29"/>
  <c r="E38" i="29"/>
  <c r="L38" i="29" s="1"/>
  <c r="P37" i="29"/>
  <c r="M37" i="29"/>
  <c r="N37" i="29" s="1"/>
  <c r="K37" i="29"/>
  <c r="Q37" i="29" s="1"/>
  <c r="H37" i="29"/>
  <c r="E37" i="29"/>
  <c r="L37" i="29" s="1"/>
  <c r="P36" i="29"/>
  <c r="M36" i="29"/>
  <c r="N36" i="29" s="1"/>
  <c r="K36" i="29"/>
  <c r="Q36" i="29" s="1"/>
  <c r="H36" i="29"/>
  <c r="E36" i="29"/>
  <c r="L36" i="29" s="1"/>
  <c r="P35" i="29"/>
  <c r="M35" i="29"/>
  <c r="N35" i="29" s="1"/>
  <c r="K35" i="29"/>
  <c r="Q35" i="29" s="1"/>
  <c r="H35" i="29"/>
  <c r="E35" i="29"/>
  <c r="L35" i="29" s="1"/>
  <c r="P34" i="29"/>
  <c r="M34" i="29"/>
  <c r="N34" i="29" s="1"/>
  <c r="K34" i="29"/>
  <c r="Q34" i="29" s="1"/>
  <c r="H34" i="29"/>
  <c r="E34" i="29"/>
  <c r="L34" i="29" s="1"/>
  <c r="P33" i="29"/>
  <c r="M33" i="29"/>
  <c r="N33" i="29" s="1"/>
  <c r="K33" i="29"/>
  <c r="Q33" i="29" s="1"/>
  <c r="H33" i="29"/>
  <c r="E33" i="29"/>
  <c r="L33" i="29" s="1"/>
  <c r="P32" i="29"/>
  <c r="M32" i="29"/>
  <c r="N32" i="29" s="1"/>
  <c r="K32" i="29"/>
  <c r="Q32" i="29" s="1"/>
  <c r="H32" i="29"/>
  <c r="E32" i="29"/>
  <c r="L32" i="29" s="1"/>
  <c r="P31" i="29"/>
  <c r="M31" i="29"/>
  <c r="N31" i="29" s="1"/>
  <c r="K31" i="29"/>
  <c r="Q31" i="29" s="1"/>
  <c r="H31" i="29"/>
  <c r="E31" i="29"/>
  <c r="L31" i="29" s="1"/>
  <c r="P30" i="29"/>
  <c r="M30" i="29"/>
  <c r="N30" i="29" s="1"/>
  <c r="K30" i="29"/>
  <c r="Q30" i="29" s="1"/>
  <c r="H30" i="29"/>
  <c r="E30" i="29"/>
  <c r="L30" i="29" s="1"/>
  <c r="P29" i="29"/>
  <c r="M29" i="29"/>
  <c r="N29" i="29" s="1"/>
  <c r="K29" i="29"/>
  <c r="Q29" i="29" s="1"/>
  <c r="H29" i="29"/>
  <c r="E29" i="29"/>
  <c r="L29" i="29" s="1"/>
  <c r="P28" i="29"/>
  <c r="M28" i="29"/>
  <c r="N28" i="29" s="1"/>
  <c r="K28" i="29"/>
  <c r="Q28" i="29" s="1"/>
  <c r="H28" i="29"/>
  <c r="E28" i="29"/>
  <c r="L28" i="29" s="1"/>
  <c r="P27" i="29"/>
  <c r="M27" i="29"/>
  <c r="N27" i="29" s="1"/>
  <c r="K27" i="29"/>
  <c r="Q27" i="29" s="1"/>
  <c r="H27" i="29"/>
  <c r="E27" i="29"/>
  <c r="L27" i="29" s="1"/>
  <c r="P26" i="29"/>
  <c r="M26" i="29"/>
  <c r="N26" i="29" s="1"/>
  <c r="K26" i="29"/>
  <c r="Q26" i="29" s="1"/>
  <c r="H26" i="29"/>
  <c r="E26" i="29"/>
  <c r="L26" i="29" s="1"/>
  <c r="P21" i="29"/>
  <c r="M21" i="29"/>
  <c r="N21" i="29" s="1"/>
  <c r="K21" i="29"/>
  <c r="Q21" i="29" s="1"/>
  <c r="H21" i="29"/>
  <c r="E21" i="29"/>
  <c r="L21" i="29" s="1"/>
  <c r="P20" i="29"/>
  <c r="M20" i="29"/>
  <c r="N20" i="29" s="1"/>
  <c r="K20" i="29"/>
  <c r="Q20" i="29" s="1"/>
  <c r="H20" i="29"/>
  <c r="E20" i="29"/>
  <c r="L20" i="29" s="1"/>
  <c r="M19" i="29"/>
  <c r="N19" i="29" s="1"/>
  <c r="K19" i="29"/>
  <c r="H19" i="29"/>
  <c r="E19" i="29"/>
  <c r="L19" i="29" s="1"/>
  <c r="P18" i="29"/>
  <c r="M18" i="29"/>
  <c r="N18" i="29" s="1"/>
  <c r="K18" i="29"/>
  <c r="Q18" i="29" s="1"/>
  <c r="H18" i="29"/>
  <c r="E18" i="29"/>
  <c r="L18" i="29" s="1"/>
  <c r="P17" i="29"/>
  <c r="M17" i="29"/>
  <c r="N17" i="29" s="1"/>
  <c r="K17" i="29"/>
  <c r="Q17" i="29" s="1"/>
  <c r="H17" i="29"/>
  <c r="E17" i="29"/>
  <c r="L17" i="29" s="1"/>
  <c r="P16" i="29"/>
  <c r="M16" i="29"/>
  <c r="N16" i="29" s="1"/>
  <c r="K16" i="29"/>
  <c r="Q16" i="29" s="1"/>
  <c r="H16" i="29"/>
  <c r="L16" i="29"/>
  <c r="P15" i="29"/>
  <c r="M15" i="29"/>
  <c r="N15" i="29" s="1"/>
  <c r="K15" i="29"/>
  <c r="Q15" i="29" s="1"/>
  <c r="H15" i="29"/>
  <c r="E15" i="29"/>
  <c r="L15" i="29" s="1"/>
  <c r="P14" i="29"/>
  <c r="M14" i="29"/>
  <c r="N14" i="29" s="1"/>
  <c r="K14" i="29"/>
  <c r="Q14" i="29" s="1"/>
  <c r="H14" i="29"/>
  <c r="E14" i="29"/>
  <c r="L14" i="29" s="1"/>
  <c r="P13" i="29"/>
  <c r="M13" i="29"/>
  <c r="N13" i="29" s="1"/>
  <c r="K13" i="29"/>
  <c r="Q13" i="29" s="1"/>
  <c r="H13" i="29"/>
  <c r="E13" i="29"/>
  <c r="L13" i="29" s="1"/>
  <c r="P12" i="29"/>
  <c r="M12" i="29"/>
  <c r="N12" i="29" s="1"/>
  <c r="K12" i="29"/>
  <c r="Q12" i="29" s="1"/>
  <c r="H12" i="29"/>
  <c r="E12" i="29"/>
  <c r="L12" i="29" s="1"/>
  <c r="P11" i="29"/>
  <c r="M11" i="29"/>
  <c r="N11" i="29" s="1"/>
  <c r="K11" i="29"/>
  <c r="Q11" i="29" s="1"/>
  <c r="H11" i="29"/>
  <c r="E11" i="29"/>
  <c r="L11" i="29" s="1"/>
  <c r="P10" i="29"/>
  <c r="M10" i="29"/>
  <c r="N10" i="29" s="1"/>
  <c r="K10" i="29"/>
  <c r="Q10" i="29" s="1"/>
  <c r="H10" i="29"/>
  <c r="E10" i="29"/>
  <c r="L10" i="29" s="1"/>
  <c r="P9" i="29"/>
  <c r="M9" i="29"/>
  <c r="N9" i="29" s="1"/>
  <c r="K9" i="29"/>
  <c r="Q9" i="29" s="1"/>
  <c r="H9" i="29"/>
  <c r="E9" i="29"/>
  <c r="L9" i="29" s="1"/>
  <c r="P8" i="29"/>
  <c r="M8" i="29"/>
  <c r="N8" i="29" s="1"/>
  <c r="K8" i="29"/>
  <c r="Q8" i="29" s="1"/>
  <c r="H8" i="29"/>
  <c r="E8" i="29"/>
  <c r="L8" i="29" s="1"/>
  <c r="P7" i="29"/>
  <c r="M7" i="29"/>
  <c r="N7" i="29" s="1"/>
  <c r="K7" i="29"/>
  <c r="Q7" i="29" s="1"/>
  <c r="H7" i="29"/>
  <c r="E7" i="29"/>
  <c r="L7" i="29" s="1"/>
  <c r="P6" i="29"/>
  <c r="M6" i="29"/>
  <c r="N6" i="29" s="1"/>
  <c r="K6" i="29"/>
  <c r="H6" i="29"/>
  <c r="E6" i="29"/>
  <c r="O54" i="29"/>
  <c r="J54" i="29"/>
  <c r="I54" i="29"/>
  <c r="G54" i="29"/>
  <c r="F54" i="29"/>
  <c r="D54" i="29"/>
  <c r="D57" i="29" s="1"/>
  <c r="C54" i="29"/>
  <c r="O23" i="29"/>
  <c r="C70" i="29" l="1"/>
  <c r="C29" i="5"/>
  <c r="D29" i="5"/>
  <c r="O31" i="13"/>
  <c r="P31" i="13" s="1"/>
  <c r="G29" i="5"/>
  <c r="L29" i="5" s="1"/>
  <c r="C71" i="29"/>
  <c r="C73" i="29" s="1"/>
  <c r="H29" i="5"/>
  <c r="K54" i="29"/>
  <c r="Q54" i="29" s="1"/>
  <c r="J29" i="5" s="1"/>
  <c r="H54" i="29"/>
  <c r="H23" i="29"/>
  <c r="P23" i="29"/>
  <c r="Q6" i="29"/>
  <c r="K23" i="29"/>
  <c r="L6" i="29"/>
  <c r="E23" i="29"/>
  <c r="J57" i="29"/>
  <c r="G13" i="5" s="1"/>
  <c r="G57" i="29"/>
  <c r="D13" i="5" s="1"/>
  <c r="I57" i="29"/>
  <c r="F13" i="5" s="1"/>
  <c r="M54" i="29"/>
  <c r="N54" i="29" s="1"/>
  <c r="P54" i="29"/>
  <c r="F57" i="29"/>
  <c r="C13" i="5" s="1"/>
  <c r="D55" i="29"/>
  <c r="M23" i="29"/>
  <c r="N23" i="29" s="1"/>
  <c r="C57" i="29"/>
  <c r="B13" i="5" s="1"/>
  <c r="O57" i="29"/>
  <c r="D24" i="29"/>
  <c r="E54" i="29"/>
  <c r="E55" i="29" s="1"/>
  <c r="T14" i="13"/>
  <c r="T15" i="13"/>
  <c r="T16" i="13"/>
  <c r="U16" i="13"/>
  <c r="U15" i="13"/>
  <c r="U14" i="13"/>
  <c r="T13" i="13"/>
  <c r="U13" i="13"/>
  <c r="I31" i="9"/>
  <c r="F31" i="9"/>
  <c r="K57" i="29" l="1"/>
  <c r="H57" i="29"/>
  <c r="I29" i="5"/>
  <c r="M29" i="5"/>
  <c r="N29" i="5" s="1"/>
  <c r="E13" i="5"/>
  <c r="P57" i="29"/>
  <c r="E57" i="29"/>
  <c r="L57" i="29" s="1"/>
  <c r="K13" i="5" s="1"/>
  <c r="Q23" i="29"/>
  <c r="E29" i="5" s="1"/>
  <c r="M57" i="29"/>
  <c r="E24" i="29"/>
  <c r="L23" i="29"/>
  <c r="I13" i="5" s="1"/>
  <c r="Q57" i="29"/>
  <c r="O29" i="5" s="1"/>
  <c r="L54" i="29"/>
  <c r="J13" i="5" s="1"/>
  <c r="D58" i="29"/>
  <c r="P52" i="25"/>
  <c r="M52" i="25"/>
  <c r="N52" i="25" s="1"/>
  <c r="K52" i="25"/>
  <c r="Q52" i="25" s="1"/>
  <c r="H52" i="25"/>
  <c r="E52" i="25"/>
  <c r="L52" i="25" s="1"/>
  <c r="P51" i="25"/>
  <c r="M51" i="25"/>
  <c r="N51" i="25" s="1"/>
  <c r="K51" i="25"/>
  <c r="Q51" i="25" s="1"/>
  <c r="H51" i="25"/>
  <c r="E51" i="25"/>
  <c r="L51" i="25" s="1"/>
  <c r="P50" i="25"/>
  <c r="M50" i="25"/>
  <c r="N50" i="25" s="1"/>
  <c r="K50" i="25"/>
  <c r="Q50" i="25" s="1"/>
  <c r="H50" i="25"/>
  <c r="E50" i="25"/>
  <c r="L50" i="25" s="1"/>
  <c r="P49" i="25"/>
  <c r="M49" i="25"/>
  <c r="N49" i="25" s="1"/>
  <c r="K49" i="25"/>
  <c r="Q49" i="25" s="1"/>
  <c r="H49" i="25"/>
  <c r="E49" i="25"/>
  <c r="L49" i="25" s="1"/>
  <c r="P48" i="25"/>
  <c r="M48" i="25"/>
  <c r="N48" i="25" s="1"/>
  <c r="K48" i="25"/>
  <c r="Q48" i="25" s="1"/>
  <c r="H48" i="25"/>
  <c r="E48" i="25"/>
  <c r="L48" i="25" s="1"/>
  <c r="P47" i="25"/>
  <c r="M47" i="25"/>
  <c r="N47" i="25" s="1"/>
  <c r="K47" i="25"/>
  <c r="Q47" i="25" s="1"/>
  <c r="H47" i="25"/>
  <c r="E47" i="25"/>
  <c r="L47" i="25" s="1"/>
  <c r="P46" i="25"/>
  <c r="M46" i="25"/>
  <c r="N46" i="25" s="1"/>
  <c r="K46" i="25"/>
  <c r="Q46" i="25" s="1"/>
  <c r="H46" i="25"/>
  <c r="E46" i="25"/>
  <c r="L46" i="25" s="1"/>
  <c r="P45" i="25"/>
  <c r="M45" i="25"/>
  <c r="N45" i="25" s="1"/>
  <c r="K45" i="25"/>
  <c r="Q45" i="25" s="1"/>
  <c r="H45" i="25"/>
  <c r="E45" i="25"/>
  <c r="L45" i="25" s="1"/>
  <c r="P44" i="25"/>
  <c r="M44" i="25"/>
  <c r="N44" i="25" s="1"/>
  <c r="K44" i="25"/>
  <c r="Q44" i="25" s="1"/>
  <c r="H44" i="25"/>
  <c r="E44" i="25"/>
  <c r="L44" i="25" s="1"/>
  <c r="P43" i="25"/>
  <c r="M43" i="25"/>
  <c r="N43" i="25" s="1"/>
  <c r="K43" i="25"/>
  <c r="Q43" i="25" s="1"/>
  <c r="H43" i="25"/>
  <c r="E43" i="25"/>
  <c r="L43" i="25" s="1"/>
  <c r="P42" i="25"/>
  <c r="M42" i="25"/>
  <c r="N42" i="25" s="1"/>
  <c r="K42" i="25"/>
  <c r="Q42" i="25" s="1"/>
  <c r="H42" i="25"/>
  <c r="E42" i="25"/>
  <c r="L42" i="25" s="1"/>
  <c r="P41" i="25"/>
  <c r="M41" i="25"/>
  <c r="N41" i="25" s="1"/>
  <c r="K41" i="25"/>
  <c r="Q41" i="25" s="1"/>
  <c r="H41" i="25"/>
  <c r="E41" i="25"/>
  <c r="L41" i="25" s="1"/>
  <c r="P40" i="25"/>
  <c r="M40" i="25"/>
  <c r="N40" i="25" s="1"/>
  <c r="K40" i="25"/>
  <c r="Q40" i="25" s="1"/>
  <c r="H40" i="25"/>
  <c r="E40" i="25"/>
  <c r="L40" i="25" s="1"/>
  <c r="P39" i="25"/>
  <c r="M39" i="25"/>
  <c r="N39" i="25" s="1"/>
  <c r="K39" i="25"/>
  <c r="Q39" i="25" s="1"/>
  <c r="H39" i="25"/>
  <c r="E39" i="25"/>
  <c r="L39" i="25" s="1"/>
  <c r="P38" i="25"/>
  <c r="M38" i="25"/>
  <c r="N38" i="25" s="1"/>
  <c r="K38" i="25"/>
  <c r="Q38" i="25" s="1"/>
  <c r="H38" i="25"/>
  <c r="E38" i="25"/>
  <c r="L38" i="25" s="1"/>
  <c r="P37" i="25"/>
  <c r="M37" i="25"/>
  <c r="N37" i="25" s="1"/>
  <c r="K37" i="25"/>
  <c r="Q37" i="25" s="1"/>
  <c r="H37" i="25"/>
  <c r="E37" i="25"/>
  <c r="L37" i="25" s="1"/>
  <c r="P36" i="25"/>
  <c r="M36" i="25"/>
  <c r="N36" i="25" s="1"/>
  <c r="K36" i="25"/>
  <c r="Q36" i="25" s="1"/>
  <c r="H36" i="25"/>
  <c r="E36" i="25"/>
  <c r="L36" i="25" s="1"/>
  <c r="P35" i="25"/>
  <c r="M35" i="25"/>
  <c r="N35" i="25" s="1"/>
  <c r="K35" i="25"/>
  <c r="Q35" i="25" s="1"/>
  <c r="H35" i="25"/>
  <c r="E35" i="25"/>
  <c r="L35" i="25" s="1"/>
  <c r="P34" i="25"/>
  <c r="M34" i="25"/>
  <c r="N34" i="25" s="1"/>
  <c r="K34" i="25"/>
  <c r="Q34" i="25" s="1"/>
  <c r="H34" i="25"/>
  <c r="E34" i="25"/>
  <c r="L34" i="25" s="1"/>
  <c r="P33" i="25"/>
  <c r="M33" i="25"/>
  <c r="N33" i="25" s="1"/>
  <c r="K33" i="25"/>
  <c r="Q33" i="25" s="1"/>
  <c r="H33" i="25"/>
  <c r="E33" i="25"/>
  <c r="L33" i="25" s="1"/>
  <c r="P32" i="25"/>
  <c r="M32" i="25"/>
  <c r="N32" i="25" s="1"/>
  <c r="K32" i="25"/>
  <c r="Q32" i="25" s="1"/>
  <c r="H32" i="25"/>
  <c r="E32" i="25"/>
  <c r="L32" i="25" s="1"/>
  <c r="P31" i="25"/>
  <c r="M31" i="25"/>
  <c r="N31" i="25" s="1"/>
  <c r="K31" i="25"/>
  <c r="Q31" i="25" s="1"/>
  <c r="H31" i="25"/>
  <c r="E31" i="25"/>
  <c r="L31" i="25" s="1"/>
  <c r="P30" i="25"/>
  <c r="M30" i="25"/>
  <c r="N30" i="25" s="1"/>
  <c r="K30" i="25"/>
  <c r="Q30" i="25" s="1"/>
  <c r="H30" i="25"/>
  <c r="E30" i="25"/>
  <c r="L30" i="25" s="1"/>
  <c r="P29" i="25"/>
  <c r="M29" i="25"/>
  <c r="N29" i="25" s="1"/>
  <c r="K29" i="25"/>
  <c r="Q29" i="25" s="1"/>
  <c r="H29" i="25"/>
  <c r="E29" i="25"/>
  <c r="L29" i="25" s="1"/>
  <c r="P28" i="25"/>
  <c r="M28" i="25"/>
  <c r="N28" i="25" s="1"/>
  <c r="K28" i="25"/>
  <c r="Q28" i="25" s="1"/>
  <c r="H28" i="25"/>
  <c r="E28" i="25"/>
  <c r="L28" i="25" s="1"/>
  <c r="P27" i="25"/>
  <c r="M27" i="25"/>
  <c r="N27" i="25" s="1"/>
  <c r="K27" i="25"/>
  <c r="Q27" i="25" s="1"/>
  <c r="H27" i="25"/>
  <c r="E27" i="25"/>
  <c r="L27" i="25" s="1"/>
  <c r="P26" i="25"/>
  <c r="M26" i="25"/>
  <c r="N26" i="25" s="1"/>
  <c r="K26" i="25"/>
  <c r="Q26" i="25" s="1"/>
  <c r="H26" i="25"/>
  <c r="E26" i="25"/>
  <c r="L26" i="25" s="1"/>
  <c r="P25" i="25"/>
  <c r="M25" i="25"/>
  <c r="N25" i="25" s="1"/>
  <c r="K25" i="25"/>
  <c r="Q25" i="25" s="1"/>
  <c r="H25" i="25"/>
  <c r="E25" i="25"/>
  <c r="L25" i="25" s="1"/>
  <c r="M21" i="25"/>
  <c r="N21" i="25" s="1"/>
  <c r="K21" i="25"/>
  <c r="H21" i="25"/>
  <c r="E21" i="25"/>
  <c r="L21" i="25" s="1"/>
  <c r="P20" i="25"/>
  <c r="M20" i="25"/>
  <c r="N20" i="25" s="1"/>
  <c r="K20" i="25"/>
  <c r="Q20" i="25" s="1"/>
  <c r="H20" i="25"/>
  <c r="E20" i="25"/>
  <c r="L20" i="25" s="1"/>
  <c r="P19" i="25"/>
  <c r="M19" i="25"/>
  <c r="N19" i="25" s="1"/>
  <c r="K19" i="25"/>
  <c r="Q19" i="25" s="1"/>
  <c r="H19" i="25"/>
  <c r="E19" i="25"/>
  <c r="L19" i="25" s="1"/>
  <c r="P18" i="25"/>
  <c r="M18" i="25"/>
  <c r="N18" i="25" s="1"/>
  <c r="K18" i="25"/>
  <c r="Q18" i="25" s="1"/>
  <c r="H18" i="25"/>
  <c r="E18" i="25"/>
  <c r="L18" i="25" s="1"/>
  <c r="P17" i="25"/>
  <c r="M17" i="25"/>
  <c r="N17" i="25" s="1"/>
  <c r="K17" i="25"/>
  <c r="Q17" i="25" s="1"/>
  <c r="H17" i="25"/>
  <c r="E17" i="25"/>
  <c r="L17" i="25" s="1"/>
  <c r="P16" i="25"/>
  <c r="M16" i="25"/>
  <c r="N16" i="25" s="1"/>
  <c r="K16" i="25"/>
  <c r="Q16" i="25" s="1"/>
  <c r="H16" i="25"/>
  <c r="E16" i="25"/>
  <c r="L16" i="25" s="1"/>
  <c r="P15" i="25"/>
  <c r="M15" i="25"/>
  <c r="N15" i="25" s="1"/>
  <c r="K15" i="25"/>
  <c r="Q15" i="25" s="1"/>
  <c r="H15" i="25"/>
  <c r="E15" i="25"/>
  <c r="L15" i="25" s="1"/>
  <c r="P14" i="25"/>
  <c r="M14" i="25"/>
  <c r="N14" i="25" s="1"/>
  <c r="K14" i="25"/>
  <c r="Q14" i="25" s="1"/>
  <c r="H14" i="25"/>
  <c r="E14" i="25"/>
  <c r="L14" i="25" s="1"/>
  <c r="P13" i="25"/>
  <c r="M13" i="25"/>
  <c r="N13" i="25" s="1"/>
  <c r="K13" i="25"/>
  <c r="Q13" i="25" s="1"/>
  <c r="H13" i="25"/>
  <c r="E13" i="25"/>
  <c r="L13" i="25" s="1"/>
  <c r="P12" i="25"/>
  <c r="M12" i="25"/>
  <c r="N12" i="25" s="1"/>
  <c r="K12" i="25"/>
  <c r="Q12" i="25" s="1"/>
  <c r="H12" i="25"/>
  <c r="E12" i="25"/>
  <c r="L12" i="25" s="1"/>
  <c r="P11" i="25"/>
  <c r="M11" i="25"/>
  <c r="N11" i="25" s="1"/>
  <c r="K11" i="25"/>
  <c r="Q11" i="25" s="1"/>
  <c r="H11" i="25"/>
  <c r="E11" i="25"/>
  <c r="L11" i="25" s="1"/>
  <c r="P10" i="25"/>
  <c r="M10" i="25"/>
  <c r="N10" i="25" s="1"/>
  <c r="K10" i="25"/>
  <c r="Q10" i="25" s="1"/>
  <c r="H10" i="25"/>
  <c r="E10" i="25"/>
  <c r="L10" i="25" s="1"/>
  <c r="P9" i="25"/>
  <c r="M9" i="25"/>
  <c r="N9" i="25" s="1"/>
  <c r="K9" i="25"/>
  <c r="Q9" i="25" s="1"/>
  <c r="H9" i="25"/>
  <c r="E9" i="25"/>
  <c r="L9" i="25" s="1"/>
  <c r="P8" i="25"/>
  <c r="M8" i="25"/>
  <c r="N8" i="25" s="1"/>
  <c r="K8" i="25"/>
  <c r="Q8" i="25" s="1"/>
  <c r="H8" i="25"/>
  <c r="E8" i="25"/>
  <c r="L8" i="25" s="1"/>
  <c r="P7" i="25"/>
  <c r="M7" i="25"/>
  <c r="N7" i="25" s="1"/>
  <c r="K7" i="25"/>
  <c r="Q7" i="25" s="1"/>
  <c r="H7" i="25"/>
  <c r="E7" i="25"/>
  <c r="L7" i="25" s="1"/>
  <c r="P6" i="25"/>
  <c r="M6" i="25"/>
  <c r="N6" i="25" s="1"/>
  <c r="K6" i="25"/>
  <c r="Q6" i="25" s="1"/>
  <c r="H6" i="25"/>
  <c r="E6" i="25"/>
  <c r="L6" i="25" s="1"/>
  <c r="J22" i="25"/>
  <c r="I22" i="25"/>
  <c r="G22" i="25"/>
  <c r="F22" i="25"/>
  <c r="C22" i="25"/>
  <c r="D22" i="25"/>
  <c r="O22" i="25"/>
  <c r="C28" i="5" s="1"/>
  <c r="H22" i="25" l="1"/>
  <c r="B28" i="5"/>
  <c r="N30" i="13"/>
  <c r="E58" i="29"/>
  <c r="N57" i="29"/>
  <c r="M13" i="5" s="1"/>
  <c r="L13" i="5"/>
  <c r="E22" i="25"/>
  <c r="E23" i="25" s="1"/>
  <c r="K22" i="25"/>
  <c r="Q22" i="25" s="1"/>
  <c r="E28" i="5" s="1"/>
  <c r="P22" i="25"/>
  <c r="D23" i="25"/>
  <c r="M22" i="25"/>
  <c r="N22" i="25" s="1"/>
  <c r="L22" i="25" l="1"/>
  <c r="I12" i="5" s="1"/>
  <c r="D28" i="5"/>
  <c r="O28" i="26"/>
  <c r="L28" i="26"/>
  <c r="M28" i="26" s="1"/>
  <c r="J28" i="26"/>
  <c r="P28" i="26" s="1"/>
  <c r="G28" i="26"/>
  <c r="D28" i="26"/>
  <c r="K28" i="26" s="1"/>
  <c r="O11" i="26"/>
  <c r="L11" i="26"/>
  <c r="M11" i="26" s="1"/>
  <c r="J11" i="26"/>
  <c r="P11" i="26" s="1"/>
  <c r="G11" i="26"/>
  <c r="D11" i="26"/>
  <c r="K11" i="26" s="1"/>
  <c r="O10" i="26"/>
  <c r="L10" i="26"/>
  <c r="M10" i="26" s="1"/>
  <c r="J10" i="26"/>
  <c r="P10" i="26" s="1"/>
  <c r="G10" i="26"/>
  <c r="D10" i="26"/>
  <c r="K10" i="26" s="1"/>
  <c r="O20" i="26"/>
  <c r="L20" i="26"/>
  <c r="M20" i="26" s="1"/>
  <c r="J20" i="26"/>
  <c r="P20" i="26" s="1"/>
  <c r="G20" i="26"/>
  <c r="D20" i="26"/>
  <c r="K20" i="26" s="1"/>
  <c r="O24" i="26"/>
  <c r="L24" i="26"/>
  <c r="M24" i="26" s="1"/>
  <c r="J24" i="26"/>
  <c r="P24" i="26" s="1"/>
  <c r="G24" i="26"/>
  <c r="D24" i="26"/>
  <c r="K24" i="26" s="1"/>
  <c r="O3" i="26"/>
  <c r="L3" i="26"/>
  <c r="M3" i="26" s="1"/>
  <c r="J3" i="26"/>
  <c r="P3" i="26" s="1"/>
  <c r="G3" i="26"/>
  <c r="D3" i="26"/>
  <c r="K3" i="26" s="1"/>
  <c r="O13" i="26"/>
  <c r="L13" i="26"/>
  <c r="M13" i="26" s="1"/>
  <c r="J13" i="26"/>
  <c r="P13" i="26" s="1"/>
  <c r="G13" i="26"/>
  <c r="D13" i="26"/>
  <c r="K13" i="26" s="1"/>
  <c r="O17" i="26"/>
  <c r="L17" i="26"/>
  <c r="M17" i="26" s="1"/>
  <c r="J17" i="26"/>
  <c r="P17" i="26" s="1"/>
  <c r="G17" i="26"/>
  <c r="D17" i="26"/>
  <c r="K17" i="26" s="1"/>
  <c r="O9" i="26"/>
  <c r="L9" i="26"/>
  <c r="M9" i="26" s="1"/>
  <c r="J9" i="26"/>
  <c r="P9" i="26" s="1"/>
  <c r="G9" i="26"/>
  <c r="D9" i="26"/>
  <c r="K9" i="26" s="1"/>
  <c r="O26" i="26"/>
  <c r="L26" i="26"/>
  <c r="M26" i="26" s="1"/>
  <c r="J26" i="26"/>
  <c r="P26" i="26" s="1"/>
  <c r="G26" i="26"/>
  <c r="D26" i="26"/>
  <c r="K26" i="26" s="1"/>
  <c r="O5" i="26"/>
  <c r="L5" i="26"/>
  <c r="M5" i="26" s="1"/>
  <c r="J5" i="26"/>
  <c r="P5" i="26" s="1"/>
  <c r="G5" i="26"/>
  <c r="D5" i="26"/>
  <c r="K5" i="26" s="1"/>
  <c r="O1" i="26"/>
  <c r="L1" i="26"/>
  <c r="M1" i="26" s="1"/>
  <c r="J1" i="26"/>
  <c r="P1" i="26" s="1"/>
  <c r="G1" i="26"/>
  <c r="D1" i="26"/>
  <c r="K1" i="26" s="1"/>
  <c r="O14" i="26"/>
  <c r="L14" i="26"/>
  <c r="M14" i="26" s="1"/>
  <c r="J14" i="26"/>
  <c r="P14" i="26" s="1"/>
  <c r="G14" i="26"/>
  <c r="D14" i="26"/>
  <c r="K14" i="26" s="1"/>
  <c r="O18" i="26"/>
  <c r="L18" i="26"/>
  <c r="M18" i="26" s="1"/>
  <c r="J18" i="26"/>
  <c r="P18" i="26" s="1"/>
  <c r="G18" i="26"/>
  <c r="D18" i="26"/>
  <c r="K18" i="26" s="1"/>
  <c r="O25" i="26"/>
  <c r="L25" i="26"/>
  <c r="M25" i="26" s="1"/>
  <c r="J25" i="26"/>
  <c r="P25" i="26" s="1"/>
  <c r="G25" i="26"/>
  <c r="D25" i="26"/>
  <c r="K25" i="26" s="1"/>
  <c r="O19" i="26"/>
  <c r="L19" i="26"/>
  <c r="M19" i="26" s="1"/>
  <c r="J19" i="26"/>
  <c r="P19" i="26" s="1"/>
  <c r="G19" i="26"/>
  <c r="D19" i="26"/>
  <c r="K19" i="26" s="1"/>
  <c r="O21" i="26"/>
  <c r="L21" i="26"/>
  <c r="M21" i="26" s="1"/>
  <c r="J21" i="26"/>
  <c r="P21" i="26" s="1"/>
  <c r="G21" i="26"/>
  <c r="D21" i="26"/>
  <c r="K21" i="26" s="1"/>
  <c r="O27" i="26"/>
  <c r="L27" i="26"/>
  <c r="M27" i="26" s="1"/>
  <c r="J27" i="26"/>
  <c r="P27" i="26" s="1"/>
  <c r="G27" i="26"/>
  <c r="D27" i="26"/>
  <c r="K27" i="26" s="1"/>
  <c r="O6" i="26"/>
  <c r="L6" i="26"/>
  <c r="M6" i="26" s="1"/>
  <c r="J6" i="26"/>
  <c r="P6" i="26" s="1"/>
  <c r="G6" i="26"/>
  <c r="D6" i="26"/>
  <c r="K6" i="26" s="1"/>
  <c r="O22" i="26"/>
  <c r="L22" i="26"/>
  <c r="M22" i="26" s="1"/>
  <c r="J22" i="26"/>
  <c r="P22" i="26" s="1"/>
  <c r="G22" i="26"/>
  <c r="D22" i="26"/>
  <c r="K22" i="26" s="1"/>
  <c r="O23" i="26"/>
  <c r="L23" i="26"/>
  <c r="M23" i="26" s="1"/>
  <c r="J23" i="26"/>
  <c r="P23" i="26" s="1"/>
  <c r="G23" i="26"/>
  <c r="D23" i="26"/>
  <c r="K23" i="26" s="1"/>
  <c r="O2" i="26"/>
  <c r="L2" i="26"/>
  <c r="M2" i="26" s="1"/>
  <c r="J2" i="26"/>
  <c r="P2" i="26" s="1"/>
  <c r="G2" i="26"/>
  <c r="D2" i="26"/>
  <c r="K2" i="26" s="1"/>
  <c r="O8" i="26"/>
  <c r="L8" i="26"/>
  <c r="M8" i="26" s="1"/>
  <c r="J8" i="26"/>
  <c r="P8" i="26" s="1"/>
  <c r="G8" i="26"/>
  <c r="D8" i="26"/>
  <c r="K8" i="26" s="1"/>
  <c r="O4" i="26"/>
  <c r="L4" i="26"/>
  <c r="M4" i="26" s="1"/>
  <c r="J4" i="26"/>
  <c r="P4" i="26" s="1"/>
  <c r="G4" i="26"/>
  <c r="D4" i="26"/>
  <c r="K4" i="26" s="1"/>
  <c r="O16" i="26"/>
  <c r="L16" i="26"/>
  <c r="M16" i="26" s="1"/>
  <c r="J16" i="26"/>
  <c r="P16" i="26" s="1"/>
  <c r="G16" i="26"/>
  <c r="D16" i="26"/>
  <c r="K16" i="26" s="1"/>
  <c r="O7" i="26"/>
  <c r="L7" i="26"/>
  <c r="M7" i="26" s="1"/>
  <c r="J7" i="26"/>
  <c r="P7" i="26" s="1"/>
  <c r="G7" i="26"/>
  <c r="D7" i="26"/>
  <c r="K7" i="26" s="1"/>
  <c r="O15" i="26"/>
  <c r="L15" i="26"/>
  <c r="M15" i="26" s="1"/>
  <c r="J15" i="26"/>
  <c r="P15" i="26" s="1"/>
  <c r="G15" i="26"/>
  <c r="D15" i="26"/>
  <c r="K15" i="26" s="1"/>
  <c r="O12" i="26"/>
  <c r="L12" i="26"/>
  <c r="M12" i="26" s="1"/>
  <c r="J12" i="26"/>
  <c r="P12" i="26" s="1"/>
  <c r="G12" i="26"/>
  <c r="D12" i="26"/>
  <c r="K12" i="26" s="1"/>
  <c r="O53" i="25" l="1"/>
  <c r="J53" i="25"/>
  <c r="I53" i="25"/>
  <c r="I56" i="25" s="1"/>
  <c r="F12" i="5" s="1"/>
  <c r="G53" i="25"/>
  <c r="G56" i="25" s="1"/>
  <c r="D12" i="5" s="1"/>
  <c r="F53" i="25"/>
  <c r="F56" i="25" s="1"/>
  <c r="C12" i="5" s="1"/>
  <c r="D53" i="25"/>
  <c r="C53" i="25"/>
  <c r="K53" i="25"/>
  <c r="Q53" i="25" s="1"/>
  <c r="J28" i="5" s="1"/>
  <c r="C69" i="25"/>
  <c r="O44" i="24"/>
  <c r="O43" i="24"/>
  <c r="O33" i="24"/>
  <c r="O25" i="24"/>
  <c r="O31" i="24"/>
  <c r="O30" i="24"/>
  <c r="O24" i="24"/>
  <c r="O27" i="24"/>
  <c r="O26" i="24"/>
  <c r="O29" i="24"/>
  <c r="O28" i="24"/>
  <c r="O35" i="24"/>
  <c r="O38" i="24"/>
  <c r="O39" i="24"/>
  <c r="O36" i="24"/>
  <c r="O37" i="24"/>
  <c r="O49" i="24"/>
  <c r="O50" i="24"/>
  <c r="O48" i="24"/>
  <c r="O51" i="24"/>
  <c r="O42" i="24"/>
  <c r="O47" i="24"/>
  <c r="O46" i="24"/>
  <c r="O32" i="24"/>
  <c r="D42" i="24"/>
  <c r="F42" i="24"/>
  <c r="G42" i="24"/>
  <c r="I42" i="24"/>
  <c r="J42" i="24"/>
  <c r="C42" i="24"/>
  <c r="D51" i="24"/>
  <c r="F51" i="24"/>
  <c r="G51" i="24"/>
  <c r="I51" i="24"/>
  <c r="J51" i="24"/>
  <c r="C51" i="24"/>
  <c r="D48" i="24"/>
  <c r="F48" i="24"/>
  <c r="G48" i="24"/>
  <c r="I48" i="24"/>
  <c r="J48" i="24"/>
  <c r="C48" i="24"/>
  <c r="D47" i="24"/>
  <c r="F47" i="24"/>
  <c r="G47" i="24"/>
  <c r="I47" i="24"/>
  <c r="J47" i="24"/>
  <c r="C47" i="24"/>
  <c r="D46" i="24"/>
  <c r="F46" i="24"/>
  <c r="G46" i="24"/>
  <c r="I46" i="24"/>
  <c r="J46" i="24"/>
  <c r="C46" i="24"/>
  <c r="D50" i="24"/>
  <c r="F50" i="24"/>
  <c r="G50" i="24"/>
  <c r="I50" i="24"/>
  <c r="J50" i="24"/>
  <c r="C50" i="24"/>
  <c r="D49" i="24"/>
  <c r="F49" i="24"/>
  <c r="G49" i="24"/>
  <c r="I49" i="24"/>
  <c r="J49" i="24"/>
  <c r="C49" i="24"/>
  <c r="D37" i="24"/>
  <c r="F37" i="24"/>
  <c r="G37" i="24"/>
  <c r="I37" i="24"/>
  <c r="J37" i="24"/>
  <c r="C37" i="24"/>
  <c r="D36" i="24"/>
  <c r="F36" i="24"/>
  <c r="G36" i="24"/>
  <c r="I36" i="24"/>
  <c r="J36" i="24"/>
  <c r="C36" i="24"/>
  <c r="D39" i="24"/>
  <c r="F39" i="24"/>
  <c r="G39" i="24"/>
  <c r="I39" i="24"/>
  <c r="J39" i="24"/>
  <c r="C39" i="24"/>
  <c r="D38" i="24"/>
  <c r="F38" i="24"/>
  <c r="G38" i="24"/>
  <c r="I38" i="24"/>
  <c r="J38" i="24"/>
  <c r="C38" i="24"/>
  <c r="D35" i="24"/>
  <c r="F35" i="24"/>
  <c r="G35" i="24"/>
  <c r="I35" i="24"/>
  <c r="J35" i="24"/>
  <c r="C35" i="24"/>
  <c r="D34" i="24"/>
  <c r="F34" i="24"/>
  <c r="G34" i="24"/>
  <c r="I34" i="24"/>
  <c r="J34" i="24"/>
  <c r="C34" i="24"/>
  <c r="D41" i="24"/>
  <c r="F41" i="24"/>
  <c r="G41" i="24"/>
  <c r="I41" i="24"/>
  <c r="J41" i="24"/>
  <c r="C41" i="24"/>
  <c r="D40" i="24"/>
  <c r="F40" i="24"/>
  <c r="G40" i="24"/>
  <c r="I40" i="24"/>
  <c r="J40" i="24"/>
  <c r="C40" i="24"/>
  <c r="D45" i="24"/>
  <c r="F45" i="24"/>
  <c r="G45" i="24"/>
  <c r="I45" i="24"/>
  <c r="J45" i="24"/>
  <c r="C45" i="24"/>
  <c r="D44" i="24"/>
  <c r="F44" i="24"/>
  <c r="G44" i="24"/>
  <c r="I44" i="24"/>
  <c r="J44" i="24"/>
  <c r="C44" i="24"/>
  <c r="D43" i="24"/>
  <c r="F43" i="24"/>
  <c r="G43" i="24"/>
  <c r="I43" i="24"/>
  <c r="J43" i="24"/>
  <c r="C43" i="24"/>
  <c r="D33" i="24"/>
  <c r="F33" i="24"/>
  <c r="G33" i="24"/>
  <c r="I33" i="24"/>
  <c r="J33" i="24"/>
  <c r="C33" i="24"/>
  <c r="D32" i="24"/>
  <c r="F32" i="24"/>
  <c r="G32" i="24"/>
  <c r="I32" i="24"/>
  <c r="J32" i="24"/>
  <c r="C32" i="24"/>
  <c r="D31" i="24"/>
  <c r="F31" i="24"/>
  <c r="G31" i="24"/>
  <c r="I31" i="24"/>
  <c r="J31" i="24"/>
  <c r="C31" i="24"/>
  <c r="D30" i="24"/>
  <c r="F30" i="24"/>
  <c r="G30" i="24"/>
  <c r="I30" i="24"/>
  <c r="J30" i="24"/>
  <c r="C30" i="24"/>
  <c r="D25" i="24"/>
  <c r="F25" i="24"/>
  <c r="G25" i="24"/>
  <c r="I25" i="24"/>
  <c r="J25" i="24"/>
  <c r="C25" i="24"/>
  <c r="D24" i="24"/>
  <c r="F24" i="24"/>
  <c r="G24" i="24"/>
  <c r="I24" i="24"/>
  <c r="J24" i="24"/>
  <c r="C24" i="24"/>
  <c r="D27" i="24"/>
  <c r="F27" i="24"/>
  <c r="G27" i="24"/>
  <c r="I27" i="24"/>
  <c r="J27" i="24"/>
  <c r="C27" i="24"/>
  <c r="D26" i="24"/>
  <c r="F26" i="24"/>
  <c r="G26" i="24"/>
  <c r="I26" i="24"/>
  <c r="J26" i="24"/>
  <c r="C26" i="24"/>
  <c r="D29" i="24"/>
  <c r="F29" i="24"/>
  <c r="G29" i="24"/>
  <c r="I29" i="24"/>
  <c r="J29" i="24"/>
  <c r="C29" i="24"/>
  <c r="D28" i="24"/>
  <c r="F28" i="24"/>
  <c r="G28" i="24"/>
  <c r="I28" i="24"/>
  <c r="J28" i="24"/>
  <c r="C28" i="24"/>
  <c r="O15" i="24"/>
  <c r="O20" i="24"/>
  <c r="O14" i="24"/>
  <c r="O13" i="24"/>
  <c r="O19" i="24"/>
  <c r="O18" i="24"/>
  <c r="O17" i="24"/>
  <c r="O16" i="24"/>
  <c r="O12" i="24"/>
  <c r="O11" i="24"/>
  <c r="O9" i="24"/>
  <c r="O8" i="24"/>
  <c r="O10" i="24"/>
  <c r="I52" i="24" l="1"/>
  <c r="G52" i="24"/>
  <c r="G28" i="5"/>
  <c r="L28" i="5" s="1"/>
  <c r="O30" i="13"/>
  <c r="P30" i="13" s="1"/>
  <c r="C52" i="24"/>
  <c r="F52" i="24"/>
  <c r="C56" i="25"/>
  <c r="B12" i="5" s="1"/>
  <c r="J52" i="24"/>
  <c r="D52" i="24"/>
  <c r="E12" i="5"/>
  <c r="C70" i="25"/>
  <c r="C72" i="25" s="1"/>
  <c r="H28" i="5"/>
  <c r="P53" i="25"/>
  <c r="D56" i="25"/>
  <c r="J56" i="25"/>
  <c r="G12" i="5" s="1"/>
  <c r="K56" i="25"/>
  <c r="Q56" i="25" s="1"/>
  <c r="O28" i="5" s="1"/>
  <c r="D54" i="25"/>
  <c r="H53" i="25"/>
  <c r="M53" i="25"/>
  <c r="N53" i="25" s="1"/>
  <c r="M56" i="25"/>
  <c r="O56" i="25"/>
  <c r="E53" i="25"/>
  <c r="E54" i="25" s="1"/>
  <c r="O7" i="24"/>
  <c r="O6" i="24"/>
  <c r="D15" i="24"/>
  <c r="F15" i="24"/>
  <c r="G15" i="24"/>
  <c r="I15" i="24"/>
  <c r="J15" i="24"/>
  <c r="C15" i="24"/>
  <c r="D20" i="24"/>
  <c r="F20" i="24"/>
  <c r="G20" i="24"/>
  <c r="I20" i="24"/>
  <c r="J20" i="24"/>
  <c r="C20" i="24"/>
  <c r="D14" i="24"/>
  <c r="F14" i="24"/>
  <c r="G14" i="24"/>
  <c r="I14" i="24"/>
  <c r="J14" i="24"/>
  <c r="C14" i="24"/>
  <c r="D13" i="24"/>
  <c r="F13" i="24"/>
  <c r="G13" i="24"/>
  <c r="I13" i="24"/>
  <c r="J13" i="24"/>
  <c r="C13" i="24"/>
  <c r="D19" i="24"/>
  <c r="F19" i="24"/>
  <c r="G19" i="24"/>
  <c r="I19" i="24"/>
  <c r="J19" i="24"/>
  <c r="C19" i="24"/>
  <c r="D18" i="24"/>
  <c r="F18" i="24"/>
  <c r="G18" i="24"/>
  <c r="I18" i="24"/>
  <c r="J18" i="24"/>
  <c r="C18" i="24"/>
  <c r="D17" i="24"/>
  <c r="F17" i="24"/>
  <c r="G17" i="24"/>
  <c r="I17" i="24"/>
  <c r="J17" i="24"/>
  <c r="C17" i="24"/>
  <c r="D16" i="24"/>
  <c r="F16" i="24"/>
  <c r="G16" i="24"/>
  <c r="I16" i="24"/>
  <c r="J16" i="24"/>
  <c r="C16" i="24"/>
  <c r="D12" i="24"/>
  <c r="F12" i="24"/>
  <c r="G12" i="24"/>
  <c r="I12" i="24"/>
  <c r="J12" i="24"/>
  <c r="C12" i="24"/>
  <c r="D11" i="24"/>
  <c r="F11" i="24"/>
  <c r="G11" i="24"/>
  <c r="I11" i="24"/>
  <c r="J11" i="24"/>
  <c r="C11" i="24"/>
  <c r="D9" i="24"/>
  <c r="F9" i="24"/>
  <c r="G9" i="24"/>
  <c r="I9" i="24"/>
  <c r="J9" i="24"/>
  <c r="C9" i="24"/>
  <c r="D8" i="24"/>
  <c r="F8" i="24"/>
  <c r="G8" i="24"/>
  <c r="I8" i="24"/>
  <c r="J8" i="24"/>
  <c r="C8" i="24"/>
  <c r="D10" i="24"/>
  <c r="F10" i="24"/>
  <c r="G10" i="24"/>
  <c r="I10" i="24"/>
  <c r="J10" i="24"/>
  <c r="C10" i="24"/>
  <c r="D7" i="24"/>
  <c r="F7" i="24"/>
  <c r="G7" i="24"/>
  <c r="I7" i="24"/>
  <c r="J7" i="24"/>
  <c r="C7" i="24"/>
  <c r="D6" i="24"/>
  <c r="F6" i="24"/>
  <c r="G6" i="24"/>
  <c r="I6" i="24"/>
  <c r="J6" i="24"/>
  <c r="C6" i="24"/>
  <c r="P29" i="13"/>
  <c r="D52" i="23"/>
  <c r="F52" i="23"/>
  <c r="G52" i="23"/>
  <c r="I52" i="23"/>
  <c r="J52" i="23"/>
  <c r="P43" i="23"/>
  <c r="P51" i="23"/>
  <c r="M51" i="23"/>
  <c r="N51" i="23" s="1"/>
  <c r="K51" i="23"/>
  <c r="H51" i="23"/>
  <c r="H34" i="24" s="1"/>
  <c r="E51" i="23"/>
  <c r="P50" i="23"/>
  <c r="M50" i="23"/>
  <c r="N50" i="23" s="1"/>
  <c r="K50" i="23"/>
  <c r="H50" i="23"/>
  <c r="H49" i="24" s="1"/>
  <c r="E50" i="23"/>
  <c r="P49" i="23"/>
  <c r="M49" i="23"/>
  <c r="N49" i="23" s="1"/>
  <c r="K49" i="23"/>
  <c r="H49" i="23"/>
  <c r="H47" i="24" s="1"/>
  <c r="E49" i="23"/>
  <c r="P48" i="23"/>
  <c r="M48" i="23"/>
  <c r="N48" i="23" s="1"/>
  <c r="K48" i="23"/>
  <c r="H48" i="23"/>
  <c r="H48" i="24" s="1"/>
  <c r="E48" i="23"/>
  <c r="P47" i="23"/>
  <c r="M47" i="23"/>
  <c r="N47" i="23" s="1"/>
  <c r="K47" i="23"/>
  <c r="H47" i="23"/>
  <c r="H45" i="24" s="1"/>
  <c r="E47" i="23"/>
  <c r="P46" i="23"/>
  <c r="M46" i="23"/>
  <c r="N46" i="23" s="1"/>
  <c r="K46" i="23"/>
  <c r="H46" i="23"/>
  <c r="H51" i="24" s="1"/>
  <c r="E46" i="23"/>
  <c r="P45" i="23"/>
  <c r="M45" i="23"/>
  <c r="N45" i="23" s="1"/>
  <c r="K45" i="23"/>
  <c r="H45" i="23"/>
  <c r="H43" i="24" s="1"/>
  <c r="E45" i="23"/>
  <c r="P44" i="23"/>
  <c r="M44" i="23"/>
  <c r="N44" i="23" s="1"/>
  <c r="K44" i="23"/>
  <c r="H44" i="23"/>
  <c r="H36" i="24" s="1"/>
  <c r="E44" i="23"/>
  <c r="M43" i="23"/>
  <c r="N43" i="23" s="1"/>
  <c r="K43" i="23"/>
  <c r="H43" i="23"/>
  <c r="H32" i="24" s="1"/>
  <c r="E43" i="23"/>
  <c r="P42" i="23"/>
  <c r="M42" i="23"/>
  <c r="N42" i="23" s="1"/>
  <c r="K42" i="23"/>
  <c r="H42" i="23"/>
  <c r="H39" i="24" s="1"/>
  <c r="E42" i="23"/>
  <c r="P41" i="23"/>
  <c r="M41" i="23"/>
  <c r="N41" i="23" s="1"/>
  <c r="K41" i="23"/>
  <c r="H41" i="23"/>
  <c r="H41" i="24" s="1"/>
  <c r="E41" i="23"/>
  <c r="P40" i="23"/>
  <c r="M40" i="23"/>
  <c r="N40" i="23" s="1"/>
  <c r="K40" i="23"/>
  <c r="H40" i="23"/>
  <c r="H42" i="24" s="1"/>
  <c r="E40" i="23"/>
  <c r="P39" i="23"/>
  <c r="M39" i="23"/>
  <c r="N39" i="23" s="1"/>
  <c r="K39" i="23"/>
  <c r="H39" i="23"/>
  <c r="H40" i="24" s="1"/>
  <c r="E39" i="23"/>
  <c r="P38" i="23"/>
  <c r="M38" i="23"/>
  <c r="N38" i="23" s="1"/>
  <c r="K38" i="23"/>
  <c r="H38" i="23"/>
  <c r="H38" i="24" s="1"/>
  <c r="E38" i="23"/>
  <c r="P37" i="23"/>
  <c r="M37" i="23"/>
  <c r="N37" i="23" s="1"/>
  <c r="K37" i="23"/>
  <c r="H37" i="23"/>
  <c r="H27" i="24" s="1"/>
  <c r="E37" i="23"/>
  <c r="P36" i="23"/>
  <c r="M36" i="23"/>
  <c r="N36" i="23" s="1"/>
  <c r="K36" i="23"/>
  <c r="H36" i="23"/>
  <c r="H50" i="24" s="1"/>
  <c r="E36" i="23"/>
  <c r="P35" i="23"/>
  <c r="M35" i="23"/>
  <c r="N35" i="23" s="1"/>
  <c r="K35" i="23"/>
  <c r="H35" i="23"/>
  <c r="H46" i="24" s="1"/>
  <c r="E35" i="23"/>
  <c r="P34" i="23"/>
  <c r="M34" i="23"/>
  <c r="N34" i="23" s="1"/>
  <c r="K34" i="23"/>
  <c r="H34" i="23"/>
  <c r="H44" i="24" s="1"/>
  <c r="E34" i="23"/>
  <c r="P33" i="23"/>
  <c r="M33" i="23"/>
  <c r="N33" i="23" s="1"/>
  <c r="K33" i="23"/>
  <c r="H33" i="23"/>
  <c r="H28" i="24" s="1"/>
  <c r="E33" i="23"/>
  <c r="P32" i="23"/>
  <c r="M32" i="23"/>
  <c r="N32" i="23" s="1"/>
  <c r="K32" i="23"/>
  <c r="H32" i="23"/>
  <c r="H33" i="24" s="1"/>
  <c r="E32" i="23"/>
  <c r="P31" i="23"/>
  <c r="M31" i="23"/>
  <c r="N31" i="23" s="1"/>
  <c r="K31" i="23"/>
  <c r="H31" i="23"/>
  <c r="H37" i="24" s="1"/>
  <c r="E31" i="23"/>
  <c r="P29" i="23"/>
  <c r="M29" i="23"/>
  <c r="N29" i="23" s="1"/>
  <c r="K29" i="23"/>
  <c r="H29" i="23"/>
  <c r="H25" i="24" s="1"/>
  <c r="E29" i="23"/>
  <c r="P28" i="23"/>
  <c r="M28" i="23"/>
  <c r="N28" i="23" s="1"/>
  <c r="K28" i="23"/>
  <c r="H28" i="23"/>
  <c r="H31" i="24" s="1"/>
  <c r="E28" i="23"/>
  <c r="P27" i="23"/>
  <c r="M27" i="23"/>
  <c r="N27" i="23" s="1"/>
  <c r="K27" i="23"/>
  <c r="H27" i="23"/>
  <c r="H24" i="24" s="1"/>
  <c r="E27" i="23"/>
  <c r="P26" i="23"/>
  <c r="M26" i="23"/>
  <c r="N26" i="23" s="1"/>
  <c r="K26" i="23"/>
  <c r="H26" i="23"/>
  <c r="H30" i="24" s="1"/>
  <c r="E26" i="23"/>
  <c r="P25" i="23"/>
  <c r="M25" i="23"/>
  <c r="N25" i="23" s="1"/>
  <c r="K25" i="23"/>
  <c r="H25" i="23"/>
  <c r="H29" i="24" s="1"/>
  <c r="E25" i="23"/>
  <c r="P24" i="23"/>
  <c r="M24" i="23"/>
  <c r="N24" i="23" s="1"/>
  <c r="K24" i="23"/>
  <c r="H24" i="23"/>
  <c r="H26" i="24" s="1"/>
  <c r="E24" i="23"/>
  <c r="P30" i="23"/>
  <c r="M30" i="23"/>
  <c r="N30" i="23" s="1"/>
  <c r="K30" i="23"/>
  <c r="H30" i="23"/>
  <c r="H35" i="24" s="1"/>
  <c r="E30" i="23"/>
  <c r="D21" i="23"/>
  <c r="F21" i="23"/>
  <c r="G21" i="23"/>
  <c r="I21" i="23"/>
  <c r="J21" i="23"/>
  <c r="P20" i="23"/>
  <c r="M20" i="23"/>
  <c r="N20" i="23" s="1"/>
  <c r="K20" i="23"/>
  <c r="Q20" i="23" s="1"/>
  <c r="H20" i="23"/>
  <c r="H13" i="24" s="1"/>
  <c r="E20" i="23"/>
  <c r="L20" i="23" s="1"/>
  <c r="P19" i="23"/>
  <c r="M19" i="23"/>
  <c r="N19" i="23" s="1"/>
  <c r="K19" i="23"/>
  <c r="Q19" i="23" s="1"/>
  <c r="H19" i="23"/>
  <c r="H20" i="24" s="1"/>
  <c r="E19" i="23"/>
  <c r="L19" i="23" s="1"/>
  <c r="P18" i="23"/>
  <c r="M18" i="23"/>
  <c r="N18" i="23" s="1"/>
  <c r="K18" i="23"/>
  <c r="Q18" i="23" s="1"/>
  <c r="H18" i="23"/>
  <c r="H18" i="24" s="1"/>
  <c r="E18" i="23"/>
  <c r="L18" i="23" s="1"/>
  <c r="P17" i="23"/>
  <c r="M17" i="23"/>
  <c r="N17" i="23" s="1"/>
  <c r="K17" i="23"/>
  <c r="Q17" i="23" s="1"/>
  <c r="H17" i="23"/>
  <c r="H19" i="24" s="1"/>
  <c r="E17" i="23"/>
  <c r="L17" i="23" s="1"/>
  <c r="P16" i="23"/>
  <c r="M16" i="23"/>
  <c r="N16" i="23" s="1"/>
  <c r="K16" i="23"/>
  <c r="Q16" i="23" s="1"/>
  <c r="H16" i="23"/>
  <c r="H16" i="24" s="1"/>
  <c r="E16" i="23"/>
  <c r="L16" i="23" s="1"/>
  <c r="P15" i="23"/>
  <c r="M15" i="23"/>
  <c r="N15" i="23" s="1"/>
  <c r="K15" i="23"/>
  <c r="Q15" i="23" s="1"/>
  <c r="H15" i="23"/>
  <c r="H15" i="24" s="1"/>
  <c r="E15" i="23"/>
  <c r="L15" i="23" s="1"/>
  <c r="P14" i="23"/>
  <c r="M14" i="23"/>
  <c r="N14" i="23" s="1"/>
  <c r="K14" i="23"/>
  <c r="Q14" i="23" s="1"/>
  <c r="H14" i="23"/>
  <c r="H17" i="24" s="1"/>
  <c r="E14" i="23"/>
  <c r="L14" i="23" s="1"/>
  <c r="P13" i="23"/>
  <c r="M13" i="23"/>
  <c r="N13" i="23" s="1"/>
  <c r="K13" i="23"/>
  <c r="Q13" i="23" s="1"/>
  <c r="H13" i="23"/>
  <c r="H12" i="24" s="1"/>
  <c r="E13" i="23"/>
  <c r="L13" i="23" s="1"/>
  <c r="P12" i="23"/>
  <c r="M12" i="23"/>
  <c r="N12" i="23" s="1"/>
  <c r="K12" i="23"/>
  <c r="Q12" i="23" s="1"/>
  <c r="H12" i="23"/>
  <c r="H11" i="24" s="1"/>
  <c r="E12" i="23"/>
  <c r="L12" i="23" s="1"/>
  <c r="P11" i="23"/>
  <c r="M11" i="23"/>
  <c r="N11" i="23" s="1"/>
  <c r="K11" i="23"/>
  <c r="Q11" i="23" s="1"/>
  <c r="H11" i="23"/>
  <c r="H8" i="24" s="1"/>
  <c r="E11" i="23"/>
  <c r="L11" i="23" s="1"/>
  <c r="P10" i="23"/>
  <c r="M10" i="23"/>
  <c r="N10" i="23" s="1"/>
  <c r="K10" i="23"/>
  <c r="Q10" i="23" s="1"/>
  <c r="H10" i="23"/>
  <c r="H14" i="24" s="1"/>
  <c r="E10" i="23"/>
  <c r="L10" i="23" s="1"/>
  <c r="P9" i="23"/>
  <c r="M9" i="23"/>
  <c r="N9" i="23" s="1"/>
  <c r="K9" i="23"/>
  <c r="Q9" i="23" s="1"/>
  <c r="H9" i="23"/>
  <c r="H7" i="24" s="1"/>
  <c r="E9" i="23"/>
  <c r="L9" i="23" s="1"/>
  <c r="P8" i="23"/>
  <c r="M8" i="23"/>
  <c r="N8" i="23" s="1"/>
  <c r="K8" i="23"/>
  <c r="Q8" i="23" s="1"/>
  <c r="H8" i="23"/>
  <c r="H6" i="24" s="1"/>
  <c r="E8" i="23"/>
  <c r="L8" i="23" s="1"/>
  <c r="P7" i="23"/>
  <c r="M7" i="23"/>
  <c r="N7" i="23" s="1"/>
  <c r="K7" i="23"/>
  <c r="Q7" i="23" s="1"/>
  <c r="H7" i="23"/>
  <c r="H10" i="24" s="1"/>
  <c r="E7" i="23"/>
  <c r="L7" i="23" s="1"/>
  <c r="P6" i="23"/>
  <c r="M6" i="23"/>
  <c r="N6" i="23" s="1"/>
  <c r="K6" i="23"/>
  <c r="Q6" i="23" s="1"/>
  <c r="H6" i="23"/>
  <c r="H9" i="24" s="1"/>
  <c r="E6" i="23"/>
  <c r="L6" i="23" s="1"/>
  <c r="D57" i="25" l="1"/>
  <c r="E52" i="23"/>
  <c r="P56" i="25"/>
  <c r="N56" i="25"/>
  <c r="M12" i="5" s="1"/>
  <c r="L12" i="5"/>
  <c r="I28" i="5"/>
  <c r="M28" i="5"/>
  <c r="N28" i="5" s="1"/>
  <c r="Q30" i="23"/>
  <c r="K35" i="24"/>
  <c r="L25" i="23"/>
  <c r="E29" i="24"/>
  <c r="Q27" i="23"/>
  <c r="K24" i="24"/>
  <c r="L29" i="23"/>
  <c r="E25" i="24"/>
  <c r="Q32" i="23"/>
  <c r="K33" i="24"/>
  <c r="L34" i="23"/>
  <c r="E44" i="24"/>
  <c r="Q36" i="23"/>
  <c r="K50" i="24"/>
  <c r="L38" i="23"/>
  <c r="E38" i="24"/>
  <c r="Q40" i="23"/>
  <c r="K42" i="24"/>
  <c r="L42" i="23"/>
  <c r="E39" i="24"/>
  <c r="Q45" i="23"/>
  <c r="K43" i="24"/>
  <c r="L47" i="23"/>
  <c r="E45" i="24"/>
  <c r="Q49" i="23"/>
  <c r="K47" i="24"/>
  <c r="L51" i="23"/>
  <c r="E34" i="24"/>
  <c r="K6" i="24"/>
  <c r="E10" i="24"/>
  <c r="K9" i="24"/>
  <c r="E12" i="24"/>
  <c r="L12" i="24" s="1"/>
  <c r="K17" i="24"/>
  <c r="Q17" i="24" s="1"/>
  <c r="E19" i="24"/>
  <c r="K14" i="24"/>
  <c r="E15" i="24"/>
  <c r="Q24" i="23"/>
  <c r="K26" i="24"/>
  <c r="L26" i="23"/>
  <c r="E30" i="24"/>
  <c r="Q28" i="23"/>
  <c r="K31" i="24"/>
  <c r="L31" i="23"/>
  <c r="E37" i="24"/>
  <c r="Q33" i="23"/>
  <c r="K28" i="24"/>
  <c r="L35" i="23"/>
  <c r="E46" i="24"/>
  <c r="Q37" i="23"/>
  <c r="K27" i="24"/>
  <c r="L39" i="23"/>
  <c r="E40" i="24"/>
  <c r="Q41" i="23"/>
  <c r="K41" i="24"/>
  <c r="L43" i="23"/>
  <c r="E32" i="24"/>
  <c r="L44" i="23"/>
  <c r="E36" i="24"/>
  <c r="Q46" i="23"/>
  <c r="K51" i="24"/>
  <c r="L48" i="23"/>
  <c r="E48" i="24"/>
  <c r="Q50" i="23"/>
  <c r="K49" i="24"/>
  <c r="H52" i="23"/>
  <c r="K7" i="24"/>
  <c r="E8" i="24"/>
  <c r="K11" i="24"/>
  <c r="Q11" i="24" s="1"/>
  <c r="E16" i="24"/>
  <c r="K18" i="24"/>
  <c r="E13" i="24"/>
  <c r="K20" i="24"/>
  <c r="Q20" i="24" s="1"/>
  <c r="L30" i="23"/>
  <c r="E35" i="24"/>
  <c r="Q25" i="23"/>
  <c r="K29" i="24"/>
  <c r="L27" i="23"/>
  <c r="E24" i="24"/>
  <c r="Q29" i="23"/>
  <c r="K25" i="24"/>
  <c r="L32" i="23"/>
  <c r="E33" i="24"/>
  <c r="Q34" i="23"/>
  <c r="K44" i="24"/>
  <c r="L36" i="23"/>
  <c r="E50" i="24"/>
  <c r="Q38" i="23"/>
  <c r="K38" i="24"/>
  <c r="L40" i="23"/>
  <c r="E42" i="24"/>
  <c r="Q42" i="23"/>
  <c r="K39" i="24"/>
  <c r="L45" i="23"/>
  <c r="E43" i="24"/>
  <c r="Q47" i="23"/>
  <c r="K45" i="24"/>
  <c r="L49" i="23"/>
  <c r="E47" i="24"/>
  <c r="Q51" i="23"/>
  <c r="K34" i="24"/>
  <c r="K52" i="23"/>
  <c r="E6" i="24"/>
  <c r="K10" i="24"/>
  <c r="Q10" i="24" s="1"/>
  <c r="E9" i="24"/>
  <c r="E21" i="24" s="1"/>
  <c r="K12" i="24"/>
  <c r="Q12" i="24" s="1"/>
  <c r="E17" i="24"/>
  <c r="K19" i="24"/>
  <c r="E14" i="24"/>
  <c r="K15" i="24"/>
  <c r="Q15" i="24" s="1"/>
  <c r="L24" i="23"/>
  <c r="E26" i="24"/>
  <c r="Q26" i="23"/>
  <c r="K30" i="24"/>
  <c r="H52" i="24"/>
  <c r="L28" i="23"/>
  <c r="E31" i="24"/>
  <c r="Q31" i="23"/>
  <c r="K37" i="24"/>
  <c r="L33" i="23"/>
  <c r="E28" i="24"/>
  <c r="Q35" i="23"/>
  <c r="K46" i="24"/>
  <c r="L37" i="23"/>
  <c r="E27" i="24"/>
  <c r="Q39" i="23"/>
  <c r="K40" i="24"/>
  <c r="L41" i="23"/>
  <c r="E41" i="24"/>
  <c r="Q43" i="23"/>
  <c r="K32" i="24"/>
  <c r="Q44" i="23"/>
  <c r="K36" i="24"/>
  <c r="L46" i="23"/>
  <c r="E51" i="24"/>
  <c r="Q48" i="23"/>
  <c r="K48" i="24"/>
  <c r="L50" i="23"/>
  <c r="E49" i="24"/>
  <c r="E7" i="24"/>
  <c r="K8" i="24"/>
  <c r="E11" i="24"/>
  <c r="L11" i="24" s="1"/>
  <c r="K16" i="24"/>
  <c r="Q16" i="24" s="1"/>
  <c r="E18" i="24"/>
  <c r="K13" i="24"/>
  <c r="Q13" i="24" s="1"/>
  <c r="E20" i="24"/>
  <c r="H56" i="25"/>
  <c r="L53" i="25"/>
  <c r="J12" i="5" s="1"/>
  <c r="E56" i="25"/>
  <c r="P6" i="24"/>
  <c r="Q8" i="24"/>
  <c r="H21" i="23"/>
  <c r="E21" i="23"/>
  <c r="K21" i="23"/>
  <c r="C52" i="23"/>
  <c r="G27" i="5" s="1"/>
  <c r="P51" i="24"/>
  <c r="M48" i="24"/>
  <c r="N48" i="24" s="1"/>
  <c r="P46" i="24"/>
  <c r="P50" i="24"/>
  <c r="P39" i="24"/>
  <c r="O34" i="24"/>
  <c r="O41" i="24"/>
  <c r="P41" i="24" s="1"/>
  <c r="O40" i="24"/>
  <c r="O45" i="24"/>
  <c r="P44" i="24"/>
  <c r="P30" i="24"/>
  <c r="P27" i="24"/>
  <c r="P26" i="24"/>
  <c r="M15" i="24"/>
  <c r="N15" i="24" s="1"/>
  <c r="L15" i="24"/>
  <c r="P15" i="24"/>
  <c r="P20" i="24"/>
  <c r="M20" i="24"/>
  <c r="N20" i="24" s="1"/>
  <c r="M14" i="24"/>
  <c r="N14" i="24" s="1"/>
  <c r="P14" i="24"/>
  <c r="L13" i="24"/>
  <c r="M13" i="24"/>
  <c r="N13" i="24" s="1"/>
  <c r="P13" i="24"/>
  <c r="P19" i="24"/>
  <c r="M19" i="24"/>
  <c r="N19" i="24" s="1"/>
  <c r="M18" i="24"/>
  <c r="N18" i="24" s="1"/>
  <c r="P18" i="24"/>
  <c r="M17" i="24"/>
  <c r="N17" i="24" s="1"/>
  <c r="P17" i="24"/>
  <c r="L16" i="24"/>
  <c r="M16" i="24"/>
  <c r="N16" i="24" s="1"/>
  <c r="P16" i="24"/>
  <c r="M12" i="24"/>
  <c r="N12" i="24" s="1"/>
  <c r="P12" i="24"/>
  <c r="P11" i="24"/>
  <c r="M11" i="24"/>
  <c r="N11" i="24" s="1"/>
  <c r="P9" i="24"/>
  <c r="M9" i="24"/>
  <c r="N9" i="24" s="1"/>
  <c r="P8" i="24"/>
  <c r="M8" i="24"/>
  <c r="N8" i="24" s="1"/>
  <c r="M10" i="24"/>
  <c r="N10" i="24" s="1"/>
  <c r="L10" i="24"/>
  <c r="P10" i="24"/>
  <c r="P7" i="24"/>
  <c r="M7" i="24"/>
  <c r="N7" i="24" s="1"/>
  <c r="J21" i="24"/>
  <c r="H21" i="24"/>
  <c r="D21" i="24"/>
  <c r="O21" i="24"/>
  <c r="M6" i="24"/>
  <c r="N6" i="24" s="1"/>
  <c r="G21" i="24"/>
  <c r="F21" i="24"/>
  <c r="C21" i="24"/>
  <c r="O52" i="23"/>
  <c r="O21" i="23"/>
  <c r="C21" i="23"/>
  <c r="B27" i="5" s="1"/>
  <c r="K21" i="24" l="1"/>
  <c r="L8" i="24"/>
  <c r="Q6" i="24"/>
  <c r="Q46" i="24"/>
  <c r="C69" i="23"/>
  <c r="H27" i="5"/>
  <c r="I27" i="5" s="1"/>
  <c r="P34" i="24"/>
  <c r="O52" i="24"/>
  <c r="O55" i="24" s="1"/>
  <c r="E52" i="24"/>
  <c r="K52" i="24"/>
  <c r="L27" i="5"/>
  <c r="C68" i="23"/>
  <c r="C27" i="5"/>
  <c r="L46" i="24"/>
  <c r="E57" i="25"/>
  <c r="L56" i="25"/>
  <c r="K12" i="5" s="1"/>
  <c r="M26" i="24"/>
  <c r="N26" i="24" s="1"/>
  <c r="M30" i="24"/>
  <c r="N30" i="24" s="1"/>
  <c r="Q51" i="24"/>
  <c r="P29" i="24"/>
  <c r="P49" i="24"/>
  <c r="L42" i="24"/>
  <c r="M33" i="24"/>
  <c r="N33" i="24" s="1"/>
  <c r="M28" i="24"/>
  <c r="N28" i="24" s="1"/>
  <c r="M44" i="24"/>
  <c r="N44" i="24" s="1"/>
  <c r="M34" i="24"/>
  <c r="N34" i="24" s="1"/>
  <c r="M42" i="24"/>
  <c r="N42" i="24" s="1"/>
  <c r="P24" i="24"/>
  <c r="P32" i="24"/>
  <c r="P45" i="24"/>
  <c r="P37" i="24"/>
  <c r="P47" i="24"/>
  <c r="L51" i="24"/>
  <c r="L36" i="24"/>
  <c r="Q26" i="24"/>
  <c r="M46" i="24"/>
  <c r="N46" i="24" s="1"/>
  <c r="M51" i="24"/>
  <c r="N51" i="24" s="1"/>
  <c r="M25" i="24"/>
  <c r="N25" i="24" s="1"/>
  <c r="L40" i="24"/>
  <c r="M29" i="24"/>
  <c r="N29" i="24" s="1"/>
  <c r="M32" i="24"/>
  <c r="N32" i="24" s="1"/>
  <c r="M45" i="24"/>
  <c r="N45" i="24" s="1"/>
  <c r="L49" i="24"/>
  <c r="M37" i="24"/>
  <c r="N37" i="24" s="1"/>
  <c r="M38" i="24"/>
  <c r="N38" i="24" s="1"/>
  <c r="P36" i="24"/>
  <c r="P25" i="24"/>
  <c r="M31" i="24"/>
  <c r="N31" i="24" s="1"/>
  <c r="L34" i="24"/>
  <c r="P33" i="24"/>
  <c r="P40" i="24"/>
  <c r="P38" i="24"/>
  <c r="Q38" i="24"/>
  <c r="M39" i="24"/>
  <c r="N39" i="24" s="1"/>
  <c r="J55" i="24"/>
  <c r="H55" i="24"/>
  <c r="P48" i="24"/>
  <c r="M24" i="24"/>
  <c r="N24" i="24" s="1"/>
  <c r="Q30" i="24"/>
  <c r="L43" i="24"/>
  <c r="L38" i="24"/>
  <c r="M47" i="24"/>
  <c r="N47" i="24" s="1"/>
  <c r="Q28" i="24"/>
  <c r="Q34" i="24"/>
  <c r="E55" i="24"/>
  <c r="M43" i="24"/>
  <c r="N43" i="24" s="1"/>
  <c r="Q40" i="24"/>
  <c r="M35" i="24"/>
  <c r="N35" i="24" s="1"/>
  <c r="M36" i="24"/>
  <c r="N36" i="24" s="1"/>
  <c r="Q49" i="24"/>
  <c r="L24" i="24"/>
  <c r="M49" i="24"/>
  <c r="N49" i="24" s="1"/>
  <c r="L28" i="24"/>
  <c r="D55" i="24"/>
  <c r="Q24" i="24"/>
  <c r="M41" i="24"/>
  <c r="N41" i="24" s="1"/>
  <c r="M50" i="24"/>
  <c r="N50" i="24" s="1"/>
  <c r="C55" i="24"/>
  <c r="M40" i="24"/>
  <c r="N40" i="24" s="1"/>
  <c r="G55" i="24"/>
  <c r="L30" i="24"/>
  <c r="P31" i="24"/>
  <c r="P43" i="24"/>
  <c r="Q43" i="24"/>
  <c r="P35" i="24"/>
  <c r="Q36" i="24"/>
  <c r="P42" i="24"/>
  <c r="Q42" i="24"/>
  <c r="Q21" i="24"/>
  <c r="Q21" i="23"/>
  <c r="E27" i="5" s="1"/>
  <c r="C71" i="23"/>
  <c r="P52" i="23"/>
  <c r="Q52" i="23"/>
  <c r="J27" i="5" s="1"/>
  <c r="E53" i="23"/>
  <c r="M52" i="23"/>
  <c r="N52" i="23" s="1"/>
  <c r="G55" i="23"/>
  <c r="D11" i="5" s="1"/>
  <c r="D55" i="23"/>
  <c r="D53" i="23"/>
  <c r="C55" i="23"/>
  <c r="B11" i="5" s="1"/>
  <c r="I55" i="23"/>
  <c r="F55" i="23"/>
  <c r="J55" i="23"/>
  <c r="G11" i="5" s="1"/>
  <c r="M21" i="23"/>
  <c r="N21" i="23" s="1"/>
  <c r="P21" i="24"/>
  <c r="E22" i="24"/>
  <c r="L21" i="24"/>
  <c r="D22" i="24"/>
  <c r="M27" i="24"/>
  <c r="N27" i="24" s="1"/>
  <c r="L17" i="24"/>
  <c r="I21" i="24"/>
  <c r="P28" i="24"/>
  <c r="L26" i="24"/>
  <c r="L6" i="24"/>
  <c r="L20" i="24"/>
  <c r="P21" i="23"/>
  <c r="O55" i="23"/>
  <c r="D22" i="23"/>
  <c r="M27" i="5" l="1"/>
  <c r="D27" i="5"/>
  <c r="N27" i="5"/>
  <c r="L52" i="24"/>
  <c r="E53" i="24"/>
  <c r="D53" i="24"/>
  <c r="P52" i="24"/>
  <c r="Q52" i="24"/>
  <c r="K55" i="24"/>
  <c r="Q55" i="24" s="1"/>
  <c r="M52" i="24"/>
  <c r="N52" i="24" s="1"/>
  <c r="F55" i="24"/>
  <c r="L55" i="24" s="1"/>
  <c r="P55" i="24"/>
  <c r="E56" i="24"/>
  <c r="D56" i="24"/>
  <c r="K55" i="23"/>
  <c r="Q55" i="23" s="1"/>
  <c r="O27" i="5" s="1"/>
  <c r="H55" i="23"/>
  <c r="C11" i="5" s="1"/>
  <c r="E11" i="5" s="1"/>
  <c r="D56" i="23"/>
  <c r="M55" i="23"/>
  <c r="L52" i="23"/>
  <c r="J11" i="5" s="1"/>
  <c r="P55" i="23"/>
  <c r="I55" i="24"/>
  <c r="M21" i="24"/>
  <c r="N21" i="24" s="1"/>
  <c r="E55" i="23"/>
  <c r="E22" i="23"/>
  <c r="L21" i="23"/>
  <c r="I11" i="5" s="1"/>
  <c r="N55" i="23" l="1"/>
  <c r="M11" i="5" s="1"/>
  <c r="L11" i="5"/>
  <c r="M55" i="24"/>
  <c r="N55" i="24" s="1"/>
  <c r="E56" i="23"/>
  <c r="L55" i="23"/>
  <c r="K11" i="5" s="1"/>
  <c r="C26" i="2" l="1"/>
  <c r="D26" i="2"/>
  <c r="E26" i="2"/>
  <c r="F26" i="2"/>
  <c r="G26" i="2"/>
  <c r="H26" i="2"/>
  <c r="C58" i="2"/>
  <c r="D58" i="2"/>
  <c r="E58" i="2"/>
  <c r="F58" i="2"/>
  <c r="G58" i="2"/>
  <c r="H58" i="2"/>
  <c r="P28" i="13"/>
  <c r="U11" i="13"/>
  <c r="U12" i="13"/>
  <c r="T11" i="13"/>
  <c r="T12" i="13"/>
  <c r="K11" i="3"/>
  <c r="O50" i="21"/>
  <c r="O49" i="21"/>
  <c r="O48" i="21"/>
  <c r="O47" i="21"/>
  <c r="O51" i="21"/>
  <c r="O46" i="21"/>
  <c r="O45" i="21"/>
  <c r="O44" i="21"/>
  <c r="O43" i="21"/>
  <c r="O36" i="21"/>
  <c r="O35" i="21"/>
  <c r="O34" i="21"/>
  <c r="O40" i="21"/>
  <c r="O39" i="21"/>
  <c r="O52" i="21"/>
  <c r="O42" i="21"/>
  <c r="O41" i="21"/>
  <c r="O38" i="21"/>
  <c r="O37" i="21"/>
  <c r="O33" i="21"/>
  <c r="O32" i="21"/>
  <c r="O31" i="21"/>
  <c r="O30" i="21"/>
  <c r="O27" i="21"/>
  <c r="O26" i="21"/>
  <c r="O29" i="21"/>
  <c r="O28" i="21"/>
  <c r="O25" i="21"/>
  <c r="O24" i="21"/>
  <c r="D50" i="21"/>
  <c r="F50" i="21"/>
  <c r="G50" i="21"/>
  <c r="I50" i="21"/>
  <c r="J50" i="21"/>
  <c r="C50" i="21"/>
  <c r="D49" i="21"/>
  <c r="F49" i="21"/>
  <c r="G49" i="21"/>
  <c r="I49" i="21"/>
  <c r="J49" i="21"/>
  <c r="C49" i="21"/>
  <c r="D48" i="21"/>
  <c r="F48" i="21"/>
  <c r="G48" i="21"/>
  <c r="I48" i="21"/>
  <c r="J48" i="21"/>
  <c r="C48" i="21"/>
  <c r="D47" i="21"/>
  <c r="F47" i="21"/>
  <c r="G47" i="21"/>
  <c r="I47" i="21"/>
  <c r="J47" i="21"/>
  <c r="C47" i="21"/>
  <c r="D51" i="21"/>
  <c r="F51" i="21"/>
  <c r="G51" i="21"/>
  <c r="I51" i="21"/>
  <c r="J51" i="21"/>
  <c r="C51" i="21"/>
  <c r="D46" i="21"/>
  <c r="F46" i="21"/>
  <c r="G46" i="21"/>
  <c r="I46" i="21"/>
  <c r="J46" i="21"/>
  <c r="C46" i="21"/>
  <c r="D45" i="21"/>
  <c r="F45" i="21"/>
  <c r="G45" i="21"/>
  <c r="I45" i="21"/>
  <c r="J45" i="21"/>
  <c r="C45" i="21"/>
  <c r="D44" i="21"/>
  <c r="F44" i="21"/>
  <c r="G44" i="21"/>
  <c r="I44" i="21"/>
  <c r="J44" i="21"/>
  <c r="C44" i="21"/>
  <c r="D43" i="21"/>
  <c r="F43" i="21"/>
  <c r="G43" i="21"/>
  <c r="I43" i="21"/>
  <c r="J43" i="21"/>
  <c r="C43" i="21"/>
  <c r="D36" i="21"/>
  <c r="F36" i="21"/>
  <c r="G36" i="21"/>
  <c r="I36" i="21"/>
  <c r="J36" i="21"/>
  <c r="C36" i="21"/>
  <c r="D35" i="21"/>
  <c r="F35" i="21"/>
  <c r="G35" i="21"/>
  <c r="I35" i="21"/>
  <c r="J35" i="21"/>
  <c r="C35" i="21"/>
  <c r="D34" i="21"/>
  <c r="F34" i="21"/>
  <c r="G34" i="21"/>
  <c r="I34" i="21"/>
  <c r="J34" i="21"/>
  <c r="C34" i="21"/>
  <c r="D40" i="21"/>
  <c r="F40" i="21"/>
  <c r="G40" i="21"/>
  <c r="I40" i="21"/>
  <c r="J40" i="21"/>
  <c r="C40" i="21"/>
  <c r="D39" i="21"/>
  <c r="F39" i="21"/>
  <c r="G39" i="21"/>
  <c r="I39" i="21"/>
  <c r="J39" i="21"/>
  <c r="C39" i="21"/>
  <c r="D52" i="21"/>
  <c r="F52" i="21"/>
  <c r="G52" i="21"/>
  <c r="I52" i="21"/>
  <c r="J52" i="21"/>
  <c r="C52" i="21"/>
  <c r="D42" i="21"/>
  <c r="F42" i="21"/>
  <c r="G42" i="21"/>
  <c r="I42" i="21"/>
  <c r="J42" i="21"/>
  <c r="C42" i="21"/>
  <c r="D41" i="21"/>
  <c r="F41" i="21"/>
  <c r="G41" i="21"/>
  <c r="I41" i="21"/>
  <c r="J41" i="21"/>
  <c r="C41" i="21"/>
  <c r="D38" i="21"/>
  <c r="F38" i="21"/>
  <c r="G38" i="21"/>
  <c r="I38" i="21"/>
  <c r="J38" i="21"/>
  <c r="C38" i="21"/>
  <c r="D37" i="21"/>
  <c r="F37" i="21"/>
  <c r="G37" i="21"/>
  <c r="I37" i="21"/>
  <c r="J37" i="21"/>
  <c r="C37" i="21"/>
  <c r="D33" i="21"/>
  <c r="F33" i="21"/>
  <c r="G33" i="21"/>
  <c r="I33" i="21"/>
  <c r="J33" i="21"/>
  <c r="C33" i="21"/>
  <c r="D32" i="21"/>
  <c r="F32" i="21"/>
  <c r="G32" i="21"/>
  <c r="I32" i="21"/>
  <c r="J32" i="21"/>
  <c r="C32" i="21"/>
  <c r="D31" i="21"/>
  <c r="F31" i="21"/>
  <c r="G31" i="21"/>
  <c r="I31" i="21"/>
  <c r="J31" i="21"/>
  <c r="C31" i="21"/>
  <c r="D30" i="21"/>
  <c r="F30" i="21"/>
  <c r="G30" i="21"/>
  <c r="I30" i="21"/>
  <c r="J30" i="21"/>
  <c r="C30" i="21"/>
  <c r="D27" i="21"/>
  <c r="F27" i="21"/>
  <c r="G27" i="21"/>
  <c r="I27" i="21"/>
  <c r="J27" i="21"/>
  <c r="C27" i="21"/>
  <c r="D26" i="21"/>
  <c r="F26" i="21"/>
  <c r="G26" i="21"/>
  <c r="I26" i="21"/>
  <c r="J26" i="21"/>
  <c r="C26" i="21"/>
  <c r="D29" i="21"/>
  <c r="F29" i="21"/>
  <c r="G29" i="21"/>
  <c r="I29" i="21"/>
  <c r="J29" i="21"/>
  <c r="C29" i="21"/>
  <c r="D28" i="21"/>
  <c r="F28" i="21"/>
  <c r="G28" i="21"/>
  <c r="I28" i="21"/>
  <c r="J28" i="21"/>
  <c r="C28" i="21"/>
  <c r="D25" i="21"/>
  <c r="F25" i="21"/>
  <c r="G25" i="21"/>
  <c r="I25" i="21"/>
  <c r="J25" i="21"/>
  <c r="C25" i="21"/>
  <c r="D24" i="21"/>
  <c r="F24" i="21"/>
  <c r="G24" i="21"/>
  <c r="I24" i="21"/>
  <c r="J24" i="21"/>
  <c r="C24" i="21"/>
  <c r="M50" i="20"/>
  <c r="N50" i="20" s="1"/>
  <c r="M51" i="20"/>
  <c r="N51" i="20" s="1"/>
  <c r="M52" i="20"/>
  <c r="N52" i="20" s="1"/>
  <c r="D21" i="20"/>
  <c r="F21" i="20"/>
  <c r="G21" i="20"/>
  <c r="I21" i="20"/>
  <c r="J21" i="20"/>
  <c r="O19" i="21"/>
  <c r="O20" i="21"/>
  <c r="O16" i="21"/>
  <c r="O15" i="21"/>
  <c r="O14" i="21"/>
  <c r="O8" i="21"/>
  <c r="O13" i="21"/>
  <c r="O18" i="21"/>
  <c r="O17" i="21"/>
  <c r="O12" i="21"/>
  <c r="O11" i="21"/>
  <c r="O10" i="21"/>
  <c r="O9" i="21"/>
  <c r="O7" i="21"/>
  <c r="O6" i="21"/>
  <c r="D19" i="21"/>
  <c r="F19" i="21"/>
  <c r="G19" i="21"/>
  <c r="I19" i="21"/>
  <c r="J19" i="21"/>
  <c r="C19" i="21"/>
  <c r="D20" i="21"/>
  <c r="F20" i="21"/>
  <c r="G20" i="21"/>
  <c r="I20" i="21"/>
  <c r="J20" i="21"/>
  <c r="C20" i="21"/>
  <c r="D16" i="21"/>
  <c r="F16" i="21"/>
  <c r="G16" i="21"/>
  <c r="I16" i="21"/>
  <c r="J16" i="21"/>
  <c r="C16" i="21"/>
  <c r="D15" i="21"/>
  <c r="F15" i="21"/>
  <c r="G15" i="21"/>
  <c r="I15" i="21"/>
  <c r="J15" i="21"/>
  <c r="C15" i="21"/>
  <c r="D14" i="21"/>
  <c r="F14" i="21"/>
  <c r="G14" i="21"/>
  <c r="I14" i="21"/>
  <c r="J14" i="21"/>
  <c r="C14" i="21"/>
  <c r="D8" i="21"/>
  <c r="F8" i="21"/>
  <c r="G8" i="21"/>
  <c r="I8" i="21"/>
  <c r="J8" i="21"/>
  <c r="C8" i="21"/>
  <c r="D13" i="21"/>
  <c r="F13" i="21"/>
  <c r="G13" i="21"/>
  <c r="I13" i="21"/>
  <c r="J13" i="21"/>
  <c r="C13" i="21"/>
  <c r="D18" i="21"/>
  <c r="F18" i="21"/>
  <c r="G18" i="21"/>
  <c r="I18" i="21"/>
  <c r="J18" i="21"/>
  <c r="C18" i="21"/>
  <c r="D17" i="21"/>
  <c r="F17" i="21"/>
  <c r="G17" i="21"/>
  <c r="I17" i="21"/>
  <c r="J17" i="21"/>
  <c r="C17" i="21"/>
  <c r="D12" i="21"/>
  <c r="F12" i="21"/>
  <c r="G12" i="21"/>
  <c r="I12" i="21"/>
  <c r="J12" i="21"/>
  <c r="C12" i="21"/>
  <c r="D11" i="21"/>
  <c r="F11" i="21"/>
  <c r="G11" i="21"/>
  <c r="I11" i="21"/>
  <c r="J11" i="21"/>
  <c r="C11" i="21"/>
  <c r="D10" i="21"/>
  <c r="F10" i="21"/>
  <c r="G10" i="21"/>
  <c r="I10" i="21"/>
  <c r="J10" i="21"/>
  <c r="C10" i="21"/>
  <c r="D9" i="21"/>
  <c r="F9" i="21"/>
  <c r="G9" i="21"/>
  <c r="I9" i="21"/>
  <c r="J9" i="21"/>
  <c r="C9" i="21"/>
  <c r="F7" i="21"/>
  <c r="G7" i="21"/>
  <c r="I7" i="21"/>
  <c r="J7" i="21"/>
  <c r="D7" i="21"/>
  <c r="C7" i="21"/>
  <c r="D6" i="21"/>
  <c r="F6" i="21"/>
  <c r="G6" i="21"/>
  <c r="I6" i="21"/>
  <c r="J6" i="21"/>
  <c r="C6" i="21"/>
  <c r="C53" i="21" l="1"/>
  <c r="D53" i="21"/>
  <c r="O53" i="21"/>
  <c r="J53" i="21"/>
  <c r="I53" i="21"/>
  <c r="G53" i="21"/>
  <c r="F53" i="21"/>
  <c r="P52" i="20"/>
  <c r="K52" i="20"/>
  <c r="H52" i="20"/>
  <c r="H36" i="21" s="1"/>
  <c r="E52" i="20"/>
  <c r="P51" i="20"/>
  <c r="K51" i="20"/>
  <c r="H51" i="20"/>
  <c r="H50" i="21" s="1"/>
  <c r="E51" i="20"/>
  <c r="P50" i="20"/>
  <c r="K50" i="20"/>
  <c r="H50" i="20"/>
  <c r="H39" i="21" s="1"/>
  <c r="E50" i="20"/>
  <c r="P49" i="20"/>
  <c r="M49" i="20"/>
  <c r="N49" i="20" s="1"/>
  <c r="K49" i="20"/>
  <c r="H49" i="20"/>
  <c r="H48" i="21" s="1"/>
  <c r="E49" i="20"/>
  <c r="P48" i="20"/>
  <c r="M48" i="20"/>
  <c r="N48" i="20" s="1"/>
  <c r="K48" i="20"/>
  <c r="H48" i="20"/>
  <c r="H52" i="21" s="1"/>
  <c r="E48" i="20"/>
  <c r="P47" i="20"/>
  <c r="M47" i="20"/>
  <c r="N47" i="20" s="1"/>
  <c r="K47" i="20"/>
  <c r="H47" i="20"/>
  <c r="H49" i="21" s="1"/>
  <c r="E47" i="20"/>
  <c r="P46" i="20"/>
  <c r="M46" i="20"/>
  <c r="N46" i="20" s="1"/>
  <c r="K46" i="20"/>
  <c r="H46" i="20"/>
  <c r="H51" i="21" s="1"/>
  <c r="E46" i="20"/>
  <c r="P45" i="20"/>
  <c r="M45" i="20"/>
  <c r="N45" i="20" s="1"/>
  <c r="K45" i="20"/>
  <c r="H45" i="20"/>
  <c r="H42" i="21" s="1"/>
  <c r="E45" i="20"/>
  <c r="P44" i="20"/>
  <c r="M44" i="20"/>
  <c r="N44" i="20" s="1"/>
  <c r="K44" i="20"/>
  <c r="H44" i="20"/>
  <c r="H45" i="21" s="1"/>
  <c r="E44" i="20"/>
  <c r="P43" i="20"/>
  <c r="M43" i="20"/>
  <c r="N43" i="20" s="1"/>
  <c r="K43" i="20"/>
  <c r="H43" i="20"/>
  <c r="H38" i="21" s="1"/>
  <c r="E43" i="20"/>
  <c r="P42" i="20"/>
  <c r="M42" i="20"/>
  <c r="N42" i="20" s="1"/>
  <c r="K42" i="20"/>
  <c r="H42" i="20"/>
  <c r="H43" i="21" s="1"/>
  <c r="E42" i="20"/>
  <c r="P41" i="20"/>
  <c r="M41" i="20"/>
  <c r="N41" i="20" s="1"/>
  <c r="K41" i="20"/>
  <c r="H41" i="20"/>
  <c r="H46" i="21" s="1"/>
  <c r="E41" i="20"/>
  <c r="P40" i="20"/>
  <c r="M40" i="20"/>
  <c r="N40" i="20" s="1"/>
  <c r="K40" i="20"/>
  <c r="H40" i="20"/>
  <c r="H35" i="21" s="1"/>
  <c r="E40" i="20"/>
  <c r="P39" i="20"/>
  <c r="M39" i="20"/>
  <c r="N39" i="20" s="1"/>
  <c r="K39" i="20"/>
  <c r="H39" i="20"/>
  <c r="H37" i="21" s="1"/>
  <c r="E39" i="20"/>
  <c r="P38" i="20"/>
  <c r="M38" i="20"/>
  <c r="N38" i="20" s="1"/>
  <c r="K38" i="20"/>
  <c r="H38" i="20"/>
  <c r="H41" i="21" s="1"/>
  <c r="E38" i="20"/>
  <c r="P37" i="20"/>
  <c r="M37" i="20"/>
  <c r="N37" i="20" s="1"/>
  <c r="K37" i="20"/>
  <c r="H37" i="20"/>
  <c r="H31" i="21" s="1"/>
  <c r="E37" i="20"/>
  <c r="P36" i="20"/>
  <c r="M36" i="20"/>
  <c r="N36" i="20" s="1"/>
  <c r="K36" i="20"/>
  <c r="H36" i="20"/>
  <c r="H30" i="21" s="1"/>
  <c r="E36" i="20"/>
  <c r="P35" i="20"/>
  <c r="M35" i="20"/>
  <c r="N35" i="20" s="1"/>
  <c r="K35" i="20"/>
  <c r="H35" i="20"/>
  <c r="H44" i="21" s="1"/>
  <c r="E35" i="20"/>
  <c r="P34" i="20"/>
  <c r="M34" i="20"/>
  <c r="N34" i="20" s="1"/>
  <c r="K34" i="20"/>
  <c r="H34" i="20"/>
  <c r="H47" i="21" s="1"/>
  <c r="E34" i="20"/>
  <c r="P33" i="20"/>
  <c r="M33" i="20"/>
  <c r="N33" i="20" s="1"/>
  <c r="K33" i="20"/>
  <c r="H33" i="20"/>
  <c r="H29" i="21" s="1"/>
  <c r="E33" i="20"/>
  <c r="P32" i="20"/>
  <c r="M32" i="20"/>
  <c r="N32" i="20" s="1"/>
  <c r="K32" i="20"/>
  <c r="H32" i="20"/>
  <c r="H33" i="21" s="1"/>
  <c r="E32" i="20"/>
  <c r="P31" i="20"/>
  <c r="M31" i="20"/>
  <c r="N31" i="20" s="1"/>
  <c r="K31" i="20"/>
  <c r="H31" i="20"/>
  <c r="H26" i="21" s="1"/>
  <c r="E31" i="20"/>
  <c r="P30" i="20"/>
  <c r="M30" i="20"/>
  <c r="N30" i="20" s="1"/>
  <c r="K30" i="20"/>
  <c r="H30" i="20"/>
  <c r="H28" i="21" s="1"/>
  <c r="E30" i="20"/>
  <c r="P29" i="20"/>
  <c r="M29" i="20"/>
  <c r="N29" i="20" s="1"/>
  <c r="K29" i="20"/>
  <c r="H29" i="20"/>
  <c r="H32" i="21" s="1"/>
  <c r="E29" i="20"/>
  <c r="P28" i="20"/>
  <c r="M28" i="20"/>
  <c r="N28" i="20" s="1"/>
  <c r="K28" i="20"/>
  <c r="H28" i="20"/>
  <c r="H27" i="21" s="1"/>
  <c r="E28" i="20"/>
  <c r="P27" i="20"/>
  <c r="M27" i="20"/>
  <c r="N27" i="20" s="1"/>
  <c r="K27" i="20"/>
  <c r="H27" i="20"/>
  <c r="H34" i="21" s="1"/>
  <c r="E27" i="20"/>
  <c r="P26" i="20"/>
  <c r="M26" i="20"/>
  <c r="N26" i="20" s="1"/>
  <c r="K26" i="20"/>
  <c r="H26" i="20"/>
  <c r="H25" i="21" s="1"/>
  <c r="E26" i="20"/>
  <c r="P25" i="20"/>
  <c r="M25" i="20"/>
  <c r="N25" i="20" s="1"/>
  <c r="K25" i="20"/>
  <c r="H25" i="20"/>
  <c r="H24" i="21" s="1"/>
  <c r="E25" i="20"/>
  <c r="P24" i="20"/>
  <c r="M24" i="20"/>
  <c r="N24" i="20" s="1"/>
  <c r="K24" i="20"/>
  <c r="H24" i="20"/>
  <c r="H40" i="21" s="1"/>
  <c r="E24" i="20"/>
  <c r="P20" i="20"/>
  <c r="M20" i="20"/>
  <c r="N20" i="20" s="1"/>
  <c r="K20" i="20"/>
  <c r="H20" i="20"/>
  <c r="H20" i="21" s="1"/>
  <c r="E20" i="20"/>
  <c r="P19" i="20"/>
  <c r="M19" i="20"/>
  <c r="N19" i="20" s="1"/>
  <c r="K19" i="20"/>
  <c r="H19" i="20"/>
  <c r="H19" i="21" s="1"/>
  <c r="E19" i="20"/>
  <c r="P18" i="20"/>
  <c r="M18" i="20"/>
  <c r="N18" i="20" s="1"/>
  <c r="K18" i="20"/>
  <c r="H18" i="20"/>
  <c r="H16" i="21" s="1"/>
  <c r="E18" i="20"/>
  <c r="P17" i="20"/>
  <c r="M17" i="20"/>
  <c r="N17" i="20" s="1"/>
  <c r="K17" i="20"/>
  <c r="H17" i="20"/>
  <c r="H18" i="21" s="1"/>
  <c r="E17" i="20"/>
  <c r="P16" i="20"/>
  <c r="M16" i="20"/>
  <c r="N16" i="20" s="1"/>
  <c r="K16" i="20"/>
  <c r="H16" i="20"/>
  <c r="H17" i="21" s="1"/>
  <c r="E16" i="20"/>
  <c r="P15" i="20"/>
  <c r="M15" i="20"/>
  <c r="N15" i="20" s="1"/>
  <c r="K15" i="20"/>
  <c r="H15" i="20"/>
  <c r="H14" i="21" s="1"/>
  <c r="E15" i="20"/>
  <c r="P14" i="20"/>
  <c r="M14" i="20"/>
  <c r="N14" i="20" s="1"/>
  <c r="K14" i="20"/>
  <c r="H14" i="20"/>
  <c r="H13" i="21" s="1"/>
  <c r="E14" i="20"/>
  <c r="P13" i="20"/>
  <c r="M13" i="20"/>
  <c r="N13" i="20" s="1"/>
  <c r="K13" i="20"/>
  <c r="H13" i="20"/>
  <c r="H15" i="21" s="1"/>
  <c r="E13" i="20"/>
  <c r="P12" i="20"/>
  <c r="M12" i="20"/>
  <c r="N12" i="20" s="1"/>
  <c r="K12" i="20"/>
  <c r="H12" i="20"/>
  <c r="H12" i="21" s="1"/>
  <c r="E12" i="20"/>
  <c r="P11" i="20"/>
  <c r="M11" i="20"/>
  <c r="N11" i="20" s="1"/>
  <c r="K11" i="20"/>
  <c r="H11" i="20"/>
  <c r="H11" i="21" s="1"/>
  <c r="E11" i="20"/>
  <c r="P10" i="20"/>
  <c r="M10" i="20"/>
  <c r="N10" i="20" s="1"/>
  <c r="K10" i="20"/>
  <c r="H10" i="20"/>
  <c r="H9" i="21" s="1"/>
  <c r="E10" i="20"/>
  <c r="P9" i="20"/>
  <c r="M9" i="20"/>
  <c r="N9" i="20" s="1"/>
  <c r="K9" i="20"/>
  <c r="H9" i="20"/>
  <c r="H7" i="21" s="1"/>
  <c r="E9" i="20"/>
  <c r="P8" i="20"/>
  <c r="M8" i="20"/>
  <c r="N8" i="20" s="1"/>
  <c r="K8" i="20"/>
  <c r="H8" i="20"/>
  <c r="H6" i="21" s="1"/>
  <c r="E8" i="20"/>
  <c r="P7" i="20"/>
  <c r="M7" i="20"/>
  <c r="N7" i="20" s="1"/>
  <c r="K7" i="20"/>
  <c r="H7" i="20"/>
  <c r="H8" i="21" s="1"/>
  <c r="E7" i="20"/>
  <c r="P6" i="20"/>
  <c r="M6" i="20"/>
  <c r="N6" i="20" s="1"/>
  <c r="K6" i="20"/>
  <c r="H6" i="20"/>
  <c r="E6" i="20"/>
  <c r="H53" i="21" l="1"/>
  <c r="L7" i="20"/>
  <c r="E8" i="21"/>
  <c r="K8" i="21"/>
  <c r="Q8" i="21" s="1"/>
  <c r="Q7" i="20"/>
  <c r="L6" i="20"/>
  <c r="E10" i="21"/>
  <c r="E21" i="20"/>
  <c r="Q8" i="20"/>
  <c r="K6" i="21"/>
  <c r="L10" i="20"/>
  <c r="E9" i="21"/>
  <c r="Q12" i="20"/>
  <c r="K12" i="21"/>
  <c r="Q12" i="21" s="1"/>
  <c r="L14" i="20"/>
  <c r="E13" i="21"/>
  <c r="L13" i="21" s="1"/>
  <c r="Q16" i="20"/>
  <c r="K17" i="21"/>
  <c r="L18" i="20"/>
  <c r="E16" i="21"/>
  <c r="Q20" i="20"/>
  <c r="K20" i="21"/>
  <c r="Q20" i="21" s="1"/>
  <c r="L25" i="20"/>
  <c r="E24" i="21"/>
  <c r="K34" i="21"/>
  <c r="Q27" i="20"/>
  <c r="L29" i="20"/>
  <c r="E32" i="21"/>
  <c r="K26" i="21"/>
  <c r="Q31" i="20"/>
  <c r="L33" i="20"/>
  <c r="E29" i="21"/>
  <c r="K44" i="21"/>
  <c r="Q35" i="20"/>
  <c r="L37" i="20"/>
  <c r="E31" i="21"/>
  <c r="K37" i="21"/>
  <c r="Q39" i="20"/>
  <c r="L41" i="20"/>
  <c r="E46" i="21"/>
  <c r="K38" i="21"/>
  <c r="Q43" i="20"/>
  <c r="L45" i="20"/>
  <c r="E42" i="21"/>
  <c r="K49" i="21"/>
  <c r="Q47" i="20"/>
  <c r="L49" i="20"/>
  <c r="E48" i="21"/>
  <c r="Q13" i="20"/>
  <c r="K15" i="21"/>
  <c r="L15" i="20"/>
  <c r="E14" i="21"/>
  <c r="Q17" i="20"/>
  <c r="K18" i="21"/>
  <c r="L19" i="20"/>
  <c r="E19" i="21"/>
  <c r="Q24" i="20"/>
  <c r="K40" i="21"/>
  <c r="L26" i="20"/>
  <c r="E25" i="21"/>
  <c r="Q28" i="20"/>
  <c r="K27" i="21"/>
  <c r="L30" i="20"/>
  <c r="E28" i="21"/>
  <c r="Q32" i="20"/>
  <c r="K33" i="21"/>
  <c r="L34" i="20"/>
  <c r="E47" i="21"/>
  <c r="Q36" i="20"/>
  <c r="K30" i="21"/>
  <c r="L38" i="20"/>
  <c r="E41" i="21"/>
  <c r="Q40" i="20"/>
  <c r="K35" i="21"/>
  <c r="L42" i="20"/>
  <c r="E43" i="21"/>
  <c r="Q44" i="20"/>
  <c r="K45" i="21"/>
  <c r="L46" i="20"/>
  <c r="E51" i="21"/>
  <c r="Q48" i="20"/>
  <c r="K52" i="21"/>
  <c r="Q52" i="21" s="1"/>
  <c r="L50" i="20"/>
  <c r="E39" i="21"/>
  <c r="L51" i="20"/>
  <c r="E50" i="21"/>
  <c r="L52" i="20"/>
  <c r="E36" i="21"/>
  <c r="H10" i="21"/>
  <c r="H21" i="20"/>
  <c r="Q9" i="20"/>
  <c r="K7" i="21"/>
  <c r="L11" i="20"/>
  <c r="E11" i="21"/>
  <c r="Q6" i="20"/>
  <c r="K21" i="20"/>
  <c r="K10" i="21"/>
  <c r="L8" i="20"/>
  <c r="E6" i="21"/>
  <c r="K9" i="21"/>
  <c r="Q10" i="20"/>
  <c r="L12" i="20"/>
  <c r="E12" i="21"/>
  <c r="Q14" i="20"/>
  <c r="K13" i="21"/>
  <c r="Q13" i="21" s="1"/>
  <c r="L16" i="20"/>
  <c r="E17" i="21"/>
  <c r="Q18" i="20"/>
  <c r="K16" i="21"/>
  <c r="L20" i="20"/>
  <c r="E20" i="21"/>
  <c r="Q25" i="20"/>
  <c r="K24" i="21"/>
  <c r="L27" i="20"/>
  <c r="E34" i="21"/>
  <c r="Q29" i="20"/>
  <c r="K32" i="21"/>
  <c r="L31" i="20"/>
  <c r="E26" i="21"/>
  <c r="K29" i="21"/>
  <c r="Q33" i="20"/>
  <c r="L35" i="20"/>
  <c r="E44" i="21"/>
  <c r="K31" i="21"/>
  <c r="Q37" i="20"/>
  <c r="L39" i="20"/>
  <c r="E37" i="21"/>
  <c r="K46" i="21"/>
  <c r="Q41" i="20"/>
  <c r="L43" i="20"/>
  <c r="E38" i="21"/>
  <c r="Q45" i="20"/>
  <c r="K42" i="21"/>
  <c r="L47" i="20"/>
  <c r="E49" i="21"/>
  <c r="K48" i="21"/>
  <c r="Q49" i="20"/>
  <c r="L9" i="20"/>
  <c r="E7" i="21"/>
  <c r="K11" i="21"/>
  <c r="Q11" i="21" s="1"/>
  <c r="Q11" i="20"/>
  <c r="L13" i="20"/>
  <c r="E15" i="21"/>
  <c r="K14" i="21"/>
  <c r="Q14" i="21" s="1"/>
  <c r="Q15" i="20"/>
  <c r="L17" i="20"/>
  <c r="E18" i="21"/>
  <c r="K19" i="21"/>
  <c r="Q19" i="21" s="1"/>
  <c r="Q19" i="20"/>
  <c r="L24" i="20"/>
  <c r="E40" i="21"/>
  <c r="K25" i="21"/>
  <c r="Q26" i="20"/>
  <c r="L28" i="20"/>
  <c r="E27" i="21"/>
  <c r="K28" i="21"/>
  <c r="Q30" i="20"/>
  <c r="L32" i="20"/>
  <c r="E33" i="21"/>
  <c r="K47" i="21"/>
  <c r="Q34" i="20"/>
  <c r="L36" i="20"/>
  <c r="E30" i="21"/>
  <c r="Q38" i="20"/>
  <c r="K41" i="21"/>
  <c r="Q41" i="21" s="1"/>
  <c r="L40" i="20"/>
  <c r="E35" i="21"/>
  <c r="Q42" i="20"/>
  <c r="K43" i="21"/>
  <c r="Q43" i="21" s="1"/>
  <c r="L44" i="20"/>
  <c r="E45" i="21"/>
  <c r="Q46" i="20"/>
  <c r="K51" i="21"/>
  <c r="Q51" i="21" s="1"/>
  <c r="L48" i="20"/>
  <c r="E52" i="21"/>
  <c r="K39" i="21"/>
  <c r="Q39" i="21" s="1"/>
  <c r="Q50" i="20"/>
  <c r="K50" i="21"/>
  <c r="Q51" i="20"/>
  <c r="K36" i="21"/>
  <c r="Q52" i="20"/>
  <c r="M20" i="21"/>
  <c r="N20" i="21" s="1"/>
  <c r="P15" i="21"/>
  <c r="P14" i="21"/>
  <c r="P13" i="21"/>
  <c r="L17" i="21"/>
  <c r="M17" i="21"/>
  <c r="N17" i="21" s="1"/>
  <c r="M12" i="21"/>
  <c r="N12" i="21" s="1"/>
  <c r="P12" i="21"/>
  <c r="M11" i="21"/>
  <c r="N11" i="21" s="1"/>
  <c r="P11" i="21"/>
  <c r="P10" i="21"/>
  <c r="P7" i="21"/>
  <c r="M7" i="21"/>
  <c r="N7" i="21" s="1"/>
  <c r="P6" i="21"/>
  <c r="O53" i="20"/>
  <c r="J53" i="20"/>
  <c r="I53" i="20"/>
  <c r="G53" i="20"/>
  <c r="F53" i="20"/>
  <c r="D53" i="20"/>
  <c r="C53" i="20"/>
  <c r="G26" i="5" s="1"/>
  <c r="O21" i="20"/>
  <c r="C21" i="20"/>
  <c r="B26" i="5" s="1"/>
  <c r="Q28" i="21" l="1"/>
  <c r="K53" i="21"/>
  <c r="Q24" i="21"/>
  <c r="Q37" i="21"/>
  <c r="Q26" i="21"/>
  <c r="Q34" i="21"/>
  <c r="Q9" i="21"/>
  <c r="Q21" i="20"/>
  <c r="E26" i="5" s="1"/>
  <c r="E53" i="21"/>
  <c r="L26" i="5"/>
  <c r="C70" i="20"/>
  <c r="H26" i="5"/>
  <c r="I26" i="5" s="1"/>
  <c r="Q47" i="21"/>
  <c r="C69" i="20"/>
  <c r="C72" i="20" s="1"/>
  <c r="C26" i="5"/>
  <c r="Q45" i="21"/>
  <c r="Q30" i="21"/>
  <c r="Q17" i="21"/>
  <c r="Q6" i="21"/>
  <c r="P45" i="21"/>
  <c r="P27" i="21"/>
  <c r="P44" i="21"/>
  <c r="P50" i="21"/>
  <c r="M39" i="21"/>
  <c r="N39" i="21" s="1"/>
  <c r="M46" i="21"/>
  <c r="N46" i="21" s="1"/>
  <c r="P47" i="21"/>
  <c r="P24" i="21"/>
  <c r="M45" i="21"/>
  <c r="N45" i="21" s="1"/>
  <c r="M50" i="21"/>
  <c r="N50" i="21" s="1"/>
  <c r="M49" i="21"/>
  <c r="N49" i="21" s="1"/>
  <c r="P8" i="21"/>
  <c r="M14" i="21"/>
  <c r="N14" i="21" s="1"/>
  <c r="P25" i="21"/>
  <c r="P33" i="21"/>
  <c r="P34" i="21"/>
  <c r="P49" i="21"/>
  <c r="M43" i="21"/>
  <c r="N43" i="21" s="1"/>
  <c r="M8" i="21"/>
  <c r="N8" i="21" s="1"/>
  <c r="P20" i="21"/>
  <c r="M29" i="21"/>
  <c r="N29" i="21" s="1"/>
  <c r="P31" i="21"/>
  <c r="M38" i="21"/>
  <c r="N38" i="21" s="1"/>
  <c r="P39" i="21"/>
  <c r="P16" i="21"/>
  <c r="M31" i="21"/>
  <c r="N31" i="21" s="1"/>
  <c r="P41" i="21"/>
  <c r="P43" i="21"/>
  <c r="P28" i="21"/>
  <c r="M52" i="21"/>
  <c r="N52" i="21" s="1"/>
  <c r="P36" i="21"/>
  <c r="M47" i="21"/>
  <c r="N47" i="21" s="1"/>
  <c r="M48" i="21"/>
  <c r="N48" i="21" s="1"/>
  <c r="M13" i="21"/>
  <c r="N13" i="21" s="1"/>
  <c r="M24" i="21"/>
  <c r="N24" i="21" s="1"/>
  <c r="M42" i="21"/>
  <c r="N42" i="21" s="1"/>
  <c r="P35" i="21"/>
  <c r="M33" i="21"/>
  <c r="N33" i="21" s="1"/>
  <c r="M37" i="21"/>
  <c r="N37" i="21" s="1"/>
  <c r="M36" i="21"/>
  <c r="N36" i="21" s="1"/>
  <c r="P48" i="21"/>
  <c r="P29" i="21"/>
  <c r="P26" i="21"/>
  <c r="P42" i="21"/>
  <c r="M35" i="21"/>
  <c r="N35" i="21" s="1"/>
  <c r="P46" i="21"/>
  <c r="P51" i="21"/>
  <c r="M15" i="21"/>
  <c r="N15" i="21" s="1"/>
  <c r="M19" i="21"/>
  <c r="N19" i="21" s="1"/>
  <c r="P37" i="21"/>
  <c r="I21" i="21"/>
  <c r="M10" i="21"/>
  <c r="N10" i="21" s="1"/>
  <c r="P18" i="21"/>
  <c r="J21" i="21"/>
  <c r="O21" i="21"/>
  <c r="L34" i="21"/>
  <c r="M44" i="21"/>
  <c r="N44" i="21" s="1"/>
  <c r="D21" i="21"/>
  <c r="F21" i="21"/>
  <c r="M25" i="21"/>
  <c r="N25" i="21" s="1"/>
  <c r="M26" i="21"/>
  <c r="N26" i="21" s="1"/>
  <c r="M30" i="21"/>
  <c r="N30" i="21" s="1"/>
  <c r="P32" i="21"/>
  <c r="P38" i="21"/>
  <c r="M51" i="21"/>
  <c r="N51" i="21" s="1"/>
  <c r="G21" i="21"/>
  <c r="P17" i="21"/>
  <c r="P19" i="21"/>
  <c r="M34" i="21"/>
  <c r="N34" i="21" s="1"/>
  <c r="M16" i="21"/>
  <c r="N16" i="21" s="1"/>
  <c r="M27" i="21"/>
  <c r="N27" i="21" s="1"/>
  <c r="P30" i="21"/>
  <c r="M32" i="21"/>
  <c r="N32" i="21" s="1"/>
  <c r="M41" i="21"/>
  <c r="N41" i="21" s="1"/>
  <c r="P52" i="21"/>
  <c r="P40" i="21"/>
  <c r="C56" i="20"/>
  <c r="B10" i="5" s="1"/>
  <c r="M21" i="20"/>
  <c r="N21" i="20" s="1"/>
  <c r="K53" i="20"/>
  <c r="Q53" i="20" s="1"/>
  <c r="J26" i="5" s="1"/>
  <c r="H53" i="20"/>
  <c r="I56" i="20"/>
  <c r="M53" i="20"/>
  <c r="N53" i="20" s="1"/>
  <c r="D56" i="20"/>
  <c r="E53" i="20"/>
  <c r="E54" i="20" s="1"/>
  <c r="E22" i="20"/>
  <c r="M6" i="21"/>
  <c r="N6" i="21" s="1"/>
  <c r="M28" i="21"/>
  <c r="N28" i="21" s="1"/>
  <c r="C21" i="21"/>
  <c r="P9" i="21"/>
  <c r="M9" i="21"/>
  <c r="N9" i="21" s="1"/>
  <c r="M18" i="21"/>
  <c r="N18" i="21" s="1"/>
  <c r="L14" i="21"/>
  <c r="M40" i="21"/>
  <c r="N40" i="21" s="1"/>
  <c r="P53" i="20"/>
  <c r="D54" i="20"/>
  <c r="G56" i="20"/>
  <c r="D10" i="5" s="1"/>
  <c r="J56" i="20"/>
  <c r="G10" i="5" s="1"/>
  <c r="D22" i="20"/>
  <c r="O56" i="20"/>
  <c r="P21" i="20"/>
  <c r="F56" i="20"/>
  <c r="C10" i="5" s="1"/>
  <c r="M24" i="5"/>
  <c r="M25" i="5"/>
  <c r="T9" i="13"/>
  <c r="U9" i="13"/>
  <c r="T10" i="13"/>
  <c r="U10" i="13"/>
  <c r="E10" i="5" l="1"/>
  <c r="M26" i="5"/>
  <c r="N26" i="5"/>
  <c r="D26" i="5"/>
  <c r="P53" i="21"/>
  <c r="G56" i="21"/>
  <c r="J56" i="21"/>
  <c r="I56" i="21"/>
  <c r="D56" i="21"/>
  <c r="M21" i="21"/>
  <c r="N21" i="21" s="1"/>
  <c r="D22" i="21"/>
  <c r="O56" i="21"/>
  <c r="D57" i="20"/>
  <c r="L53" i="20"/>
  <c r="J10" i="5" s="1"/>
  <c r="P56" i="20"/>
  <c r="H56" i="20"/>
  <c r="K56" i="20"/>
  <c r="Q56" i="20" s="1"/>
  <c r="O26" i="5" s="1"/>
  <c r="E56" i="20"/>
  <c r="E57" i="20" s="1"/>
  <c r="L21" i="20"/>
  <c r="I10" i="5" s="1"/>
  <c r="M53" i="21"/>
  <c r="N53" i="21" s="1"/>
  <c r="P21" i="21"/>
  <c r="C56" i="21"/>
  <c r="F56" i="21"/>
  <c r="D54" i="21"/>
  <c r="M56" i="20"/>
  <c r="D34" i="19"/>
  <c r="F34" i="19"/>
  <c r="G34" i="19"/>
  <c r="I34" i="19"/>
  <c r="J34" i="19"/>
  <c r="C34" i="19"/>
  <c r="D54" i="16"/>
  <c r="F54" i="16"/>
  <c r="G54" i="16"/>
  <c r="I54" i="16"/>
  <c r="J54" i="16"/>
  <c r="D39" i="19"/>
  <c r="F39" i="19"/>
  <c r="G39" i="19"/>
  <c r="I39" i="19"/>
  <c r="J39" i="19"/>
  <c r="C39" i="19"/>
  <c r="D46" i="19"/>
  <c r="F46" i="19"/>
  <c r="G46" i="19"/>
  <c r="I46" i="19"/>
  <c r="J46" i="19"/>
  <c r="C46" i="19"/>
  <c r="D45" i="19"/>
  <c r="F45" i="19"/>
  <c r="G45" i="19"/>
  <c r="I45" i="19"/>
  <c r="J45" i="19"/>
  <c r="C45" i="19"/>
  <c r="D38" i="19"/>
  <c r="F38" i="19"/>
  <c r="G38" i="19"/>
  <c r="I38" i="19"/>
  <c r="J38" i="19"/>
  <c r="C38" i="19"/>
  <c r="D37" i="19"/>
  <c r="F37" i="19"/>
  <c r="G37" i="19"/>
  <c r="I37" i="19"/>
  <c r="J37" i="19"/>
  <c r="C37" i="19"/>
  <c r="D49" i="19"/>
  <c r="F49" i="19"/>
  <c r="G49" i="19"/>
  <c r="I49" i="19"/>
  <c r="J49" i="19"/>
  <c r="C49" i="19"/>
  <c r="D36" i="19"/>
  <c r="F36" i="19"/>
  <c r="G36" i="19"/>
  <c r="I36" i="19"/>
  <c r="J36" i="19"/>
  <c r="C36" i="19"/>
  <c r="D35" i="19"/>
  <c r="F35" i="19"/>
  <c r="G35" i="19"/>
  <c r="I35" i="19"/>
  <c r="J35" i="19"/>
  <c r="C35" i="19"/>
  <c r="D53" i="19"/>
  <c r="F53" i="19"/>
  <c r="G53" i="19"/>
  <c r="I53" i="19"/>
  <c r="J53" i="19"/>
  <c r="C53" i="19"/>
  <c r="D52" i="19"/>
  <c r="F52" i="19"/>
  <c r="G52" i="19"/>
  <c r="I52" i="19"/>
  <c r="J52" i="19"/>
  <c r="C52" i="19"/>
  <c r="D51" i="19"/>
  <c r="F51" i="19"/>
  <c r="G51" i="19"/>
  <c r="I51" i="19"/>
  <c r="J51" i="19"/>
  <c r="C51" i="19"/>
  <c r="D50" i="19"/>
  <c r="F50" i="19"/>
  <c r="G50" i="19"/>
  <c r="I50" i="19"/>
  <c r="J50" i="19"/>
  <c r="C50" i="19"/>
  <c r="D48" i="19"/>
  <c r="F48" i="19"/>
  <c r="G48" i="19"/>
  <c r="I48" i="19"/>
  <c r="J48" i="19"/>
  <c r="C48" i="19"/>
  <c r="D47" i="19"/>
  <c r="F47" i="19"/>
  <c r="G47" i="19"/>
  <c r="I47" i="19"/>
  <c r="J47" i="19"/>
  <c r="C47" i="19"/>
  <c r="D41" i="19"/>
  <c r="F41" i="19"/>
  <c r="G41" i="19"/>
  <c r="I41" i="19"/>
  <c r="J41" i="19"/>
  <c r="C41" i="19"/>
  <c r="D40" i="19"/>
  <c r="F40" i="19"/>
  <c r="G40" i="19"/>
  <c r="I40" i="19"/>
  <c r="J40" i="19"/>
  <c r="C40" i="19"/>
  <c r="D44" i="19"/>
  <c r="F44" i="19"/>
  <c r="G44" i="19"/>
  <c r="I44" i="19"/>
  <c r="J44" i="19"/>
  <c r="C44" i="19"/>
  <c r="D43" i="19"/>
  <c r="F43" i="19"/>
  <c r="G43" i="19"/>
  <c r="I43" i="19"/>
  <c r="J43" i="19"/>
  <c r="C43" i="19"/>
  <c r="D42" i="19"/>
  <c r="F42" i="19"/>
  <c r="G42" i="19"/>
  <c r="I42" i="19"/>
  <c r="J42" i="19"/>
  <c r="C42" i="19"/>
  <c r="D30" i="19"/>
  <c r="F30" i="19"/>
  <c r="G30" i="19"/>
  <c r="I30" i="19"/>
  <c r="J30" i="19"/>
  <c r="C30" i="19"/>
  <c r="D29" i="19"/>
  <c r="F29" i="19"/>
  <c r="G29" i="19"/>
  <c r="I29" i="19"/>
  <c r="J29" i="19"/>
  <c r="C29" i="19"/>
  <c r="D33" i="19"/>
  <c r="F33" i="19"/>
  <c r="G33" i="19"/>
  <c r="I33" i="19"/>
  <c r="J33" i="19"/>
  <c r="C33" i="19"/>
  <c r="D32" i="19"/>
  <c r="F32" i="19"/>
  <c r="G32" i="19"/>
  <c r="I32" i="19"/>
  <c r="J32" i="19"/>
  <c r="C32" i="19"/>
  <c r="D31" i="19"/>
  <c r="F31" i="19"/>
  <c r="G31" i="19"/>
  <c r="I31" i="19"/>
  <c r="J31" i="19"/>
  <c r="C31" i="19"/>
  <c r="D28" i="19"/>
  <c r="F28" i="19"/>
  <c r="G28" i="19"/>
  <c r="I28" i="19"/>
  <c r="J28" i="19"/>
  <c r="C28" i="19"/>
  <c r="D27" i="19"/>
  <c r="F27" i="19"/>
  <c r="G27" i="19"/>
  <c r="I27" i="19"/>
  <c r="J27" i="19"/>
  <c r="C27" i="19"/>
  <c r="D26" i="19"/>
  <c r="F26" i="19"/>
  <c r="G26" i="19"/>
  <c r="I26" i="19"/>
  <c r="J26" i="19"/>
  <c r="C26" i="19"/>
  <c r="D25" i="19"/>
  <c r="F25" i="19"/>
  <c r="G25" i="19"/>
  <c r="I25" i="19"/>
  <c r="J25" i="19"/>
  <c r="C25" i="19"/>
  <c r="C8" i="19"/>
  <c r="D21" i="19"/>
  <c r="F21" i="19"/>
  <c r="G21" i="19"/>
  <c r="I21" i="19"/>
  <c r="J21" i="19"/>
  <c r="C21" i="19"/>
  <c r="D20" i="19"/>
  <c r="F20" i="19"/>
  <c r="G20" i="19"/>
  <c r="I20" i="19"/>
  <c r="J20" i="19"/>
  <c r="C20" i="19"/>
  <c r="D19" i="19"/>
  <c r="F19" i="19"/>
  <c r="G19" i="19"/>
  <c r="I19" i="19"/>
  <c r="J19" i="19"/>
  <c r="C19" i="19"/>
  <c r="D18" i="19"/>
  <c r="F18" i="19"/>
  <c r="G18" i="19"/>
  <c r="I18" i="19"/>
  <c r="J18" i="19"/>
  <c r="C18" i="19"/>
  <c r="D17" i="19"/>
  <c r="F17" i="19"/>
  <c r="G17" i="19"/>
  <c r="I17" i="19"/>
  <c r="J17" i="19"/>
  <c r="C17" i="19"/>
  <c r="D16" i="19"/>
  <c r="F16" i="19"/>
  <c r="G16" i="19"/>
  <c r="I16" i="19"/>
  <c r="J16" i="19"/>
  <c r="C16" i="19"/>
  <c r="D15" i="19"/>
  <c r="F15" i="19"/>
  <c r="G15" i="19"/>
  <c r="I15" i="19"/>
  <c r="J15" i="19"/>
  <c r="C15" i="19"/>
  <c r="D14" i="19"/>
  <c r="F14" i="19"/>
  <c r="G14" i="19"/>
  <c r="I14" i="19"/>
  <c r="J14" i="19"/>
  <c r="C14" i="19"/>
  <c r="D13" i="19"/>
  <c r="F13" i="19"/>
  <c r="G13" i="19"/>
  <c r="I13" i="19"/>
  <c r="J13" i="19"/>
  <c r="C13" i="19"/>
  <c r="D12" i="19"/>
  <c r="F12" i="19"/>
  <c r="G12" i="19"/>
  <c r="I12" i="19"/>
  <c r="J12" i="19"/>
  <c r="C12" i="19"/>
  <c r="D10" i="19"/>
  <c r="F10" i="19"/>
  <c r="G10" i="19"/>
  <c r="I10" i="19"/>
  <c r="J10" i="19"/>
  <c r="C10" i="19"/>
  <c r="D7" i="19"/>
  <c r="F7" i="19"/>
  <c r="G7" i="19"/>
  <c r="I7" i="19"/>
  <c r="J7" i="19"/>
  <c r="C7" i="19"/>
  <c r="D6" i="19"/>
  <c r="F6" i="19"/>
  <c r="G6" i="19"/>
  <c r="I6" i="19"/>
  <c r="J6" i="19"/>
  <c r="C6" i="19"/>
  <c r="D11" i="19"/>
  <c r="F11" i="19"/>
  <c r="G11" i="19"/>
  <c r="I11" i="19"/>
  <c r="J11" i="19"/>
  <c r="C11" i="19"/>
  <c r="D9" i="19"/>
  <c r="F9" i="19"/>
  <c r="G9" i="19"/>
  <c r="I9" i="19"/>
  <c r="J9" i="19"/>
  <c r="C9" i="19"/>
  <c r="D8" i="19"/>
  <c r="F8" i="19"/>
  <c r="G8" i="19"/>
  <c r="I8" i="19"/>
  <c r="J8" i="19"/>
  <c r="P53" i="16"/>
  <c r="M53" i="16"/>
  <c r="N53" i="16" s="1"/>
  <c r="K53" i="16"/>
  <c r="K40" i="19" s="1"/>
  <c r="H53" i="16"/>
  <c r="E53" i="16"/>
  <c r="E40" i="19" s="1"/>
  <c r="P52" i="16"/>
  <c r="M52" i="16"/>
  <c r="N52" i="16" s="1"/>
  <c r="K52" i="16"/>
  <c r="H52" i="16"/>
  <c r="E52" i="16"/>
  <c r="E44" i="19" s="1"/>
  <c r="P51" i="16"/>
  <c r="M51" i="16"/>
  <c r="N51" i="16" s="1"/>
  <c r="K51" i="16"/>
  <c r="K51" i="19" s="1"/>
  <c r="H51" i="16"/>
  <c r="E51" i="16"/>
  <c r="P50" i="16"/>
  <c r="M50" i="16"/>
  <c r="N50" i="16" s="1"/>
  <c r="K50" i="16"/>
  <c r="K52" i="19" s="1"/>
  <c r="H50" i="16"/>
  <c r="E50" i="16"/>
  <c r="P49" i="16"/>
  <c r="M49" i="16"/>
  <c r="N49" i="16" s="1"/>
  <c r="K49" i="16"/>
  <c r="H49" i="16"/>
  <c r="E49" i="16"/>
  <c r="E53" i="19" s="1"/>
  <c r="P48" i="16"/>
  <c r="M48" i="16"/>
  <c r="N48" i="16" s="1"/>
  <c r="K48" i="16"/>
  <c r="H48" i="16"/>
  <c r="E48" i="16"/>
  <c r="P47" i="16"/>
  <c r="M47" i="16"/>
  <c r="N47" i="16" s="1"/>
  <c r="K47" i="16"/>
  <c r="K47" i="19" s="1"/>
  <c r="H47" i="16"/>
  <c r="E47" i="16"/>
  <c r="E47" i="19" s="1"/>
  <c r="P46" i="16"/>
  <c r="M46" i="16"/>
  <c r="N46" i="16" s="1"/>
  <c r="K46" i="16"/>
  <c r="H46" i="16"/>
  <c r="E46" i="16"/>
  <c r="P45" i="16"/>
  <c r="M45" i="16"/>
  <c r="N45" i="16" s="1"/>
  <c r="K45" i="16"/>
  <c r="H45" i="16"/>
  <c r="E45" i="16"/>
  <c r="P44" i="16"/>
  <c r="M44" i="16"/>
  <c r="N44" i="16" s="1"/>
  <c r="K44" i="16"/>
  <c r="H44" i="16"/>
  <c r="E44" i="16"/>
  <c r="E36" i="19" s="1"/>
  <c r="P43" i="16"/>
  <c r="M43" i="16"/>
  <c r="N43" i="16" s="1"/>
  <c r="K43" i="16"/>
  <c r="K46" i="19" s="1"/>
  <c r="H43" i="16"/>
  <c r="E43" i="16"/>
  <c r="P42" i="16"/>
  <c r="M42" i="16"/>
  <c r="N42" i="16" s="1"/>
  <c r="K42" i="16"/>
  <c r="K43" i="19" s="1"/>
  <c r="H42" i="16"/>
  <c r="E42" i="16"/>
  <c r="E43" i="19" s="1"/>
  <c r="P41" i="16"/>
  <c r="M41" i="16"/>
  <c r="N41" i="16" s="1"/>
  <c r="K41" i="16"/>
  <c r="K45" i="19" s="1"/>
  <c r="H41" i="16"/>
  <c r="E41" i="16"/>
  <c r="E45" i="19" s="1"/>
  <c r="P40" i="16"/>
  <c r="M40" i="16"/>
  <c r="N40" i="16" s="1"/>
  <c r="K40" i="16"/>
  <c r="H40" i="16"/>
  <c r="E40" i="16"/>
  <c r="P39" i="16"/>
  <c r="M39" i="16"/>
  <c r="N39" i="16" s="1"/>
  <c r="K39" i="16"/>
  <c r="K39" i="19" s="1"/>
  <c r="H39" i="16"/>
  <c r="E39" i="16"/>
  <c r="E39" i="19" s="1"/>
  <c r="P38" i="16"/>
  <c r="M38" i="16"/>
  <c r="N38" i="16" s="1"/>
  <c r="K38" i="16"/>
  <c r="H38" i="16"/>
  <c r="E38" i="16"/>
  <c r="P37" i="16"/>
  <c r="M37" i="16"/>
  <c r="N37" i="16" s="1"/>
  <c r="K37" i="16"/>
  <c r="H37" i="16"/>
  <c r="E37" i="16"/>
  <c r="P36" i="16"/>
  <c r="M36" i="16"/>
  <c r="N36" i="16" s="1"/>
  <c r="K36" i="16"/>
  <c r="H36" i="16"/>
  <c r="E36" i="16"/>
  <c r="E35" i="19" s="1"/>
  <c r="P35" i="16"/>
  <c r="M35" i="16"/>
  <c r="N35" i="16" s="1"/>
  <c r="K35" i="16"/>
  <c r="K29" i="19" s="1"/>
  <c r="H35" i="16"/>
  <c r="E35" i="16"/>
  <c r="P34" i="16"/>
  <c r="M34" i="16"/>
  <c r="N34" i="16" s="1"/>
  <c r="K34" i="16"/>
  <c r="H34" i="16"/>
  <c r="E34" i="16"/>
  <c r="P33" i="16"/>
  <c r="M33" i="16"/>
  <c r="N33" i="16" s="1"/>
  <c r="K33" i="16"/>
  <c r="H33" i="16"/>
  <c r="E33" i="16"/>
  <c r="P32" i="16"/>
  <c r="M32" i="16"/>
  <c r="N32" i="16" s="1"/>
  <c r="K32" i="16"/>
  <c r="H32" i="16"/>
  <c r="E32" i="16"/>
  <c r="P31" i="16"/>
  <c r="M31" i="16"/>
  <c r="N31" i="16" s="1"/>
  <c r="K31" i="16"/>
  <c r="K25" i="19" s="1"/>
  <c r="H31" i="16"/>
  <c r="E31" i="16"/>
  <c r="P30" i="16"/>
  <c r="M30" i="16"/>
  <c r="N30" i="16" s="1"/>
  <c r="K30" i="16"/>
  <c r="H30" i="16"/>
  <c r="E30" i="16"/>
  <c r="P29" i="16"/>
  <c r="M29" i="16"/>
  <c r="N29" i="16" s="1"/>
  <c r="K29" i="16"/>
  <c r="K28" i="19" s="1"/>
  <c r="H29" i="16"/>
  <c r="E29" i="16"/>
  <c r="E28" i="19" s="1"/>
  <c r="P28" i="16"/>
  <c r="M28" i="16"/>
  <c r="N28" i="16" s="1"/>
  <c r="K28" i="16"/>
  <c r="H28" i="16"/>
  <c r="E28" i="16"/>
  <c r="E27" i="19" s="1"/>
  <c r="P27" i="16"/>
  <c r="M27" i="16"/>
  <c r="N27" i="16" s="1"/>
  <c r="K27" i="16"/>
  <c r="K42" i="19" s="1"/>
  <c r="H27" i="16"/>
  <c r="E27" i="16"/>
  <c r="E42" i="19" s="1"/>
  <c r="P26" i="16"/>
  <c r="M26" i="16"/>
  <c r="N26" i="16" s="1"/>
  <c r="K26" i="16"/>
  <c r="H26" i="16"/>
  <c r="E26" i="16"/>
  <c r="P25" i="16"/>
  <c r="M25" i="16"/>
  <c r="N25" i="16" s="1"/>
  <c r="K25" i="16"/>
  <c r="H25" i="16"/>
  <c r="E25" i="16"/>
  <c r="P21" i="16"/>
  <c r="M21" i="16"/>
  <c r="N21" i="16" s="1"/>
  <c r="K21" i="16"/>
  <c r="K15" i="19" s="1"/>
  <c r="H21" i="16"/>
  <c r="E21" i="16"/>
  <c r="P20" i="16"/>
  <c r="M20" i="16"/>
  <c r="N20" i="16" s="1"/>
  <c r="K20" i="16"/>
  <c r="K19" i="19" s="1"/>
  <c r="H20" i="16"/>
  <c r="E20" i="16"/>
  <c r="E19" i="19" s="1"/>
  <c r="P19" i="16"/>
  <c r="M19" i="16"/>
  <c r="N19" i="16" s="1"/>
  <c r="K19" i="16"/>
  <c r="H19" i="16"/>
  <c r="E19" i="16"/>
  <c r="P18" i="16"/>
  <c r="M18" i="16"/>
  <c r="N18" i="16" s="1"/>
  <c r="K18" i="16"/>
  <c r="H18" i="16"/>
  <c r="E18" i="16"/>
  <c r="P17" i="16"/>
  <c r="M17" i="16"/>
  <c r="N17" i="16" s="1"/>
  <c r="K17" i="16"/>
  <c r="H17" i="16"/>
  <c r="E17" i="16"/>
  <c r="E18" i="19" s="1"/>
  <c r="P16" i="16"/>
  <c r="M16" i="16"/>
  <c r="N16" i="16" s="1"/>
  <c r="K16" i="16"/>
  <c r="H16" i="16"/>
  <c r="E16" i="16"/>
  <c r="P15" i="16"/>
  <c r="M15" i="16"/>
  <c r="N15" i="16" s="1"/>
  <c r="K15" i="16"/>
  <c r="K16" i="19" s="1"/>
  <c r="H15" i="16"/>
  <c r="E15" i="16"/>
  <c r="E16" i="19" s="1"/>
  <c r="P14" i="16"/>
  <c r="M14" i="16"/>
  <c r="N14" i="16" s="1"/>
  <c r="K14" i="16"/>
  <c r="H14" i="16"/>
  <c r="E14" i="16"/>
  <c r="E17" i="19" s="1"/>
  <c r="P13" i="16"/>
  <c r="M13" i="16"/>
  <c r="N13" i="16" s="1"/>
  <c r="K13" i="16"/>
  <c r="K11" i="19" s="1"/>
  <c r="H13" i="16"/>
  <c r="E13" i="16"/>
  <c r="E11" i="19" s="1"/>
  <c r="P12" i="16"/>
  <c r="M12" i="16"/>
  <c r="N12" i="16" s="1"/>
  <c r="K12" i="16"/>
  <c r="K8" i="19" s="1"/>
  <c r="H12" i="16"/>
  <c r="E12" i="16"/>
  <c r="P11" i="16"/>
  <c r="M11" i="16"/>
  <c r="N11" i="16" s="1"/>
  <c r="K11" i="16"/>
  <c r="H11" i="16"/>
  <c r="E11" i="16"/>
  <c r="P10" i="16"/>
  <c r="M10" i="16"/>
  <c r="N10" i="16" s="1"/>
  <c r="K10" i="16"/>
  <c r="K14" i="19" s="1"/>
  <c r="H10" i="16"/>
  <c r="E10" i="16"/>
  <c r="P9" i="16"/>
  <c r="M9" i="16"/>
  <c r="N9" i="16" s="1"/>
  <c r="K9" i="16"/>
  <c r="H9" i="16"/>
  <c r="E9" i="16"/>
  <c r="E10" i="19" s="1"/>
  <c r="P8" i="16"/>
  <c r="M8" i="16"/>
  <c r="N8" i="16" s="1"/>
  <c r="K8" i="16"/>
  <c r="H8" i="16"/>
  <c r="E8" i="16"/>
  <c r="P7" i="16"/>
  <c r="M7" i="16"/>
  <c r="N7" i="16" s="1"/>
  <c r="K7" i="16"/>
  <c r="K9" i="19" s="1"/>
  <c r="H7" i="16"/>
  <c r="E7" i="16"/>
  <c r="P6" i="16"/>
  <c r="M6" i="16"/>
  <c r="N6" i="16" s="1"/>
  <c r="K6" i="16"/>
  <c r="H6" i="16"/>
  <c r="E6" i="16"/>
  <c r="E6" i="19" s="1"/>
  <c r="O39" i="19"/>
  <c r="P39" i="19" s="1"/>
  <c r="O46" i="19"/>
  <c r="O45" i="19"/>
  <c r="O38" i="19"/>
  <c r="O37" i="19"/>
  <c r="P37" i="19" s="1"/>
  <c r="O49" i="19"/>
  <c r="O36" i="19"/>
  <c r="O35" i="19"/>
  <c r="O53" i="19"/>
  <c r="P53" i="19" s="1"/>
  <c r="O52" i="19"/>
  <c r="O51" i="19"/>
  <c r="O50" i="19"/>
  <c r="O48" i="19"/>
  <c r="O47" i="19"/>
  <c r="O41" i="19"/>
  <c r="O40" i="19"/>
  <c r="O44" i="19"/>
  <c r="O43" i="19"/>
  <c r="O42" i="19"/>
  <c r="O30" i="19"/>
  <c r="O29" i="19"/>
  <c r="O34" i="19"/>
  <c r="O33" i="19"/>
  <c r="O32" i="19"/>
  <c r="O31" i="19"/>
  <c r="O28" i="19"/>
  <c r="O27" i="19"/>
  <c r="O26" i="19"/>
  <c r="O25" i="19"/>
  <c r="O21" i="19"/>
  <c r="P21" i="19" s="1"/>
  <c r="O20" i="19"/>
  <c r="O19" i="19"/>
  <c r="P19" i="19" s="1"/>
  <c r="O18" i="19"/>
  <c r="O17" i="19"/>
  <c r="P17" i="19" s="1"/>
  <c r="O16" i="19"/>
  <c r="O15" i="19"/>
  <c r="O14" i="19"/>
  <c r="O13" i="19"/>
  <c r="O12" i="19"/>
  <c r="O10" i="19"/>
  <c r="O7" i="19"/>
  <c r="O6" i="19"/>
  <c r="P6" i="19" s="1"/>
  <c r="O11" i="19"/>
  <c r="O9" i="19"/>
  <c r="O8" i="19"/>
  <c r="M14" i="19" l="1"/>
  <c r="N14" i="19" s="1"/>
  <c r="L10" i="5"/>
  <c r="N56" i="20"/>
  <c r="M10" i="5" s="1"/>
  <c r="P56" i="21"/>
  <c r="M28" i="19"/>
  <c r="N28" i="19" s="1"/>
  <c r="E54" i="16"/>
  <c r="Q9" i="16"/>
  <c r="L11" i="16"/>
  <c r="Q17" i="16"/>
  <c r="L19" i="16"/>
  <c r="L19" i="21"/>
  <c r="Q28" i="16"/>
  <c r="L30" i="16"/>
  <c r="Q36" i="16"/>
  <c r="L38" i="16"/>
  <c r="Q44" i="16"/>
  <c r="L46" i="16"/>
  <c r="Q52" i="16"/>
  <c r="H10" i="19"/>
  <c r="H19" i="19"/>
  <c r="E26" i="19"/>
  <c r="H31" i="19"/>
  <c r="H47" i="19"/>
  <c r="H49" i="19"/>
  <c r="H34" i="19"/>
  <c r="Q6" i="16"/>
  <c r="L8" i="16"/>
  <c r="Q14" i="16"/>
  <c r="L16" i="16"/>
  <c r="Q25" i="16"/>
  <c r="L27" i="16"/>
  <c r="Q33" i="16"/>
  <c r="L35" i="16"/>
  <c r="Q41" i="16"/>
  <c r="L43" i="16"/>
  <c r="Q49" i="16"/>
  <c r="L51" i="16"/>
  <c r="H12" i="19"/>
  <c r="H20" i="19"/>
  <c r="H32" i="19"/>
  <c r="K30" i="19"/>
  <c r="Q29" i="19" s="1"/>
  <c r="H48" i="19"/>
  <c r="H37" i="19"/>
  <c r="Q11" i="16"/>
  <c r="L13" i="16"/>
  <c r="L12" i="21"/>
  <c r="Q19" i="16"/>
  <c r="L21" i="16"/>
  <c r="Q30" i="16"/>
  <c r="L32" i="16"/>
  <c r="Q38" i="16"/>
  <c r="L40" i="16"/>
  <c r="Q46" i="16"/>
  <c r="L48" i="16"/>
  <c r="E7" i="19"/>
  <c r="H13" i="19"/>
  <c r="H21" i="19"/>
  <c r="K26" i="19"/>
  <c r="H33" i="19"/>
  <c r="E41" i="19"/>
  <c r="H50" i="19"/>
  <c r="K53" i="19"/>
  <c r="H38" i="19"/>
  <c r="K54" i="16"/>
  <c r="Q8" i="16"/>
  <c r="L10" i="16"/>
  <c r="Q16" i="16"/>
  <c r="L18" i="16"/>
  <c r="L20" i="21"/>
  <c r="Q27" i="16"/>
  <c r="L29" i="16"/>
  <c r="Q35" i="16"/>
  <c r="L37" i="16"/>
  <c r="Q43" i="16"/>
  <c r="L45" i="16"/>
  <c r="L51" i="21"/>
  <c r="Q51" i="16"/>
  <c r="L53" i="16"/>
  <c r="H8" i="19"/>
  <c r="K6" i="19"/>
  <c r="H14" i="19"/>
  <c r="K17" i="19"/>
  <c r="K27" i="19"/>
  <c r="E31" i="19"/>
  <c r="H29" i="19"/>
  <c r="H51" i="19"/>
  <c r="K35" i="19"/>
  <c r="E49" i="19"/>
  <c r="L49" i="19" s="1"/>
  <c r="H45" i="19"/>
  <c r="E34" i="19"/>
  <c r="L7" i="16"/>
  <c r="Q13" i="16"/>
  <c r="L15" i="16"/>
  <c r="L8" i="21"/>
  <c r="Q21" i="16"/>
  <c r="L26" i="16"/>
  <c r="Q32" i="16"/>
  <c r="L34" i="16"/>
  <c r="Q40" i="16"/>
  <c r="L42" i="16"/>
  <c r="Q48" i="16"/>
  <c r="L50" i="16"/>
  <c r="H9" i="19"/>
  <c r="K7" i="19"/>
  <c r="E12" i="19"/>
  <c r="H15" i="19"/>
  <c r="K18" i="19"/>
  <c r="E20" i="19"/>
  <c r="H25" i="19"/>
  <c r="E32" i="19"/>
  <c r="H30" i="19"/>
  <c r="K41" i="19"/>
  <c r="Q40" i="19" s="1"/>
  <c r="E48" i="19"/>
  <c r="L47" i="19" s="1"/>
  <c r="H52" i="19"/>
  <c r="K36" i="19"/>
  <c r="E37" i="19"/>
  <c r="H46" i="19"/>
  <c r="Q10" i="16"/>
  <c r="L12" i="16"/>
  <c r="L9" i="21"/>
  <c r="Q18" i="16"/>
  <c r="L20" i="16"/>
  <c r="Q29" i="16"/>
  <c r="L31" i="16"/>
  <c r="Q37" i="16"/>
  <c r="L39" i="16"/>
  <c r="L52" i="21"/>
  <c r="Q45" i="16"/>
  <c r="L47" i="16"/>
  <c r="Q53" i="16"/>
  <c r="H11" i="19"/>
  <c r="K10" i="19"/>
  <c r="E13" i="19"/>
  <c r="H16" i="19"/>
  <c r="E21" i="19"/>
  <c r="H26" i="19"/>
  <c r="K31" i="19"/>
  <c r="E33" i="19"/>
  <c r="H42" i="19"/>
  <c r="E50" i="19"/>
  <c r="H53" i="19"/>
  <c r="K49" i="19"/>
  <c r="E38" i="19"/>
  <c r="H39" i="19"/>
  <c r="H54" i="16"/>
  <c r="K34" i="19"/>
  <c r="Q7" i="16"/>
  <c r="L9" i="16"/>
  <c r="L11" i="21"/>
  <c r="H21" i="21"/>
  <c r="Q15" i="16"/>
  <c r="L17" i="16"/>
  <c r="Q26" i="16"/>
  <c r="L28" i="16"/>
  <c r="Q34" i="16"/>
  <c r="L36" i="16"/>
  <c r="Q42" i="16"/>
  <c r="L44" i="16"/>
  <c r="Q50" i="16"/>
  <c r="L52" i="16"/>
  <c r="E8" i="19"/>
  <c r="H6" i="19"/>
  <c r="K12" i="19"/>
  <c r="E14" i="19"/>
  <c r="H17" i="19"/>
  <c r="K20" i="19"/>
  <c r="H27" i="19"/>
  <c r="K32" i="19"/>
  <c r="E29" i="19"/>
  <c r="H43" i="19"/>
  <c r="H40" i="19"/>
  <c r="K48" i="19"/>
  <c r="E51" i="19"/>
  <c r="H35" i="19"/>
  <c r="K37" i="19"/>
  <c r="L6" i="16"/>
  <c r="L6" i="21"/>
  <c r="Q12" i="16"/>
  <c r="L14" i="16"/>
  <c r="Q20" i="16"/>
  <c r="L25" i="16"/>
  <c r="Q31" i="16"/>
  <c r="L33" i="16"/>
  <c r="Q39" i="16"/>
  <c r="L41" i="16"/>
  <c r="Q47" i="16"/>
  <c r="L49" i="16"/>
  <c r="H44" i="19"/>
  <c r="E9" i="19"/>
  <c r="H7" i="19"/>
  <c r="K13" i="19"/>
  <c r="E15" i="19"/>
  <c r="H18" i="19"/>
  <c r="K21" i="19"/>
  <c r="E25" i="19"/>
  <c r="H28" i="19"/>
  <c r="K33" i="19"/>
  <c r="E30" i="19"/>
  <c r="H41" i="19"/>
  <c r="K50" i="19"/>
  <c r="Q50" i="19" s="1"/>
  <c r="E52" i="19"/>
  <c r="H36" i="19"/>
  <c r="K38" i="19"/>
  <c r="E46" i="19"/>
  <c r="M56" i="21"/>
  <c r="N56" i="21" s="1"/>
  <c r="D57" i="21"/>
  <c r="L56" i="20"/>
  <c r="K10" i="5" s="1"/>
  <c r="K44" i="19"/>
  <c r="Q42" i="19" s="1"/>
  <c r="P34" i="19"/>
  <c r="M27" i="19"/>
  <c r="N27" i="19" s="1"/>
  <c r="M33" i="19"/>
  <c r="N33" i="19" s="1"/>
  <c r="M36" i="19"/>
  <c r="N36" i="19" s="1"/>
  <c r="M9" i="19"/>
  <c r="N9" i="19" s="1"/>
  <c r="L11" i="19"/>
  <c r="M10" i="19"/>
  <c r="N10" i="19" s="1"/>
  <c r="M15" i="19"/>
  <c r="N15" i="19" s="1"/>
  <c r="M26" i="19"/>
  <c r="N26" i="19" s="1"/>
  <c r="M31" i="19"/>
  <c r="N31" i="19" s="1"/>
  <c r="M32" i="19"/>
  <c r="N32" i="19" s="1"/>
  <c r="M30" i="19"/>
  <c r="N30" i="19" s="1"/>
  <c r="M40" i="19"/>
  <c r="N40" i="19" s="1"/>
  <c r="M53" i="19"/>
  <c r="N53" i="19" s="1"/>
  <c r="P45" i="19"/>
  <c r="M35" i="19"/>
  <c r="N35" i="19" s="1"/>
  <c r="P7" i="19"/>
  <c r="P31" i="19"/>
  <c r="P44" i="19"/>
  <c r="P48" i="19"/>
  <c r="I22" i="19"/>
  <c r="C22" i="19"/>
  <c r="D22" i="19"/>
  <c r="J22" i="19"/>
  <c r="G22" i="19"/>
  <c r="F22" i="19"/>
  <c r="M12" i="19"/>
  <c r="N12" i="19" s="1"/>
  <c r="P8" i="19"/>
  <c r="P18" i="19"/>
  <c r="P28" i="19"/>
  <c r="Q39" i="19"/>
  <c r="M7" i="19"/>
  <c r="N7" i="19" s="1"/>
  <c r="M18" i="19"/>
  <c r="N18" i="19" s="1"/>
  <c r="M43" i="19"/>
  <c r="N43" i="19" s="1"/>
  <c r="M47" i="19"/>
  <c r="N47" i="19" s="1"/>
  <c r="L35" i="19"/>
  <c r="L10" i="19"/>
  <c r="M19" i="19"/>
  <c r="N19" i="19" s="1"/>
  <c r="M25" i="19"/>
  <c r="N25" i="19" s="1"/>
  <c r="L37" i="19"/>
  <c r="O22" i="19"/>
  <c r="P27" i="19"/>
  <c r="P13" i="19"/>
  <c r="L39" i="19"/>
  <c r="P30" i="19"/>
  <c r="L25" i="19"/>
  <c r="P40" i="19"/>
  <c r="M16" i="19"/>
  <c r="N16" i="19" s="1"/>
  <c r="P32" i="19"/>
  <c r="M34" i="19"/>
  <c r="N34" i="19" s="1"/>
  <c r="P41" i="19"/>
  <c r="P36" i="19"/>
  <c r="M49" i="19"/>
  <c r="N49" i="19" s="1"/>
  <c r="M46" i="19"/>
  <c r="N46" i="19" s="1"/>
  <c r="P26" i="19"/>
  <c r="Q8" i="19"/>
  <c r="P10" i="19"/>
  <c r="P15" i="19"/>
  <c r="L27" i="19"/>
  <c r="P11" i="19"/>
  <c r="M13" i="19"/>
  <c r="N13" i="19" s="1"/>
  <c r="P16" i="19"/>
  <c r="Q11" i="19"/>
  <c r="Q16" i="19"/>
  <c r="Q20" i="19"/>
  <c r="Q35" i="19"/>
  <c r="Q10" i="19"/>
  <c r="Q14" i="19"/>
  <c r="C54" i="19"/>
  <c r="P9" i="19"/>
  <c r="Q17" i="19"/>
  <c r="L20" i="19"/>
  <c r="Q21" i="19"/>
  <c r="L31" i="19"/>
  <c r="Q49" i="19"/>
  <c r="L45" i="19"/>
  <c r="Q45" i="19"/>
  <c r="Q37" i="19"/>
  <c r="Q47" i="19"/>
  <c r="Q27" i="19"/>
  <c r="G54" i="19"/>
  <c r="P29" i="19"/>
  <c r="P43" i="19"/>
  <c r="M50" i="19"/>
  <c r="N50" i="19" s="1"/>
  <c r="P51" i="19"/>
  <c r="M52" i="19"/>
  <c r="N52" i="19" s="1"/>
  <c r="P38" i="19"/>
  <c r="M45" i="19"/>
  <c r="N45" i="19" s="1"/>
  <c r="L6" i="19"/>
  <c r="P33" i="19"/>
  <c r="L42" i="19"/>
  <c r="P47" i="19"/>
  <c r="P49" i="19"/>
  <c r="P25" i="19"/>
  <c r="F54" i="19"/>
  <c r="J54" i="19"/>
  <c r="M29" i="19"/>
  <c r="N29" i="19" s="1"/>
  <c r="P42" i="19"/>
  <c r="M44" i="19"/>
  <c r="N44" i="19" s="1"/>
  <c r="M41" i="19"/>
  <c r="N41" i="19" s="1"/>
  <c r="M48" i="19"/>
  <c r="N48" i="19" s="1"/>
  <c r="P50" i="19"/>
  <c r="M51" i="19"/>
  <c r="N51" i="19" s="1"/>
  <c r="P52" i="19"/>
  <c r="M37" i="19"/>
  <c r="N37" i="19" s="1"/>
  <c r="M38" i="19"/>
  <c r="N38" i="19" s="1"/>
  <c r="P46" i="19"/>
  <c r="M39" i="19"/>
  <c r="N39" i="19" s="1"/>
  <c r="L16" i="19"/>
  <c r="L17" i="19"/>
  <c r="L21" i="19"/>
  <c r="Q25" i="19"/>
  <c r="M21" i="19"/>
  <c r="N21" i="19" s="1"/>
  <c r="M20" i="19"/>
  <c r="N20" i="19" s="1"/>
  <c r="M17" i="19"/>
  <c r="N17" i="19" s="1"/>
  <c r="P14" i="19"/>
  <c r="L14" i="19"/>
  <c r="D54" i="19"/>
  <c r="L40" i="19"/>
  <c r="I54" i="19"/>
  <c r="M8" i="19"/>
  <c r="N8" i="19" s="1"/>
  <c r="M11" i="19"/>
  <c r="N11" i="19" s="1"/>
  <c r="O54" i="19"/>
  <c r="P35" i="19"/>
  <c r="M6" i="19"/>
  <c r="N6" i="19" s="1"/>
  <c r="P12" i="19"/>
  <c r="L12" i="19"/>
  <c r="P20" i="19"/>
  <c r="M42" i="19"/>
  <c r="N42" i="19" s="1"/>
  <c r="Q6" i="19" l="1"/>
  <c r="L29" i="19"/>
  <c r="K54" i="19"/>
  <c r="L50" i="19"/>
  <c r="L8" i="19"/>
  <c r="Q31" i="19"/>
  <c r="H54" i="19"/>
  <c r="H22" i="19"/>
  <c r="H57" i="19" s="1"/>
  <c r="E54" i="19"/>
  <c r="L54" i="19" s="1"/>
  <c r="E22" i="19"/>
  <c r="L22" i="19" s="1"/>
  <c r="Q12" i="19"/>
  <c r="L43" i="21"/>
  <c r="L28" i="21"/>
  <c r="L41" i="21"/>
  <c r="K22" i="19"/>
  <c r="Q22" i="19" s="1"/>
  <c r="L45" i="21"/>
  <c r="L24" i="21"/>
  <c r="K21" i="21"/>
  <c r="Q21" i="21" s="1"/>
  <c r="H56" i="21"/>
  <c r="Q53" i="21"/>
  <c r="L26" i="21"/>
  <c r="L47" i="21"/>
  <c r="L30" i="21"/>
  <c r="L37" i="21"/>
  <c r="L39" i="21"/>
  <c r="E21" i="21"/>
  <c r="M22" i="19"/>
  <c r="N22" i="19" s="1"/>
  <c r="D55" i="19"/>
  <c r="O57" i="19"/>
  <c r="J57" i="19"/>
  <c r="G57" i="19"/>
  <c r="M54" i="19"/>
  <c r="N54" i="19" s="1"/>
  <c r="I57" i="19"/>
  <c r="Q54" i="19"/>
  <c r="D23" i="19"/>
  <c r="D57" i="19"/>
  <c r="C57" i="19"/>
  <c r="P22" i="19"/>
  <c r="P54" i="19"/>
  <c r="F57" i="19"/>
  <c r="K57" i="19" l="1"/>
  <c r="E57" i="19"/>
  <c r="E23" i="19"/>
  <c r="E55" i="19"/>
  <c r="K56" i="21"/>
  <c r="Q56" i="21" s="1"/>
  <c r="E22" i="21"/>
  <c r="E56" i="21"/>
  <c r="L21" i="21"/>
  <c r="E54" i="21"/>
  <c r="L53" i="21"/>
  <c r="P57" i="19"/>
  <c r="Q57" i="19"/>
  <c r="L57" i="19"/>
  <c r="E58" i="19"/>
  <c r="D58" i="19"/>
  <c r="M57" i="19"/>
  <c r="N57" i="19" s="1"/>
  <c r="L56" i="21" l="1"/>
  <c r="E57" i="21"/>
  <c r="O22" i="16"/>
  <c r="D22" i="16"/>
  <c r="F22" i="16"/>
  <c r="G22" i="16"/>
  <c r="I22" i="16"/>
  <c r="J22" i="16"/>
  <c r="C22" i="16"/>
  <c r="B25" i="5" l="1"/>
  <c r="M22" i="16"/>
  <c r="N22" i="16" s="1"/>
  <c r="P22" i="16"/>
  <c r="D25" i="5" l="1"/>
  <c r="O54" i="16"/>
  <c r="C71" i="16" s="1"/>
  <c r="J57" i="16"/>
  <c r="G9" i="5" s="1"/>
  <c r="C54" i="16"/>
  <c r="C70" i="16"/>
  <c r="D19" i="15"/>
  <c r="F19" i="15"/>
  <c r="G19" i="15"/>
  <c r="I19" i="15"/>
  <c r="J19" i="15"/>
  <c r="P27" i="13" l="1"/>
  <c r="G25" i="5"/>
  <c r="C74" i="16"/>
  <c r="Q54" i="16"/>
  <c r="J25" i="5" s="1"/>
  <c r="H22" i="16"/>
  <c r="K22" i="16"/>
  <c r="Q22" i="16" s="1"/>
  <c r="E25" i="5" s="1"/>
  <c r="E22" i="16"/>
  <c r="L22" i="16" s="1"/>
  <c r="I9" i="5" s="1"/>
  <c r="D57" i="16"/>
  <c r="I57" i="16"/>
  <c r="P54" i="16"/>
  <c r="F57" i="16"/>
  <c r="C9" i="5" s="1"/>
  <c r="G57" i="16"/>
  <c r="D9" i="5" s="1"/>
  <c r="M54" i="16"/>
  <c r="N54" i="16" s="1"/>
  <c r="C57" i="16"/>
  <c r="B9" i="5" s="1"/>
  <c r="D55" i="16"/>
  <c r="O57" i="16"/>
  <c r="D23" i="16"/>
  <c r="E9" i="5" l="1"/>
  <c r="I25" i="5"/>
  <c r="L25" i="5"/>
  <c r="N25" i="5" s="1"/>
  <c r="E23" i="16"/>
  <c r="H57" i="16"/>
  <c r="M57" i="16"/>
  <c r="K57" i="16"/>
  <c r="Q57" i="16" s="1"/>
  <c r="O25" i="5" s="1"/>
  <c r="E57" i="16"/>
  <c r="E58" i="16" s="1"/>
  <c r="P57" i="16"/>
  <c r="D58" i="16"/>
  <c r="E55" i="16"/>
  <c r="L54" i="16"/>
  <c r="J9" i="5" s="1"/>
  <c r="N57" i="16" l="1"/>
  <c r="M9" i="5" s="1"/>
  <c r="L9" i="5"/>
  <c r="L57" i="16"/>
  <c r="K9" i="5" s="1"/>
  <c r="D13" i="15" l="1"/>
  <c r="F13" i="15"/>
  <c r="G13" i="15"/>
  <c r="I13" i="15"/>
  <c r="J13" i="15"/>
  <c r="C13" i="15"/>
  <c r="D55" i="15"/>
  <c r="F55" i="15"/>
  <c r="G55" i="15"/>
  <c r="I55" i="15"/>
  <c r="J55" i="15"/>
  <c r="C55" i="15"/>
  <c r="D54" i="15"/>
  <c r="F54" i="15"/>
  <c r="G54" i="15"/>
  <c r="I54" i="15"/>
  <c r="J54" i="15"/>
  <c r="C54" i="15"/>
  <c r="D53" i="15"/>
  <c r="F53" i="15"/>
  <c r="G53" i="15"/>
  <c r="I53" i="15"/>
  <c r="J53" i="15"/>
  <c r="C53" i="15"/>
  <c r="D52" i="15"/>
  <c r="F52" i="15"/>
  <c r="G52" i="15"/>
  <c r="I52" i="15"/>
  <c r="J52" i="15"/>
  <c r="C52" i="15"/>
  <c r="D51" i="15"/>
  <c r="F51" i="15"/>
  <c r="G51" i="15"/>
  <c r="I51" i="15"/>
  <c r="J51" i="15"/>
  <c r="C51" i="15"/>
  <c r="D47" i="15"/>
  <c r="F47" i="15"/>
  <c r="G47" i="15"/>
  <c r="I47" i="15"/>
  <c r="J47" i="15"/>
  <c r="C47" i="15"/>
  <c r="D46" i="15"/>
  <c r="F46" i="15"/>
  <c r="G46" i="15"/>
  <c r="I46" i="15"/>
  <c r="J46" i="15"/>
  <c r="C46" i="15"/>
  <c r="D45" i="15"/>
  <c r="F45" i="15"/>
  <c r="G45" i="15"/>
  <c r="I45" i="15"/>
  <c r="J45" i="15"/>
  <c r="C45" i="15"/>
  <c r="D44" i="15"/>
  <c r="F44" i="15"/>
  <c r="G44" i="15"/>
  <c r="I44" i="15"/>
  <c r="J44" i="15"/>
  <c r="C44" i="15"/>
  <c r="D43" i="15"/>
  <c r="F43" i="15"/>
  <c r="G43" i="15"/>
  <c r="I43" i="15"/>
  <c r="J43" i="15"/>
  <c r="C43" i="15"/>
  <c r="D42" i="15"/>
  <c r="F42" i="15"/>
  <c r="G42" i="15"/>
  <c r="I42" i="15"/>
  <c r="J42" i="15"/>
  <c r="C42" i="15"/>
  <c r="D32" i="15"/>
  <c r="F32" i="15"/>
  <c r="G32" i="15"/>
  <c r="I32" i="15"/>
  <c r="J32" i="15"/>
  <c r="C32" i="15"/>
  <c r="D31" i="15"/>
  <c r="F31" i="15"/>
  <c r="G31" i="15"/>
  <c r="I31" i="15"/>
  <c r="J31" i="15"/>
  <c r="C31" i="15"/>
  <c r="D30" i="15"/>
  <c r="F30" i="15"/>
  <c r="G30" i="15"/>
  <c r="I30" i="15"/>
  <c r="J30" i="15"/>
  <c r="C30" i="15"/>
  <c r="D29" i="15"/>
  <c r="F29" i="15"/>
  <c r="G29" i="15"/>
  <c r="I29" i="15"/>
  <c r="J29" i="15"/>
  <c r="C29" i="15"/>
  <c r="D37" i="15"/>
  <c r="F37" i="15"/>
  <c r="G37" i="15"/>
  <c r="I37" i="15"/>
  <c r="J37" i="15"/>
  <c r="C37" i="15"/>
  <c r="D36" i="15"/>
  <c r="F36" i="15"/>
  <c r="G36" i="15"/>
  <c r="I36" i="15"/>
  <c r="J36" i="15"/>
  <c r="C36" i="15"/>
  <c r="D35" i="15"/>
  <c r="F35" i="15"/>
  <c r="G35" i="15"/>
  <c r="I35" i="15"/>
  <c r="J35" i="15"/>
  <c r="C35" i="15"/>
  <c r="D50" i="15"/>
  <c r="F50" i="15"/>
  <c r="G50" i="15"/>
  <c r="I50" i="15"/>
  <c r="J50" i="15"/>
  <c r="C50" i="15"/>
  <c r="D28" i="15"/>
  <c r="F28" i="15"/>
  <c r="G28" i="15"/>
  <c r="I28" i="15"/>
  <c r="J28" i="15"/>
  <c r="C28" i="15"/>
  <c r="D27" i="15"/>
  <c r="F27" i="15"/>
  <c r="G27" i="15"/>
  <c r="I27" i="15"/>
  <c r="J27" i="15"/>
  <c r="C27" i="15"/>
  <c r="D41" i="15"/>
  <c r="F41" i="15"/>
  <c r="G41" i="15"/>
  <c r="I41" i="15"/>
  <c r="J41" i="15"/>
  <c r="C41" i="15"/>
  <c r="D40" i="15"/>
  <c r="F40" i="15"/>
  <c r="G40" i="15"/>
  <c r="I40" i="15"/>
  <c r="J40" i="15"/>
  <c r="C40" i="15"/>
  <c r="D49" i="15"/>
  <c r="F49" i="15"/>
  <c r="G49" i="15"/>
  <c r="I49" i="15"/>
  <c r="J49" i="15"/>
  <c r="C49" i="15"/>
  <c r="D48" i="15"/>
  <c r="F48" i="15"/>
  <c r="G48" i="15"/>
  <c r="I48" i="15"/>
  <c r="J48" i="15"/>
  <c r="C48" i="15"/>
  <c r="D34" i="15"/>
  <c r="F34" i="15"/>
  <c r="G34" i="15"/>
  <c r="I34" i="15"/>
  <c r="J34" i="15"/>
  <c r="C34" i="15"/>
  <c r="D33" i="15"/>
  <c r="F33" i="15"/>
  <c r="G33" i="15"/>
  <c r="I33" i="15"/>
  <c r="J33" i="15"/>
  <c r="C33" i="15"/>
  <c r="D26" i="15"/>
  <c r="F26" i="15"/>
  <c r="G26" i="15"/>
  <c r="I26" i="15"/>
  <c r="J26" i="15"/>
  <c r="C26" i="15"/>
  <c r="D25" i="15"/>
  <c r="F25" i="15"/>
  <c r="G25" i="15"/>
  <c r="I25" i="15"/>
  <c r="J25" i="15"/>
  <c r="C25" i="15"/>
  <c r="D21" i="15"/>
  <c r="F21" i="15"/>
  <c r="G21" i="15"/>
  <c r="I21" i="15"/>
  <c r="J21" i="15"/>
  <c r="C21" i="15"/>
  <c r="C19" i="15"/>
  <c r="D18" i="15"/>
  <c r="F18" i="15"/>
  <c r="G18" i="15"/>
  <c r="I18" i="15"/>
  <c r="J18" i="15"/>
  <c r="C18" i="15"/>
  <c r="D17" i="15"/>
  <c r="F17" i="15"/>
  <c r="G17" i="15"/>
  <c r="I17" i="15"/>
  <c r="J17" i="15"/>
  <c r="C17" i="15"/>
  <c r="D20" i="15"/>
  <c r="F20" i="15"/>
  <c r="G20" i="15"/>
  <c r="I20" i="15"/>
  <c r="J20" i="15"/>
  <c r="C20" i="15"/>
  <c r="D16" i="15"/>
  <c r="F16" i="15"/>
  <c r="G16" i="15"/>
  <c r="I16" i="15"/>
  <c r="J16" i="15"/>
  <c r="C16" i="15"/>
  <c r="D15" i="15"/>
  <c r="F15" i="15"/>
  <c r="G15" i="15"/>
  <c r="I15" i="15"/>
  <c r="J15" i="15"/>
  <c r="C15" i="15"/>
  <c r="D14" i="15"/>
  <c r="F14" i="15"/>
  <c r="G14" i="15"/>
  <c r="I14" i="15"/>
  <c r="J14" i="15"/>
  <c r="C14" i="15"/>
  <c r="D12" i="15"/>
  <c r="F12" i="15"/>
  <c r="G12" i="15"/>
  <c r="I12" i="15"/>
  <c r="J12" i="15"/>
  <c r="C12" i="15"/>
  <c r="D8" i="15"/>
  <c r="F8" i="15"/>
  <c r="G8" i="15"/>
  <c r="I8" i="15"/>
  <c r="J8" i="15"/>
  <c r="C8" i="15"/>
  <c r="D7" i="15"/>
  <c r="F7" i="15"/>
  <c r="G7" i="15"/>
  <c r="I7" i="15"/>
  <c r="J7" i="15"/>
  <c r="C7" i="15"/>
  <c r="D6" i="15"/>
  <c r="F6" i="15"/>
  <c r="G6" i="15"/>
  <c r="I6" i="15"/>
  <c r="J6" i="15"/>
  <c r="C6" i="15"/>
  <c r="D11" i="15"/>
  <c r="F11" i="15"/>
  <c r="G11" i="15"/>
  <c r="I11" i="15"/>
  <c r="J11" i="15"/>
  <c r="C11" i="15"/>
  <c r="D10" i="15"/>
  <c r="F10" i="15"/>
  <c r="G10" i="15"/>
  <c r="I10" i="15"/>
  <c r="J10" i="15"/>
  <c r="C10" i="15"/>
  <c r="D9" i="15"/>
  <c r="F9" i="15"/>
  <c r="G9" i="15"/>
  <c r="I9" i="15"/>
  <c r="J9" i="15"/>
  <c r="C9" i="15"/>
  <c r="P53" i="14"/>
  <c r="M53" i="14"/>
  <c r="N53" i="14" s="1"/>
  <c r="K53" i="14"/>
  <c r="Q53" i="14" s="1"/>
  <c r="H53" i="14"/>
  <c r="H52" i="15" s="1"/>
  <c r="E53" i="14"/>
  <c r="L53" i="14" s="1"/>
  <c r="P52" i="14"/>
  <c r="M52" i="14"/>
  <c r="N52" i="14" s="1"/>
  <c r="K52" i="14"/>
  <c r="Q52" i="14" s="1"/>
  <c r="H52" i="14"/>
  <c r="H46" i="15" s="1"/>
  <c r="E52" i="14"/>
  <c r="L52" i="14" s="1"/>
  <c r="P51" i="14"/>
  <c r="M51" i="14"/>
  <c r="N51" i="14" s="1"/>
  <c r="K51" i="14"/>
  <c r="Q51" i="14" s="1"/>
  <c r="H51" i="14"/>
  <c r="H47" i="15" s="1"/>
  <c r="E51" i="14"/>
  <c r="L51" i="14" s="1"/>
  <c r="P50" i="14"/>
  <c r="M50" i="14"/>
  <c r="N50" i="14" s="1"/>
  <c r="K50" i="14"/>
  <c r="Q50" i="14" s="1"/>
  <c r="H50" i="14"/>
  <c r="H32" i="15" s="1"/>
  <c r="E50" i="14"/>
  <c r="L50" i="14" s="1"/>
  <c r="P49" i="14"/>
  <c r="M49" i="14"/>
  <c r="N49" i="14" s="1"/>
  <c r="K49" i="14"/>
  <c r="Q49" i="14" s="1"/>
  <c r="H49" i="14"/>
  <c r="H40" i="15" s="1"/>
  <c r="E49" i="14"/>
  <c r="L49" i="14" s="1"/>
  <c r="P48" i="14"/>
  <c r="M48" i="14"/>
  <c r="N48" i="14" s="1"/>
  <c r="K48" i="14"/>
  <c r="Q48" i="14" s="1"/>
  <c r="H48" i="14"/>
  <c r="H45" i="15" s="1"/>
  <c r="E48" i="14"/>
  <c r="L48" i="14" s="1"/>
  <c r="P47" i="14"/>
  <c r="M47" i="14"/>
  <c r="N47" i="14" s="1"/>
  <c r="K47" i="14"/>
  <c r="Q47" i="14" s="1"/>
  <c r="H47" i="14"/>
  <c r="H49" i="15" s="1"/>
  <c r="E47" i="14"/>
  <c r="L47" i="14" s="1"/>
  <c r="P46" i="14"/>
  <c r="M46" i="14"/>
  <c r="N46" i="14" s="1"/>
  <c r="K46" i="14"/>
  <c r="Q46" i="14" s="1"/>
  <c r="H46" i="14"/>
  <c r="H55" i="15" s="1"/>
  <c r="E46" i="14"/>
  <c r="L46" i="14" s="1"/>
  <c r="P45" i="14"/>
  <c r="M45" i="14"/>
  <c r="N45" i="14" s="1"/>
  <c r="K45" i="14"/>
  <c r="Q45" i="14" s="1"/>
  <c r="H45" i="14"/>
  <c r="H37" i="15" s="1"/>
  <c r="E45" i="14"/>
  <c r="L45" i="14" s="1"/>
  <c r="P44" i="14"/>
  <c r="M44" i="14"/>
  <c r="N44" i="14" s="1"/>
  <c r="K44" i="14"/>
  <c r="Q44" i="14" s="1"/>
  <c r="H44" i="14"/>
  <c r="H53" i="15" s="1"/>
  <c r="E44" i="14"/>
  <c r="L44" i="14" s="1"/>
  <c r="P43" i="14"/>
  <c r="M43" i="14"/>
  <c r="N43" i="14" s="1"/>
  <c r="K43" i="14"/>
  <c r="Q43" i="14" s="1"/>
  <c r="H43" i="14"/>
  <c r="H50" i="15" s="1"/>
  <c r="E43" i="14"/>
  <c r="L43" i="14" s="1"/>
  <c r="P42" i="14"/>
  <c r="M42" i="14"/>
  <c r="N42" i="14" s="1"/>
  <c r="K42" i="14"/>
  <c r="Q42" i="14" s="1"/>
  <c r="H42" i="14"/>
  <c r="H43" i="15" s="1"/>
  <c r="E42" i="14"/>
  <c r="L42" i="14" s="1"/>
  <c r="P41" i="14"/>
  <c r="M41" i="14"/>
  <c r="N41" i="14" s="1"/>
  <c r="K41" i="14"/>
  <c r="Q41" i="14" s="1"/>
  <c r="H41" i="14"/>
  <c r="H48" i="15" s="1"/>
  <c r="E41" i="14"/>
  <c r="L41" i="14" s="1"/>
  <c r="P40" i="14"/>
  <c r="M40" i="14"/>
  <c r="N40" i="14" s="1"/>
  <c r="K40" i="14"/>
  <c r="Q40" i="14" s="1"/>
  <c r="H40" i="14"/>
  <c r="H34" i="15" s="1"/>
  <c r="E40" i="14"/>
  <c r="L40" i="14" s="1"/>
  <c r="P39" i="14"/>
  <c r="M39" i="14"/>
  <c r="N39" i="14" s="1"/>
  <c r="K39" i="14"/>
  <c r="Q39" i="14" s="1"/>
  <c r="H39" i="14"/>
  <c r="H36" i="15" s="1"/>
  <c r="E39" i="14"/>
  <c r="L39" i="14" s="1"/>
  <c r="P38" i="14"/>
  <c r="M38" i="14"/>
  <c r="N38" i="14" s="1"/>
  <c r="K38" i="14"/>
  <c r="Q38" i="14" s="1"/>
  <c r="H38" i="14"/>
  <c r="H54" i="15" s="1"/>
  <c r="E38" i="14"/>
  <c r="L38" i="14" s="1"/>
  <c r="P37" i="14"/>
  <c r="M37" i="14"/>
  <c r="N37" i="14" s="1"/>
  <c r="K37" i="14"/>
  <c r="Q37" i="14" s="1"/>
  <c r="H37" i="14"/>
  <c r="H51" i="15" s="1"/>
  <c r="E37" i="14"/>
  <c r="L37" i="14" s="1"/>
  <c r="P36" i="14"/>
  <c r="M36" i="14"/>
  <c r="N36" i="14" s="1"/>
  <c r="K36" i="14"/>
  <c r="Q36" i="14" s="1"/>
  <c r="H36" i="14"/>
  <c r="H42" i="15" s="1"/>
  <c r="E36" i="14"/>
  <c r="L36" i="14" s="1"/>
  <c r="P35" i="14"/>
  <c r="M35" i="14"/>
  <c r="N35" i="14" s="1"/>
  <c r="K35" i="14"/>
  <c r="Q35" i="14" s="1"/>
  <c r="H35" i="14"/>
  <c r="H29" i="15" s="1"/>
  <c r="E35" i="14"/>
  <c r="L35" i="14" s="1"/>
  <c r="P34" i="14"/>
  <c r="M34" i="14"/>
  <c r="N34" i="14" s="1"/>
  <c r="K34" i="14"/>
  <c r="Q34" i="14" s="1"/>
  <c r="H34" i="14"/>
  <c r="H33" i="15" s="1"/>
  <c r="E34" i="14"/>
  <c r="L34" i="14" s="1"/>
  <c r="P33" i="14"/>
  <c r="M33" i="14"/>
  <c r="N33" i="14" s="1"/>
  <c r="K33" i="14"/>
  <c r="Q33" i="14" s="1"/>
  <c r="H33" i="14"/>
  <c r="H41" i="15" s="1"/>
  <c r="E33" i="14"/>
  <c r="L33" i="14" s="1"/>
  <c r="P32" i="14"/>
  <c r="M32" i="14"/>
  <c r="N32" i="14" s="1"/>
  <c r="K32" i="14"/>
  <c r="Q32" i="14" s="1"/>
  <c r="H32" i="14"/>
  <c r="H27" i="15" s="1"/>
  <c r="E32" i="14"/>
  <c r="L32" i="14" s="1"/>
  <c r="P31" i="14"/>
  <c r="M31" i="14"/>
  <c r="N31" i="14" s="1"/>
  <c r="K31" i="14"/>
  <c r="Q31" i="14" s="1"/>
  <c r="H31" i="14"/>
  <c r="H28" i="15" s="1"/>
  <c r="E31" i="14"/>
  <c r="L31" i="14" s="1"/>
  <c r="P30" i="14"/>
  <c r="M30" i="14"/>
  <c r="N30" i="14" s="1"/>
  <c r="K30" i="14"/>
  <c r="Q30" i="14" s="1"/>
  <c r="H30" i="14"/>
  <c r="H30" i="15" s="1"/>
  <c r="E30" i="14"/>
  <c r="L30" i="14" s="1"/>
  <c r="P29" i="14"/>
  <c r="M29" i="14"/>
  <c r="N29" i="14" s="1"/>
  <c r="K29" i="14"/>
  <c r="Q29" i="14" s="1"/>
  <c r="H29" i="14"/>
  <c r="H26" i="15" s="1"/>
  <c r="E29" i="14"/>
  <c r="L29" i="14" s="1"/>
  <c r="P28" i="14"/>
  <c r="M28" i="14"/>
  <c r="N28" i="14" s="1"/>
  <c r="K28" i="14"/>
  <c r="Q28" i="14" s="1"/>
  <c r="H28" i="14"/>
  <c r="H31" i="15" s="1"/>
  <c r="E28" i="14"/>
  <c r="L28" i="14" s="1"/>
  <c r="P27" i="14"/>
  <c r="M27" i="14"/>
  <c r="N27" i="14" s="1"/>
  <c r="K27" i="14"/>
  <c r="Q27" i="14" s="1"/>
  <c r="H27" i="14"/>
  <c r="H35" i="15" s="1"/>
  <c r="E27" i="14"/>
  <c r="L27" i="14" s="1"/>
  <c r="P26" i="14"/>
  <c r="M26" i="14"/>
  <c r="N26" i="14" s="1"/>
  <c r="K26" i="14"/>
  <c r="Q26" i="14" s="1"/>
  <c r="H26" i="14"/>
  <c r="H25" i="15" s="1"/>
  <c r="E26" i="14"/>
  <c r="L26" i="14" s="1"/>
  <c r="P25" i="14"/>
  <c r="M25" i="14"/>
  <c r="N25" i="14" s="1"/>
  <c r="K25" i="14"/>
  <c r="Q25" i="14" s="1"/>
  <c r="H25" i="14"/>
  <c r="H44" i="15" s="1"/>
  <c r="E25" i="14"/>
  <c r="L25" i="14" s="1"/>
  <c r="P21" i="14"/>
  <c r="M21" i="14"/>
  <c r="N21" i="14" s="1"/>
  <c r="K21" i="14"/>
  <c r="Q21" i="14" s="1"/>
  <c r="H21" i="14"/>
  <c r="H18" i="15" s="1"/>
  <c r="E21" i="14"/>
  <c r="L21" i="14" s="1"/>
  <c r="P20" i="14"/>
  <c r="M20" i="14"/>
  <c r="N20" i="14" s="1"/>
  <c r="K20" i="14"/>
  <c r="Q20" i="14" s="1"/>
  <c r="H20" i="14"/>
  <c r="H15" i="15" s="1"/>
  <c r="E20" i="14"/>
  <c r="L20" i="14" s="1"/>
  <c r="P19" i="14"/>
  <c r="M19" i="14"/>
  <c r="N19" i="14" s="1"/>
  <c r="K19" i="14"/>
  <c r="H19" i="14"/>
  <c r="H19" i="15" s="1"/>
  <c r="E19" i="14"/>
  <c r="P18" i="14"/>
  <c r="M18" i="14"/>
  <c r="N18" i="14" s="1"/>
  <c r="K18" i="14"/>
  <c r="Q18" i="14" s="1"/>
  <c r="H18" i="14"/>
  <c r="H21" i="15" s="1"/>
  <c r="E18" i="14"/>
  <c r="L18" i="14" s="1"/>
  <c r="P17" i="14"/>
  <c r="M17" i="14"/>
  <c r="N17" i="14" s="1"/>
  <c r="K17" i="14"/>
  <c r="Q17" i="14" s="1"/>
  <c r="H17" i="14"/>
  <c r="H20" i="15" s="1"/>
  <c r="E17" i="14"/>
  <c r="L17" i="14" s="1"/>
  <c r="P16" i="14"/>
  <c r="M16" i="14"/>
  <c r="N16" i="14" s="1"/>
  <c r="K16" i="14"/>
  <c r="Q16" i="14" s="1"/>
  <c r="H16" i="14"/>
  <c r="H12" i="15" s="1"/>
  <c r="E16" i="14"/>
  <c r="L16" i="14" s="1"/>
  <c r="P15" i="14"/>
  <c r="M15" i="14"/>
  <c r="N15" i="14" s="1"/>
  <c r="K15" i="14"/>
  <c r="Q15" i="14" s="1"/>
  <c r="H15" i="14"/>
  <c r="H17" i="15" s="1"/>
  <c r="E15" i="14"/>
  <c r="L15" i="14" s="1"/>
  <c r="P14" i="14"/>
  <c r="M14" i="14"/>
  <c r="N14" i="14" s="1"/>
  <c r="K14" i="14"/>
  <c r="Q14" i="14" s="1"/>
  <c r="H14" i="14"/>
  <c r="H13" i="15" s="1"/>
  <c r="E14" i="14"/>
  <c r="L14" i="14" s="1"/>
  <c r="P13" i="14"/>
  <c r="M13" i="14"/>
  <c r="N13" i="14" s="1"/>
  <c r="K13" i="14"/>
  <c r="Q13" i="14" s="1"/>
  <c r="H13" i="14"/>
  <c r="H16" i="15" s="1"/>
  <c r="E13" i="14"/>
  <c r="L13" i="14" s="1"/>
  <c r="P12" i="14"/>
  <c r="M12" i="14"/>
  <c r="N12" i="14" s="1"/>
  <c r="K12" i="14"/>
  <c r="Q12" i="14" s="1"/>
  <c r="H12" i="14"/>
  <c r="H11" i="15" s="1"/>
  <c r="E12" i="14"/>
  <c r="L12" i="14" s="1"/>
  <c r="P11" i="14"/>
  <c r="M11" i="14"/>
  <c r="N11" i="14" s="1"/>
  <c r="K11" i="14"/>
  <c r="Q11" i="14" s="1"/>
  <c r="H11" i="14"/>
  <c r="H14" i="15" s="1"/>
  <c r="E11" i="14"/>
  <c r="L11" i="14" s="1"/>
  <c r="P10" i="14"/>
  <c r="M10" i="14"/>
  <c r="N10" i="14" s="1"/>
  <c r="K10" i="14"/>
  <c r="Q10" i="14" s="1"/>
  <c r="H10" i="14"/>
  <c r="H8" i="15" s="1"/>
  <c r="E10" i="14"/>
  <c r="L10" i="14" s="1"/>
  <c r="P9" i="14"/>
  <c r="M9" i="14"/>
  <c r="N9" i="14" s="1"/>
  <c r="K9" i="14"/>
  <c r="Q9" i="14" s="1"/>
  <c r="H9" i="14"/>
  <c r="H7" i="15" s="1"/>
  <c r="E9" i="14"/>
  <c r="L9" i="14" s="1"/>
  <c r="P8" i="14"/>
  <c r="M8" i="14"/>
  <c r="N8" i="14" s="1"/>
  <c r="K8" i="14"/>
  <c r="Q8" i="14" s="1"/>
  <c r="H8" i="14"/>
  <c r="H10" i="15" s="1"/>
  <c r="E8" i="14"/>
  <c r="L8" i="14" s="1"/>
  <c r="P7" i="14"/>
  <c r="M7" i="14"/>
  <c r="N7" i="14" s="1"/>
  <c r="K7" i="14"/>
  <c r="Q7" i="14" s="1"/>
  <c r="H7" i="14"/>
  <c r="H9" i="15" s="1"/>
  <c r="E7" i="14"/>
  <c r="L7" i="14" s="1"/>
  <c r="P6" i="14"/>
  <c r="M6" i="14"/>
  <c r="N6" i="14" s="1"/>
  <c r="K6" i="14"/>
  <c r="Q6" i="14" s="1"/>
  <c r="H6" i="14"/>
  <c r="H6" i="15" s="1"/>
  <c r="E6" i="14"/>
  <c r="L6" i="14" s="1"/>
  <c r="D22" i="14"/>
  <c r="F22" i="14"/>
  <c r="G22" i="14"/>
  <c r="I22" i="14"/>
  <c r="J22" i="14"/>
  <c r="C22" i="15" l="1"/>
  <c r="J22" i="15"/>
  <c r="I22" i="15"/>
  <c r="G22" i="15"/>
  <c r="F22" i="15"/>
  <c r="D22" i="15"/>
  <c r="H22" i="15"/>
  <c r="E9" i="15"/>
  <c r="K12" i="15"/>
  <c r="E15" i="15"/>
  <c r="K21" i="15"/>
  <c r="E26" i="15"/>
  <c r="K41" i="15"/>
  <c r="E28" i="15"/>
  <c r="K30" i="15"/>
  <c r="E32" i="15"/>
  <c r="K47" i="15"/>
  <c r="E52" i="15"/>
  <c r="Q19" i="14"/>
  <c r="K19" i="15"/>
  <c r="E10" i="15"/>
  <c r="K14" i="15"/>
  <c r="E16" i="15"/>
  <c r="K25" i="15"/>
  <c r="E33" i="15"/>
  <c r="K27" i="15"/>
  <c r="E50" i="15"/>
  <c r="K31" i="15"/>
  <c r="E42" i="15"/>
  <c r="K51" i="15"/>
  <c r="E53" i="15"/>
  <c r="K9" i="15"/>
  <c r="E11" i="15"/>
  <c r="K15" i="15"/>
  <c r="E20" i="15"/>
  <c r="K26" i="15"/>
  <c r="E34" i="15"/>
  <c r="K28" i="15"/>
  <c r="E35" i="15"/>
  <c r="K32" i="15"/>
  <c r="E43" i="15"/>
  <c r="K52" i="15"/>
  <c r="E54" i="15"/>
  <c r="K10" i="15"/>
  <c r="E6" i="15"/>
  <c r="K16" i="15"/>
  <c r="E17" i="15"/>
  <c r="K33" i="15"/>
  <c r="E48" i="15"/>
  <c r="K50" i="15"/>
  <c r="E36" i="15"/>
  <c r="K42" i="15"/>
  <c r="E44" i="15"/>
  <c r="K53" i="15"/>
  <c r="E55" i="15"/>
  <c r="K11" i="15"/>
  <c r="E7" i="15"/>
  <c r="K20" i="15"/>
  <c r="E18" i="15"/>
  <c r="K34" i="15"/>
  <c r="E49" i="15"/>
  <c r="K35" i="15"/>
  <c r="E37" i="15"/>
  <c r="K43" i="15"/>
  <c r="E45" i="15"/>
  <c r="K54" i="15"/>
  <c r="K6" i="15"/>
  <c r="E8" i="15"/>
  <c r="K17" i="15"/>
  <c r="K48" i="15"/>
  <c r="E40" i="15"/>
  <c r="K36" i="15"/>
  <c r="E29" i="15"/>
  <c r="K44" i="15"/>
  <c r="E46" i="15"/>
  <c r="K55" i="15"/>
  <c r="E13" i="15"/>
  <c r="K7" i="15"/>
  <c r="E12" i="15"/>
  <c r="K18" i="15"/>
  <c r="E21" i="15"/>
  <c r="K49" i="15"/>
  <c r="E41" i="15"/>
  <c r="K37" i="15"/>
  <c r="E30" i="15"/>
  <c r="K45" i="15"/>
  <c r="E47" i="15"/>
  <c r="L19" i="14"/>
  <c r="E19" i="15"/>
  <c r="K8" i="15"/>
  <c r="E14" i="15"/>
  <c r="E25" i="15"/>
  <c r="K40" i="15"/>
  <c r="E27" i="15"/>
  <c r="K29" i="15"/>
  <c r="E31" i="15"/>
  <c r="K46" i="15"/>
  <c r="E51" i="15"/>
  <c r="K13" i="15"/>
  <c r="E22" i="14"/>
  <c r="H22" i="14"/>
  <c r="K22" i="14"/>
  <c r="O55" i="15"/>
  <c r="O54" i="15"/>
  <c r="O53" i="15"/>
  <c r="P53" i="15" s="1"/>
  <c r="M53" i="15"/>
  <c r="N53" i="15" s="1"/>
  <c r="O52" i="15"/>
  <c r="O51" i="15"/>
  <c r="O47" i="15"/>
  <c r="O46" i="15"/>
  <c r="O45" i="15"/>
  <c r="O44" i="15"/>
  <c r="O43" i="15"/>
  <c r="O42" i="15"/>
  <c r="O32" i="15"/>
  <c r="O31" i="15"/>
  <c r="O30" i="15"/>
  <c r="O29" i="15"/>
  <c r="O37" i="15"/>
  <c r="O36" i="15"/>
  <c r="O35" i="15"/>
  <c r="O50" i="15"/>
  <c r="Q50" i="15" s="1"/>
  <c r="O28" i="15"/>
  <c r="O27" i="15"/>
  <c r="P27" i="15" s="1"/>
  <c r="O41" i="15"/>
  <c r="O40" i="15"/>
  <c r="O49" i="15"/>
  <c r="O48" i="15"/>
  <c r="O34" i="15"/>
  <c r="O33" i="15"/>
  <c r="M33" i="15"/>
  <c r="N33" i="15" s="1"/>
  <c r="O26" i="15"/>
  <c r="O25" i="15"/>
  <c r="O21" i="15"/>
  <c r="Q21" i="15" s="1"/>
  <c r="O19" i="15"/>
  <c r="P19" i="15" s="1"/>
  <c r="O18" i="15"/>
  <c r="P18" i="15" s="1"/>
  <c r="M18" i="15"/>
  <c r="N18" i="15" s="1"/>
  <c r="O17" i="15"/>
  <c r="O20" i="15"/>
  <c r="Q20" i="15" s="1"/>
  <c r="O16" i="15"/>
  <c r="Q16" i="15" s="1"/>
  <c r="O15" i="15"/>
  <c r="O14" i="15"/>
  <c r="O13" i="15"/>
  <c r="O12" i="15"/>
  <c r="O8" i="15"/>
  <c r="Q8" i="15" s="1"/>
  <c r="O7" i="15"/>
  <c r="O6" i="15"/>
  <c r="O11" i="15"/>
  <c r="O10" i="15"/>
  <c r="O9" i="15"/>
  <c r="O54" i="14"/>
  <c r="C71" i="14" s="1"/>
  <c r="J54" i="14"/>
  <c r="I54" i="14"/>
  <c r="G54" i="14"/>
  <c r="F54" i="14"/>
  <c r="D54" i="14"/>
  <c r="C54" i="14"/>
  <c r="O22" i="14"/>
  <c r="C22" i="14"/>
  <c r="Q14" i="15" l="1"/>
  <c r="Q11" i="15"/>
  <c r="E22" i="15"/>
  <c r="G24" i="5"/>
  <c r="I24" i="5" s="1"/>
  <c r="O22" i="15"/>
  <c r="K22" i="15"/>
  <c r="P26" i="13"/>
  <c r="B24" i="5"/>
  <c r="Q55" i="15"/>
  <c r="Q6" i="15"/>
  <c r="Q33" i="15"/>
  <c r="Q9" i="15"/>
  <c r="Q25" i="15"/>
  <c r="Q35" i="15"/>
  <c r="Q48" i="15"/>
  <c r="Q51" i="15"/>
  <c r="Q40" i="15"/>
  <c r="P50" i="15"/>
  <c r="Q44" i="15"/>
  <c r="Q53" i="15"/>
  <c r="M19" i="15"/>
  <c r="N19" i="15" s="1"/>
  <c r="Q29" i="15"/>
  <c r="Q42" i="15"/>
  <c r="Q27" i="15"/>
  <c r="P14" i="15"/>
  <c r="P17" i="15"/>
  <c r="M17" i="15"/>
  <c r="N17" i="15" s="1"/>
  <c r="P43" i="15"/>
  <c r="M6" i="15"/>
  <c r="N6" i="15" s="1"/>
  <c r="P20" i="15"/>
  <c r="M20" i="15"/>
  <c r="N20" i="15" s="1"/>
  <c r="P48" i="15"/>
  <c r="M48" i="15"/>
  <c r="N48" i="15" s="1"/>
  <c r="P36" i="15"/>
  <c r="M36" i="15"/>
  <c r="N36" i="15" s="1"/>
  <c r="P31" i="15"/>
  <c r="M31" i="15"/>
  <c r="N31" i="15" s="1"/>
  <c r="M42" i="15"/>
  <c r="N42" i="15" s="1"/>
  <c r="P52" i="15"/>
  <c r="M12" i="15"/>
  <c r="N12" i="15" s="1"/>
  <c r="L14" i="15"/>
  <c r="P21" i="15"/>
  <c r="M21" i="15"/>
  <c r="N21" i="15" s="1"/>
  <c r="P34" i="15"/>
  <c r="M34" i="15"/>
  <c r="N34" i="15" s="1"/>
  <c r="P35" i="15"/>
  <c r="M35" i="15"/>
  <c r="N35" i="15" s="1"/>
  <c r="P30" i="15"/>
  <c r="M14" i="15"/>
  <c r="N14" i="15" s="1"/>
  <c r="L12" i="15"/>
  <c r="P16" i="15"/>
  <c r="P26" i="15"/>
  <c r="M26" i="15"/>
  <c r="N26" i="15" s="1"/>
  <c r="M29" i="15"/>
  <c r="N29" i="15" s="1"/>
  <c r="M43" i="15"/>
  <c r="N43" i="15" s="1"/>
  <c r="P51" i="15"/>
  <c r="P55" i="15"/>
  <c r="M55" i="15"/>
  <c r="N55" i="15" s="1"/>
  <c r="M9" i="15"/>
  <c r="N9" i="15" s="1"/>
  <c r="M15" i="15"/>
  <c r="N15" i="15" s="1"/>
  <c r="M25" i="15"/>
  <c r="N25" i="15" s="1"/>
  <c r="P41" i="15"/>
  <c r="M41" i="15"/>
  <c r="N41" i="15" s="1"/>
  <c r="P37" i="15"/>
  <c r="M37" i="15"/>
  <c r="N37" i="15" s="1"/>
  <c r="P42" i="15"/>
  <c r="M52" i="15"/>
  <c r="N52" i="15" s="1"/>
  <c r="P54" i="15"/>
  <c r="M54" i="15"/>
  <c r="N54" i="15" s="1"/>
  <c r="C56" i="15"/>
  <c r="P25" i="15"/>
  <c r="M27" i="15"/>
  <c r="N27" i="15" s="1"/>
  <c r="P8" i="15"/>
  <c r="P10" i="15"/>
  <c r="M11" i="15"/>
  <c r="N11" i="15" s="1"/>
  <c r="P7" i="15"/>
  <c r="M8" i="15"/>
  <c r="N8" i="15" s="1"/>
  <c r="P13" i="15"/>
  <c r="D56" i="15"/>
  <c r="M49" i="15"/>
  <c r="N49" i="15" s="1"/>
  <c r="P40" i="15"/>
  <c r="P28" i="15"/>
  <c r="M50" i="15"/>
  <c r="N50" i="15" s="1"/>
  <c r="O56" i="15"/>
  <c r="L35" i="15"/>
  <c r="P32" i="15"/>
  <c r="P44" i="15"/>
  <c r="M45" i="15"/>
  <c r="N45" i="15" s="1"/>
  <c r="P46" i="15"/>
  <c r="M47" i="15"/>
  <c r="N47" i="15" s="1"/>
  <c r="P12" i="15"/>
  <c r="P15" i="15"/>
  <c r="I56" i="15"/>
  <c r="P33" i="15"/>
  <c r="G56" i="15"/>
  <c r="P29" i="15"/>
  <c r="M30" i="15"/>
  <c r="N30" i="15" s="1"/>
  <c r="P9" i="15"/>
  <c r="P6" i="15"/>
  <c r="M10" i="15"/>
  <c r="N10" i="15" s="1"/>
  <c r="P11" i="15"/>
  <c r="M7" i="15"/>
  <c r="N7" i="15" s="1"/>
  <c r="M13" i="15"/>
  <c r="N13" i="15" s="1"/>
  <c r="M16" i="15"/>
  <c r="N16" i="15" s="1"/>
  <c r="L17" i="15"/>
  <c r="J56" i="15"/>
  <c r="P49" i="15"/>
  <c r="M40" i="15"/>
  <c r="N40" i="15" s="1"/>
  <c r="M28" i="15"/>
  <c r="N28" i="15" s="1"/>
  <c r="M32" i="15"/>
  <c r="N32" i="15" s="1"/>
  <c r="M44" i="15"/>
  <c r="N44" i="15" s="1"/>
  <c r="P45" i="15"/>
  <c r="M46" i="15"/>
  <c r="N46" i="15" s="1"/>
  <c r="P47" i="15"/>
  <c r="M51" i="15"/>
  <c r="N51" i="15" s="1"/>
  <c r="C70" i="14"/>
  <c r="C74" i="14" s="1"/>
  <c r="Q22" i="14"/>
  <c r="E24" i="5" s="1"/>
  <c r="G57" i="14"/>
  <c r="D8" i="5" s="1"/>
  <c r="D57" i="14"/>
  <c r="P54" i="14"/>
  <c r="H54" i="14"/>
  <c r="P22" i="14"/>
  <c r="M54" i="14"/>
  <c r="N54" i="14" s="1"/>
  <c r="D55" i="14"/>
  <c r="E54" i="14"/>
  <c r="E55" i="14" s="1"/>
  <c r="K54" i="14"/>
  <c r="Q54" i="14" s="1"/>
  <c r="J24" i="5" s="1"/>
  <c r="M22" i="14"/>
  <c r="N22" i="14" s="1"/>
  <c r="J57" i="14"/>
  <c r="G8" i="5" s="1"/>
  <c r="O57" i="14"/>
  <c r="F57" i="14"/>
  <c r="C8" i="5" s="1"/>
  <c r="I57" i="14"/>
  <c r="F56" i="15"/>
  <c r="D23" i="14"/>
  <c r="C57" i="14"/>
  <c r="B8" i="5" s="1"/>
  <c r="I35" i="13"/>
  <c r="C35" i="13"/>
  <c r="D24" i="5" l="1"/>
  <c r="L24" i="5"/>
  <c r="N24" i="5" s="1"/>
  <c r="E8" i="5"/>
  <c r="O59" i="15"/>
  <c r="D57" i="15"/>
  <c r="D59" i="15"/>
  <c r="J59" i="15"/>
  <c r="P56" i="15"/>
  <c r="G59" i="15"/>
  <c r="H57" i="14"/>
  <c r="L54" i="14"/>
  <c r="J8" i="5" s="1"/>
  <c r="K57" i="14"/>
  <c r="Q57" i="14" s="1"/>
  <c r="O24" i="5" s="1"/>
  <c r="P57" i="14"/>
  <c r="M57" i="14"/>
  <c r="C59" i="15"/>
  <c r="P22" i="15"/>
  <c r="M56" i="15"/>
  <c r="N56" i="15" s="1"/>
  <c r="I59" i="15"/>
  <c r="M22" i="15"/>
  <c r="N22" i="15" s="1"/>
  <c r="F59" i="15"/>
  <c r="D23" i="15"/>
  <c r="E57" i="14"/>
  <c r="L22" i="14"/>
  <c r="I8" i="5" s="1"/>
  <c r="E23" i="14"/>
  <c r="D58" i="14"/>
  <c r="J33" i="13"/>
  <c r="J34" i="13"/>
  <c r="U33" i="13" l="1"/>
  <c r="N57" i="14"/>
  <c r="M8" i="5" s="1"/>
  <c r="L8" i="5"/>
  <c r="P59" i="15"/>
  <c r="D60" i="15"/>
  <c r="M59" i="15"/>
  <c r="N59" i="15" s="1"/>
  <c r="E58" i="14"/>
  <c r="L57" i="14"/>
  <c r="K8" i="5" s="1"/>
  <c r="D23" i="13"/>
  <c r="D24" i="13"/>
  <c r="D25" i="13"/>
  <c r="D26" i="13"/>
  <c r="B35" i="13"/>
  <c r="D28" i="13"/>
  <c r="D29" i="13"/>
  <c r="D30" i="13"/>
  <c r="D31" i="13"/>
  <c r="D32" i="13"/>
  <c r="D33" i="13"/>
  <c r="T33" i="13" s="1"/>
  <c r="D34" i="13"/>
  <c r="D27" i="13"/>
  <c r="D35" i="13" l="1"/>
  <c r="O35" i="13"/>
  <c r="N35" i="13"/>
  <c r="H35" i="13"/>
  <c r="J24" i="13"/>
  <c r="T24" i="13" s="1"/>
  <c r="J25" i="13"/>
  <c r="T25" i="13" s="1"/>
  <c r="J26" i="13"/>
  <c r="J27" i="13"/>
  <c r="J28" i="13"/>
  <c r="J29" i="13"/>
  <c r="J30" i="13"/>
  <c r="J31" i="13"/>
  <c r="J32" i="13"/>
  <c r="J23" i="13"/>
  <c r="T32" i="13" l="1"/>
  <c r="U32" i="13"/>
  <c r="T31" i="13"/>
  <c r="U31" i="13"/>
  <c r="T30" i="13"/>
  <c r="U30" i="13"/>
  <c r="T29" i="13"/>
  <c r="U29" i="13"/>
  <c r="T28" i="13"/>
  <c r="U28" i="13"/>
  <c r="T27" i="13"/>
  <c r="U27" i="13"/>
  <c r="T26" i="13"/>
  <c r="U26" i="13"/>
  <c r="T23" i="13"/>
  <c r="J35" i="13"/>
  <c r="P24" i="13"/>
  <c r="U24" i="13" s="1"/>
  <c r="P25" i="13"/>
  <c r="U25" i="13" s="1"/>
  <c r="P23" i="13"/>
  <c r="U23" i="13" l="1"/>
  <c r="P35" i="13"/>
  <c r="U7" i="13"/>
  <c r="U8" i="13"/>
  <c r="U6" i="13"/>
  <c r="T7" i="13"/>
  <c r="T8" i="13"/>
  <c r="T6" i="13"/>
  <c r="Q18" i="13"/>
  <c r="P18" i="13"/>
  <c r="O18" i="13"/>
  <c r="N18" i="13"/>
  <c r="K18" i="13"/>
  <c r="J18" i="13"/>
  <c r="I18" i="13"/>
  <c r="H18" i="13"/>
  <c r="E18" i="13"/>
  <c r="D18" i="13"/>
  <c r="C18" i="13"/>
  <c r="B18" i="13"/>
  <c r="D53" i="10" l="1"/>
  <c r="F53" i="10"/>
  <c r="G53" i="10"/>
  <c r="I53" i="10"/>
  <c r="J53" i="10"/>
  <c r="C53" i="10"/>
  <c r="D44" i="10"/>
  <c r="F44" i="10"/>
  <c r="G44" i="10"/>
  <c r="I44" i="10"/>
  <c r="J44" i="10"/>
  <c r="C44" i="10"/>
  <c r="D43" i="10"/>
  <c r="F43" i="10"/>
  <c r="G43" i="10"/>
  <c r="I43" i="10"/>
  <c r="J43" i="10"/>
  <c r="C43" i="10"/>
  <c r="D48" i="10"/>
  <c r="F48" i="10"/>
  <c r="G48" i="10"/>
  <c r="I48" i="10"/>
  <c r="J48" i="10"/>
  <c r="C48" i="10"/>
  <c r="D47" i="10"/>
  <c r="F47" i="10"/>
  <c r="G47" i="10"/>
  <c r="I47" i="10"/>
  <c r="J47" i="10"/>
  <c r="C47" i="10"/>
  <c r="D46" i="10"/>
  <c r="F46" i="10"/>
  <c r="G46" i="10"/>
  <c r="I46" i="10"/>
  <c r="J46" i="10"/>
  <c r="C46" i="10"/>
  <c r="D45" i="10"/>
  <c r="F45" i="10"/>
  <c r="G45" i="10"/>
  <c r="I45" i="10"/>
  <c r="J45" i="10"/>
  <c r="C45" i="10"/>
  <c r="D52" i="10"/>
  <c r="F52" i="10"/>
  <c r="G52" i="10"/>
  <c r="I52" i="10"/>
  <c r="J52" i="10"/>
  <c r="C52" i="10"/>
  <c r="D51" i="10"/>
  <c r="F51" i="10"/>
  <c r="G51" i="10"/>
  <c r="I51" i="10"/>
  <c r="J51" i="10"/>
  <c r="C51" i="10"/>
  <c r="D38" i="10"/>
  <c r="F38" i="10"/>
  <c r="G38" i="10"/>
  <c r="I38" i="10"/>
  <c r="J38" i="10"/>
  <c r="C38" i="10"/>
  <c r="D37" i="10"/>
  <c r="F37" i="10"/>
  <c r="G37" i="10"/>
  <c r="I37" i="10"/>
  <c r="J37" i="10"/>
  <c r="C37" i="10"/>
  <c r="D36" i="10"/>
  <c r="F36" i="10"/>
  <c r="G36" i="10"/>
  <c r="I36" i="10"/>
  <c r="J36" i="10"/>
  <c r="C36" i="10"/>
  <c r="D50" i="10"/>
  <c r="F50" i="10"/>
  <c r="G50" i="10"/>
  <c r="I50" i="10"/>
  <c r="J50" i="10"/>
  <c r="C50" i="10"/>
  <c r="D49" i="10"/>
  <c r="F49" i="10"/>
  <c r="G49" i="10"/>
  <c r="I49" i="10"/>
  <c r="J49" i="10"/>
  <c r="C49" i="10"/>
  <c r="D32" i="10"/>
  <c r="F32" i="10"/>
  <c r="G32" i="10"/>
  <c r="I32" i="10"/>
  <c r="J32" i="10"/>
  <c r="C32" i="10"/>
  <c r="D31" i="10"/>
  <c r="F31" i="10"/>
  <c r="G31" i="10"/>
  <c r="I31" i="10"/>
  <c r="J31" i="10"/>
  <c r="C31" i="10"/>
  <c r="D35" i="10"/>
  <c r="F35" i="10"/>
  <c r="G35" i="10"/>
  <c r="I35" i="10"/>
  <c r="J35" i="10"/>
  <c r="C35" i="10"/>
  <c r="D34" i="10"/>
  <c r="F34" i="10"/>
  <c r="G34" i="10"/>
  <c r="I34" i="10"/>
  <c r="J34" i="10"/>
  <c r="C34" i="10"/>
  <c r="D33" i="10"/>
  <c r="F33" i="10"/>
  <c r="G33" i="10"/>
  <c r="I33" i="10"/>
  <c r="J33" i="10"/>
  <c r="C33" i="10"/>
  <c r="D42" i="10"/>
  <c r="F42" i="10"/>
  <c r="G42" i="10"/>
  <c r="I42" i="10"/>
  <c r="J42" i="10"/>
  <c r="C42" i="10"/>
  <c r="D41" i="10"/>
  <c r="F41" i="10"/>
  <c r="G41" i="10"/>
  <c r="I41" i="10"/>
  <c r="J41" i="10"/>
  <c r="C41" i="10"/>
  <c r="D40" i="10"/>
  <c r="F40" i="10"/>
  <c r="G40" i="10"/>
  <c r="I40" i="10"/>
  <c r="J40" i="10"/>
  <c r="C40" i="10"/>
  <c r="D39" i="10"/>
  <c r="F39" i="10"/>
  <c r="G39" i="10"/>
  <c r="I39" i="10"/>
  <c r="J39" i="10"/>
  <c r="C39" i="10"/>
  <c r="D28" i="10"/>
  <c r="F28" i="10"/>
  <c r="G28" i="10"/>
  <c r="I28" i="10"/>
  <c r="J28" i="10"/>
  <c r="C28" i="10"/>
  <c r="D27" i="10"/>
  <c r="F27" i="10"/>
  <c r="G27" i="10"/>
  <c r="I27" i="10"/>
  <c r="J27" i="10"/>
  <c r="C27" i="10"/>
  <c r="D26" i="10"/>
  <c r="F26" i="10"/>
  <c r="G26" i="10"/>
  <c r="I26" i="10"/>
  <c r="J26" i="10"/>
  <c r="C26" i="10"/>
  <c r="D25" i="10"/>
  <c r="F25" i="10"/>
  <c r="G25" i="10"/>
  <c r="I25" i="10"/>
  <c r="J25" i="10"/>
  <c r="C25" i="10"/>
  <c r="D30" i="10"/>
  <c r="F30" i="10"/>
  <c r="G30" i="10"/>
  <c r="I30" i="10"/>
  <c r="J30" i="10"/>
  <c r="C30" i="10"/>
  <c r="D29" i="10"/>
  <c r="F29" i="10"/>
  <c r="G29" i="10"/>
  <c r="I29" i="10"/>
  <c r="J29" i="10"/>
  <c r="C29" i="10"/>
  <c r="D21" i="10"/>
  <c r="F21" i="10"/>
  <c r="G21" i="10"/>
  <c r="I21" i="10"/>
  <c r="J21" i="10"/>
  <c r="C21" i="10"/>
  <c r="D15" i="10"/>
  <c r="F15" i="10"/>
  <c r="G15" i="10"/>
  <c r="I15" i="10"/>
  <c r="J15" i="10"/>
  <c r="C15" i="10"/>
  <c r="D14" i="10"/>
  <c r="F14" i="10"/>
  <c r="G14" i="10"/>
  <c r="I14" i="10"/>
  <c r="J14" i="10"/>
  <c r="C14" i="10"/>
  <c r="D17" i="10"/>
  <c r="F17" i="10"/>
  <c r="G17" i="10"/>
  <c r="I17" i="10"/>
  <c r="J17" i="10"/>
  <c r="C17" i="10"/>
  <c r="D20" i="10"/>
  <c r="F20" i="10"/>
  <c r="G20" i="10"/>
  <c r="I20" i="10"/>
  <c r="J20" i="10"/>
  <c r="C20" i="10"/>
  <c r="D19" i="10"/>
  <c r="F19" i="10"/>
  <c r="G19" i="10"/>
  <c r="I19" i="10"/>
  <c r="J19" i="10"/>
  <c r="C19" i="10"/>
  <c r="D18" i="10"/>
  <c r="F18" i="10"/>
  <c r="G18" i="10"/>
  <c r="I18" i="10"/>
  <c r="J18" i="10"/>
  <c r="C18" i="10"/>
  <c r="D16" i="10"/>
  <c r="F16" i="10"/>
  <c r="G16" i="10"/>
  <c r="I16" i="10"/>
  <c r="J16" i="10"/>
  <c r="C16" i="10"/>
  <c r="D11" i="10"/>
  <c r="F11" i="10"/>
  <c r="G11" i="10"/>
  <c r="I11" i="10"/>
  <c r="J11" i="10"/>
  <c r="C11" i="10"/>
  <c r="D7" i="10"/>
  <c r="F7" i="10"/>
  <c r="G7" i="10"/>
  <c r="I7" i="10"/>
  <c r="J7" i="10"/>
  <c r="C7" i="10"/>
  <c r="D6" i="10"/>
  <c r="F6" i="10"/>
  <c r="G6" i="10"/>
  <c r="I6" i="10"/>
  <c r="J6" i="10"/>
  <c r="C6" i="10"/>
  <c r="D8" i="10"/>
  <c r="F8" i="10"/>
  <c r="G8" i="10"/>
  <c r="I8" i="10"/>
  <c r="J8" i="10"/>
  <c r="C8" i="10"/>
  <c r="D10" i="10"/>
  <c r="F10" i="10"/>
  <c r="G10" i="10"/>
  <c r="I10" i="10"/>
  <c r="J10" i="10"/>
  <c r="C10" i="10"/>
  <c r="D9" i="10"/>
  <c r="F9" i="10"/>
  <c r="G9" i="10"/>
  <c r="I9" i="10"/>
  <c r="J9" i="10"/>
  <c r="C9" i="10"/>
  <c r="D13" i="10"/>
  <c r="F13" i="10"/>
  <c r="G13" i="10"/>
  <c r="I13" i="10"/>
  <c r="J13" i="10"/>
  <c r="C13" i="10"/>
  <c r="D12" i="10"/>
  <c r="F12" i="10"/>
  <c r="G12" i="10"/>
  <c r="I12" i="10"/>
  <c r="J12" i="10"/>
  <c r="C12" i="10"/>
  <c r="D54" i="9"/>
  <c r="F54" i="9"/>
  <c r="G54" i="9"/>
  <c r="I54" i="9"/>
  <c r="J54" i="9"/>
  <c r="P53" i="9"/>
  <c r="M53" i="9"/>
  <c r="N53" i="9" s="1"/>
  <c r="K53" i="9"/>
  <c r="H53" i="9"/>
  <c r="E53" i="9"/>
  <c r="E46" i="10" s="1"/>
  <c r="P52" i="9"/>
  <c r="M52" i="9"/>
  <c r="N52" i="9" s="1"/>
  <c r="K52" i="9"/>
  <c r="K50" i="10" s="1"/>
  <c r="H52" i="9"/>
  <c r="E52" i="9"/>
  <c r="E50" i="10" s="1"/>
  <c r="P51" i="9"/>
  <c r="M51" i="9"/>
  <c r="N51" i="9" s="1"/>
  <c r="K51" i="9"/>
  <c r="H51" i="9"/>
  <c r="E51" i="9"/>
  <c r="E38" i="10" s="1"/>
  <c r="P50" i="9"/>
  <c r="M50" i="9"/>
  <c r="N50" i="9" s="1"/>
  <c r="K50" i="9"/>
  <c r="K47" i="10" s="1"/>
  <c r="H50" i="9"/>
  <c r="E50" i="9"/>
  <c r="P49" i="9"/>
  <c r="M49" i="9"/>
  <c r="N49" i="9" s="1"/>
  <c r="K49" i="9"/>
  <c r="K48" i="10" s="1"/>
  <c r="H49" i="9"/>
  <c r="E49" i="9"/>
  <c r="P48" i="9"/>
  <c r="M48" i="9"/>
  <c r="N48" i="9" s="1"/>
  <c r="K48" i="9"/>
  <c r="H48" i="9"/>
  <c r="E48" i="9"/>
  <c r="P47" i="9"/>
  <c r="M47" i="9"/>
  <c r="N47" i="9" s="1"/>
  <c r="K47" i="9"/>
  <c r="H47" i="9"/>
  <c r="E47" i="9"/>
  <c r="P46" i="9"/>
  <c r="M46" i="9"/>
  <c r="N46" i="9" s="1"/>
  <c r="K46" i="9"/>
  <c r="K53" i="10" s="1"/>
  <c r="H46" i="9"/>
  <c r="E46" i="9"/>
  <c r="P45" i="9"/>
  <c r="M45" i="9"/>
  <c r="N45" i="9" s="1"/>
  <c r="K45" i="9"/>
  <c r="K31" i="10" s="1"/>
  <c r="H45" i="9"/>
  <c r="E45" i="9"/>
  <c r="P44" i="9"/>
  <c r="M44" i="9"/>
  <c r="N44" i="9" s="1"/>
  <c r="K44" i="9"/>
  <c r="H44" i="9"/>
  <c r="E44" i="9"/>
  <c r="E43" i="10" s="1"/>
  <c r="P43" i="9"/>
  <c r="M43" i="9"/>
  <c r="N43" i="9" s="1"/>
  <c r="K43" i="9"/>
  <c r="H43" i="9"/>
  <c r="E43" i="9"/>
  <c r="E34" i="10" s="1"/>
  <c r="P42" i="9"/>
  <c r="M42" i="9"/>
  <c r="N42" i="9" s="1"/>
  <c r="K42" i="9"/>
  <c r="H42" i="9"/>
  <c r="E42" i="9"/>
  <c r="P41" i="9"/>
  <c r="M41" i="9"/>
  <c r="N41" i="9" s="1"/>
  <c r="K41" i="9"/>
  <c r="H41" i="9"/>
  <c r="E41" i="9"/>
  <c r="E49" i="10" s="1"/>
  <c r="P40" i="9"/>
  <c r="M40" i="9"/>
  <c r="N40" i="9" s="1"/>
  <c r="K40" i="9"/>
  <c r="H40" i="9"/>
  <c r="E40" i="9"/>
  <c r="P39" i="9"/>
  <c r="M39" i="9"/>
  <c r="N39" i="9" s="1"/>
  <c r="K39" i="9"/>
  <c r="K37" i="10" s="1"/>
  <c r="H39" i="9"/>
  <c r="E39" i="9"/>
  <c r="E37" i="10" s="1"/>
  <c r="P38" i="9"/>
  <c r="M38" i="9"/>
  <c r="N38" i="9" s="1"/>
  <c r="K38" i="9"/>
  <c r="H38" i="9"/>
  <c r="E38" i="9"/>
  <c r="P37" i="9"/>
  <c r="M37" i="9"/>
  <c r="N37" i="9" s="1"/>
  <c r="K37" i="9"/>
  <c r="K35" i="10" s="1"/>
  <c r="H37" i="9"/>
  <c r="E37" i="9"/>
  <c r="P36" i="9"/>
  <c r="M36" i="9"/>
  <c r="N36" i="9" s="1"/>
  <c r="K36" i="9"/>
  <c r="H36" i="9"/>
  <c r="E36" i="9"/>
  <c r="P35" i="9"/>
  <c r="M35" i="9"/>
  <c r="N35" i="9" s="1"/>
  <c r="K35" i="9"/>
  <c r="K41" i="10" s="1"/>
  <c r="H35" i="9"/>
  <c r="E35" i="9"/>
  <c r="P34" i="9"/>
  <c r="M34" i="9"/>
  <c r="N34" i="9" s="1"/>
  <c r="K34" i="9"/>
  <c r="K39" i="10" s="1"/>
  <c r="H34" i="9"/>
  <c r="E34" i="9"/>
  <c r="E39" i="10" s="1"/>
  <c r="P33" i="9"/>
  <c r="M33" i="9"/>
  <c r="N33" i="9" s="1"/>
  <c r="K33" i="9"/>
  <c r="K27" i="10" s="1"/>
  <c r="H33" i="9"/>
  <c r="E33" i="9"/>
  <c r="P32" i="9"/>
  <c r="M32" i="9"/>
  <c r="N32" i="9" s="1"/>
  <c r="K32" i="9"/>
  <c r="H32" i="9"/>
  <c r="E32" i="9"/>
  <c r="E33" i="10" s="1"/>
  <c r="P31" i="9"/>
  <c r="M31" i="9"/>
  <c r="N31" i="9" s="1"/>
  <c r="K31" i="9"/>
  <c r="K29" i="10" s="1"/>
  <c r="H31" i="9"/>
  <c r="E31" i="9"/>
  <c r="P30" i="9"/>
  <c r="M30" i="9"/>
  <c r="N30" i="9" s="1"/>
  <c r="K30" i="9"/>
  <c r="K32" i="10" s="1"/>
  <c r="H30" i="9"/>
  <c r="E30" i="9"/>
  <c r="E32" i="10" s="1"/>
  <c r="P29" i="9"/>
  <c r="M29" i="9"/>
  <c r="N29" i="9" s="1"/>
  <c r="K29" i="9"/>
  <c r="K28" i="10" s="1"/>
  <c r="H29" i="9"/>
  <c r="E29" i="9"/>
  <c r="P28" i="9"/>
  <c r="M28" i="9"/>
  <c r="N28" i="9" s="1"/>
  <c r="K28" i="9"/>
  <c r="H28" i="9"/>
  <c r="E28" i="9"/>
  <c r="E45" i="10" s="1"/>
  <c r="P27" i="9"/>
  <c r="M27" i="9"/>
  <c r="N27" i="9" s="1"/>
  <c r="K27" i="9"/>
  <c r="K36" i="10" s="1"/>
  <c r="H27" i="9"/>
  <c r="E27" i="9"/>
  <c r="P26" i="9"/>
  <c r="M26" i="9"/>
  <c r="N26" i="9" s="1"/>
  <c r="K26" i="9"/>
  <c r="K25" i="10" s="1"/>
  <c r="H26" i="9"/>
  <c r="E26" i="9"/>
  <c r="E25" i="10" s="1"/>
  <c r="P25" i="9"/>
  <c r="M25" i="9"/>
  <c r="N25" i="9" s="1"/>
  <c r="K25" i="9"/>
  <c r="H25" i="9"/>
  <c r="E25" i="9"/>
  <c r="D22" i="9"/>
  <c r="F22" i="9"/>
  <c r="G22" i="9"/>
  <c r="I22" i="9"/>
  <c r="J22" i="9"/>
  <c r="P21" i="9"/>
  <c r="M21" i="9"/>
  <c r="N21" i="9" s="1"/>
  <c r="K21" i="9"/>
  <c r="H21" i="9"/>
  <c r="E21" i="9"/>
  <c r="E19" i="10" s="1"/>
  <c r="P20" i="9"/>
  <c r="M20" i="9"/>
  <c r="N20" i="9" s="1"/>
  <c r="K20" i="9"/>
  <c r="H20" i="9"/>
  <c r="E20" i="9"/>
  <c r="E21" i="10" s="1"/>
  <c r="P19" i="9"/>
  <c r="M19" i="9"/>
  <c r="N19" i="9" s="1"/>
  <c r="K19" i="9"/>
  <c r="H19" i="9"/>
  <c r="E19" i="9"/>
  <c r="E15" i="10" s="1"/>
  <c r="P18" i="9"/>
  <c r="M18" i="9"/>
  <c r="N18" i="9" s="1"/>
  <c r="K18" i="9"/>
  <c r="Q17" i="15" s="1"/>
  <c r="H18" i="9"/>
  <c r="E18" i="9"/>
  <c r="E20" i="10" s="1"/>
  <c r="P17" i="9"/>
  <c r="M17" i="9"/>
  <c r="N17" i="9" s="1"/>
  <c r="K17" i="9"/>
  <c r="H17" i="9"/>
  <c r="E17" i="9"/>
  <c r="P16" i="9"/>
  <c r="M16" i="9"/>
  <c r="N16" i="9" s="1"/>
  <c r="K16" i="9"/>
  <c r="H16" i="9"/>
  <c r="E16" i="9"/>
  <c r="E17" i="10" s="1"/>
  <c r="P15" i="9"/>
  <c r="M15" i="9"/>
  <c r="N15" i="9" s="1"/>
  <c r="K15" i="9"/>
  <c r="H15" i="9"/>
  <c r="E15" i="9"/>
  <c r="E16" i="10" s="1"/>
  <c r="P14" i="9"/>
  <c r="M14" i="9"/>
  <c r="N14" i="9" s="1"/>
  <c r="K14" i="9"/>
  <c r="H14" i="9"/>
  <c r="E14" i="9"/>
  <c r="E12" i="10" s="1"/>
  <c r="P13" i="9"/>
  <c r="M13" i="9"/>
  <c r="N13" i="9" s="1"/>
  <c r="K13" i="9"/>
  <c r="H13" i="9"/>
  <c r="E13" i="9"/>
  <c r="P12" i="9"/>
  <c r="M12" i="9"/>
  <c r="N12" i="9" s="1"/>
  <c r="K12" i="9"/>
  <c r="H12" i="9"/>
  <c r="E12" i="9"/>
  <c r="P11" i="9"/>
  <c r="M11" i="9"/>
  <c r="N11" i="9" s="1"/>
  <c r="K11" i="9"/>
  <c r="H11" i="9"/>
  <c r="E11" i="9"/>
  <c r="E9" i="10" s="1"/>
  <c r="P10" i="9"/>
  <c r="M10" i="9"/>
  <c r="N10" i="9" s="1"/>
  <c r="K10" i="9"/>
  <c r="Q12" i="15" s="1"/>
  <c r="H10" i="9"/>
  <c r="E10" i="9"/>
  <c r="P8" i="9"/>
  <c r="M8" i="9"/>
  <c r="N8" i="9" s="1"/>
  <c r="K8" i="9"/>
  <c r="H8" i="9"/>
  <c r="E8" i="9"/>
  <c r="E7" i="10" s="1"/>
  <c r="P9" i="9"/>
  <c r="M9" i="9"/>
  <c r="N9" i="9" s="1"/>
  <c r="K9" i="9"/>
  <c r="H9" i="9"/>
  <c r="E9" i="9"/>
  <c r="E10" i="10" s="1"/>
  <c r="P7" i="9"/>
  <c r="M7" i="9"/>
  <c r="N7" i="9" s="1"/>
  <c r="K7" i="9"/>
  <c r="H7" i="9"/>
  <c r="E7" i="9"/>
  <c r="E8" i="10" s="1"/>
  <c r="P6" i="9"/>
  <c r="M6" i="9"/>
  <c r="N6" i="9" s="1"/>
  <c r="K6" i="9"/>
  <c r="H6" i="9"/>
  <c r="E6" i="9"/>
  <c r="C22" i="9"/>
  <c r="B23" i="5" s="1"/>
  <c r="Q10" i="9" l="1"/>
  <c r="H31" i="10"/>
  <c r="H28" i="10"/>
  <c r="Q18" i="9"/>
  <c r="H14" i="10"/>
  <c r="C22" i="10"/>
  <c r="Q9" i="9"/>
  <c r="Q16" i="9"/>
  <c r="H13" i="10"/>
  <c r="J22" i="10"/>
  <c r="H18" i="10"/>
  <c r="F54" i="10"/>
  <c r="C54" i="10"/>
  <c r="G22" i="10"/>
  <c r="G54" i="10"/>
  <c r="Q6" i="9"/>
  <c r="Q14" i="9"/>
  <c r="I22" i="10"/>
  <c r="D22" i="10"/>
  <c r="J54" i="10"/>
  <c r="F22" i="10"/>
  <c r="Q12" i="9"/>
  <c r="Q20" i="9"/>
  <c r="H6" i="10"/>
  <c r="K17" i="10"/>
  <c r="I54" i="10"/>
  <c r="D54" i="10"/>
  <c r="H36" i="10"/>
  <c r="H48" i="10"/>
  <c r="Q22" i="15"/>
  <c r="L10" i="9"/>
  <c r="L12" i="9"/>
  <c r="L8" i="15"/>
  <c r="K22" i="9"/>
  <c r="L37" i="9"/>
  <c r="L50" i="15"/>
  <c r="Q43" i="9"/>
  <c r="Q47" i="9"/>
  <c r="L49" i="9"/>
  <c r="K16" i="10"/>
  <c r="H30" i="10"/>
  <c r="H42" i="10"/>
  <c r="H52" i="10"/>
  <c r="L26" i="9"/>
  <c r="L25" i="15"/>
  <c r="Q28" i="9"/>
  <c r="L30" i="9"/>
  <c r="Q32" i="9"/>
  <c r="L34" i="9"/>
  <c r="Q36" i="9"/>
  <c r="L38" i="9"/>
  <c r="Q40" i="9"/>
  <c r="L42" i="9"/>
  <c r="Q44" i="9"/>
  <c r="L46" i="9"/>
  <c r="L55" i="15"/>
  <c r="Q48" i="9"/>
  <c r="L50" i="9"/>
  <c r="Q52" i="9"/>
  <c r="E54" i="9"/>
  <c r="K13" i="10"/>
  <c r="H9" i="10"/>
  <c r="K6" i="10"/>
  <c r="H7" i="10"/>
  <c r="E11" i="10"/>
  <c r="K18" i="10"/>
  <c r="H19" i="10"/>
  <c r="K14" i="10"/>
  <c r="H15" i="10"/>
  <c r="K30" i="10"/>
  <c r="H25" i="10"/>
  <c r="E26" i="10"/>
  <c r="H39" i="10"/>
  <c r="E40" i="10"/>
  <c r="K42" i="10"/>
  <c r="H33" i="10"/>
  <c r="H32" i="10"/>
  <c r="H37" i="10"/>
  <c r="K52" i="10"/>
  <c r="H45" i="10"/>
  <c r="H43" i="10"/>
  <c r="E44" i="10"/>
  <c r="L6" i="9"/>
  <c r="L20" i="9"/>
  <c r="L21" i="15"/>
  <c r="Q27" i="9"/>
  <c r="L33" i="9"/>
  <c r="Q35" i="9"/>
  <c r="L45" i="9"/>
  <c r="L53" i="9"/>
  <c r="K8" i="10"/>
  <c r="L19" i="9"/>
  <c r="L21" i="9"/>
  <c r="E22" i="9"/>
  <c r="Q25" i="9"/>
  <c r="H56" i="15"/>
  <c r="L27" i="9"/>
  <c r="Q29" i="9"/>
  <c r="L31" i="9"/>
  <c r="Q33" i="9"/>
  <c r="L35" i="9"/>
  <c r="Q37" i="9"/>
  <c r="L39" i="9"/>
  <c r="Q41" i="9"/>
  <c r="L43" i="9"/>
  <c r="Q45" i="9"/>
  <c r="L47" i="9"/>
  <c r="Q49" i="9"/>
  <c r="L51" i="9"/>
  <c r="Q53" i="9"/>
  <c r="H12" i="10"/>
  <c r="K9" i="10"/>
  <c r="H10" i="10"/>
  <c r="K7" i="10"/>
  <c r="H11" i="10"/>
  <c r="K19" i="10"/>
  <c r="H20" i="10"/>
  <c r="K15" i="10"/>
  <c r="H21" i="10"/>
  <c r="E29" i="10"/>
  <c r="H26" i="10"/>
  <c r="E27" i="10"/>
  <c r="H40" i="10"/>
  <c r="E41" i="10"/>
  <c r="K33" i="10"/>
  <c r="H34" i="10"/>
  <c r="E35" i="10"/>
  <c r="H49" i="10"/>
  <c r="H38" i="10"/>
  <c r="E51" i="10"/>
  <c r="K45" i="10"/>
  <c r="H46" i="10"/>
  <c r="E47" i="10"/>
  <c r="K43" i="10"/>
  <c r="H44" i="10"/>
  <c r="E53" i="10"/>
  <c r="L9" i="9"/>
  <c r="L14" i="9"/>
  <c r="L16" i="9"/>
  <c r="L20" i="15"/>
  <c r="L18" i="9"/>
  <c r="L29" i="9"/>
  <c r="Q31" i="9"/>
  <c r="Q39" i="9"/>
  <c r="L41" i="9"/>
  <c r="Q51" i="9"/>
  <c r="K51" i="10"/>
  <c r="L7" i="9"/>
  <c r="L11" i="15"/>
  <c r="L8" i="9"/>
  <c r="L11" i="9"/>
  <c r="L13" i="9"/>
  <c r="L15" i="9"/>
  <c r="L16" i="15"/>
  <c r="L17" i="9"/>
  <c r="Q7" i="9"/>
  <c r="Q8" i="9"/>
  <c r="Q11" i="9"/>
  <c r="Q13" i="9"/>
  <c r="Q15" i="9"/>
  <c r="Q17" i="9"/>
  <c r="Q19" i="9"/>
  <c r="Q21" i="9"/>
  <c r="H22" i="9"/>
  <c r="Q26" i="9"/>
  <c r="L28" i="9"/>
  <c r="Q30" i="9"/>
  <c r="L32" i="9"/>
  <c r="Q34" i="9"/>
  <c r="L36" i="9"/>
  <c r="Q38" i="9"/>
  <c r="L40" i="9"/>
  <c r="Q42" i="9"/>
  <c r="L44" i="9"/>
  <c r="Q46" i="9"/>
  <c r="L48" i="9"/>
  <c r="Q50" i="9"/>
  <c r="L52" i="9"/>
  <c r="K12" i="10"/>
  <c r="E13" i="10"/>
  <c r="K10" i="10"/>
  <c r="H8" i="10"/>
  <c r="E6" i="10"/>
  <c r="K11" i="10"/>
  <c r="H16" i="10"/>
  <c r="E18" i="10"/>
  <c r="K20" i="10"/>
  <c r="H17" i="10"/>
  <c r="E14" i="10"/>
  <c r="K21" i="10"/>
  <c r="H29" i="10"/>
  <c r="E30" i="10"/>
  <c r="K26" i="10"/>
  <c r="H27" i="10"/>
  <c r="E28" i="10"/>
  <c r="K40" i="10"/>
  <c r="H41" i="10"/>
  <c r="E42" i="10"/>
  <c r="K34" i="10"/>
  <c r="H35" i="10"/>
  <c r="E31" i="10"/>
  <c r="K49" i="10"/>
  <c r="H50" i="10"/>
  <c r="E36" i="10"/>
  <c r="K38" i="10"/>
  <c r="H51" i="10"/>
  <c r="E52" i="10"/>
  <c r="K46" i="10"/>
  <c r="H47" i="10"/>
  <c r="E48" i="10"/>
  <c r="K44" i="10"/>
  <c r="H53" i="10"/>
  <c r="K54" i="9"/>
  <c r="H54" i="9"/>
  <c r="L25" i="9"/>
  <c r="C54" i="9"/>
  <c r="G23" i="5" s="1"/>
  <c r="L23" i="5" s="1"/>
  <c r="H59" i="15" l="1"/>
  <c r="L42" i="15"/>
  <c r="L44" i="15"/>
  <c r="K54" i="10"/>
  <c r="L40" i="15"/>
  <c r="E54" i="10"/>
  <c r="H22" i="10"/>
  <c r="E22" i="10"/>
  <c r="L51" i="15"/>
  <c r="L53" i="15"/>
  <c r="L48" i="15"/>
  <c r="H54" i="10"/>
  <c r="K22" i="10"/>
  <c r="L27" i="15"/>
  <c r="L6" i="15"/>
  <c r="L33" i="15"/>
  <c r="L29" i="15"/>
  <c r="E56" i="15"/>
  <c r="K56" i="15"/>
  <c r="Q56" i="15" s="1"/>
  <c r="L9" i="15"/>
  <c r="O53" i="10"/>
  <c r="Q53" i="10" s="1"/>
  <c r="M53" i="10"/>
  <c r="N53" i="10" s="1"/>
  <c r="O44" i="10"/>
  <c r="P44" i="10" s="1"/>
  <c r="M44" i="10"/>
  <c r="N44" i="10" s="1"/>
  <c r="O43" i="10"/>
  <c r="M43" i="10"/>
  <c r="N43" i="10" s="1"/>
  <c r="O48" i="10"/>
  <c r="P48" i="10" s="1"/>
  <c r="M48" i="10"/>
  <c r="N48" i="10" s="1"/>
  <c r="O47" i="10"/>
  <c r="P47" i="10" s="1"/>
  <c r="M47" i="10"/>
  <c r="N47" i="10" s="1"/>
  <c r="O46" i="10"/>
  <c r="P46" i="10" s="1"/>
  <c r="O45" i="10"/>
  <c r="M45" i="10"/>
  <c r="N45" i="10" s="1"/>
  <c r="O52" i="10"/>
  <c r="P52" i="10" s="1"/>
  <c r="M52" i="10"/>
  <c r="N52" i="10" s="1"/>
  <c r="O51" i="10"/>
  <c r="M51" i="10"/>
  <c r="N51" i="10" s="1"/>
  <c r="O38" i="10"/>
  <c r="P38" i="10" s="1"/>
  <c r="M38" i="10"/>
  <c r="N38" i="10" s="1"/>
  <c r="O37" i="10"/>
  <c r="P37" i="10" s="1"/>
  <c r="M37" i="10"/>
  <c r="N37" i="10" s="1"/>
  <c r="O36" i="10"/>
  <c r="P36" i="10" s="1"/>
  <c r="M36" i="10"/>
  <c r="N36" i="10" s="1"/>
  <c r="O50" i="10"/>
  <c r="P50" i="10" s="1"/>
  <c r="M50" i="10"/>
  <c r="N50" i="10" s="1"/>
  <c r="O49" i="10"/>
  <c r="M49" i="10"/>
  <c r="N49" i="10" s="1"/>
  <c r="O32" i="10"/>
  <c r="P32" i="10" s="1"/>
  <c r="M32" i="10"/>
  <c r="N32" i="10" s="1"/>
  <c r="O31" i="10"/>
  <c r="O35" i="10"/>
  <c r="Q35" i="10" s="1"/>
  <c r="M35" i="10"/>
  <c r="N35" i="10" s="1"/>
  <c r="O34" i="10"/>
  <c r="P34" i="10" s="1"/>
  <c r="M34" i="10"/>
  <c r="N34" i="10" s="1"/>
  <c r="O33" i="10"/>
  <c r="O42" i="10"/>
  <c r="P42" i="10" s="1"/>
  <c r="M42" i="10"/>
  <c r="N42" i="10" s="1"/>
  <c r="O41" i="10"/>
  <c r="P41" i="10" s="1"/>
  <c r="M41" i="10"/>
  <c r="N41" i="10" s="1"/>
  <c r="O40" i="10"/>
  <c r="P40" i="10" s="1"/>
  <c r="O39" i="10"/>
  <c r="P39" i="10" s="1"/>
  <c r="M39" i="10"/>
  <c r="N39" i="10" s="1"/>
  <c r="O28" i="10"/>
  <c r="P28" i="10" s="1"/>
  <c r="M28" i="10"/>
  <c r="N28" i="10" s="1"/>
  <c r="O27" i="10"/>
  <c r="P27" i="10" s="1"/>
  <c r="O26" i="10"/>
  <c r="P26" i="10" s="1"/>
  <c r="M26" i="10"/>
  <c r="N26" i="10" s="1"/>
  <c r="O25" i="10"/>
  <c r="M25" i="10"/>
  <c r="N25" i="10" s="1"/>
  <c r="O30" i="10"/>
  <c r="P30" i="10" s="1"/>
  <c r="M30" i="10"/>
  <c r="N30" i="10" s="1"/>
  <c r="O29" i="10"/>
  <c r="M29" i="10"/>
  <c r="N29" i="10" s="1"/>
  <c r="G57" i="10"/>
  <c r="O21" i="10"/>
  <c r="Q21" i="10" s="1"/>
  <c r="O15" i="10"/>
  <c r="P15" i="10" s="1"/>
  <c r="M15" i="10"/>
  <c r="N15" i="10" s="1"/>
  <c r="O14" i="10"/>
  <c r="M14" i="10"/>
  <c r="N14" i="10" s="1"/>
  <c r="O17" i="10"/>
  <c r="Q17" i="10" s="1"/>
  <c r="O20" i="10"/>
  <c r="P20" i="10" s="1"/>
  <c r="O19" i="10"/>
  <c r="P19" i="10" s="1"/>
  <c r="M19" i="10"/>
  <c r="N19" i="10" s="1"/>
  <c r="O18" i="10"/>
  <c r="P18" i="10" s="1"/>
  <c r="M18" i="10"/>
  <c r="N18" i="10" s="1"/>
  <c r="L18" i="10"/>
  <c r="O16" i="10"/>
  <c r="Q16" i="10" s="1"/>
  <c r="O11" i="10"/>
  <c r="Q11" i="10" s="1"/>
  <c r="M11" i="10"/>
  <c r="N11" i="10" s="1"/>
  <c r="O7" i="10"/>
  <c r="P7" i="10" s="1"/>
  <c r="M7" i="10"/>
  <c r="N7" i="10" s="1"/>
  <c r="O6" i="10"/>
  <c r="M6" i="10"/>
  <c r="N6" i="10" s="1"/>
  <c r="O8" i="10"/>
  <c r="Q8" i="10" s="1"/>
  <c r="M8" i="10"/>
  <c r="N8" i="10" s="1"/>
  <c r="O10" i="10"/>
  <c r="P10" i="10" s="1"/>
  <c r="M10" i="10"/>
  <c r="N10" i="10" s="1"/>
  <c r="O9" i="10"/>
  <c r="O13" i="10"/>
  <c r="P13" i="10" s="1"/>
  <c r="O12" i="10"/>
  <c r="P12" i="10" s="1"/>
  <c r="O54" i="9"/>
  <c r="M54" i="9"/>
  <c r="N54" i="9" s="1"/>
  <c r="O22" i="9"/>
  <c r="C23" i="5" s="1"/>
  <c r="M22" i="9"/>
  <c r="N22" i="9" s="1"/>
  <c r="O22" i="10" l="1"/>
  <c r="O54" i="10"/>
  <c r="K59" i="15"/>
  <c r="Q59" i="15" s="1"/>
  <c r="E59" i="15"/>
  <c r="E23" i="15"/>
  <c r="L22" i="15"/>
  <c r="E57" i="15"/>
  <c r="L56" i="15"/>
  <c r="C71" i="9"/>
  <c r="I23" i="5"/>
  <c r="D23" i="5"/>
  <c r="Q43" i="10"/>
  <c r="Q33" i="10"/>
  <c r="Q25" i="10"/>
  <c r="Q6" i="10"/>
  <c r="Q14" i="10"/>
  <c r="Q9" i="10"/>
  <c r="Q31" i="10"/>
  <c r="Q29" i="10"/>
  <c r="Q51" i="10"/>
  <c r="Q49" i="10"/>
  <c r="P6" i="10"/>
  <c r="P16" i="10"/>
  <c r="P35" i="10"/>
  <c r="P53" i="10"/>
  <c r="P9" i="10"/>
  <c r="P17" i="10"/>
  <c r="Q39" i="10"/>
  <c r="Q22" i="10"/>
  <c r="Q12" i="10"/>
  <c r="P8" i="10"/>
  <c r="Q27" i="10"/>
  <c r="Q45" i="10"/>
  <c r="P11" i="10"/>
  <c r="Q18" i="10"/>
  <c r="P14" i="10"/>
  <c r="P25" i="10"/>
  <c r="P51" i="10"/>
  <c r="P43" i="10"/>
  <c r="P49" i="10"/>
  <c r="Q36" i="10"/>
  <c r="C70" i="9"/>
  <c r="Q22" i="9"/>
  <c r="E23" i="5" s="1"/>
  <c r="F57" i="9"/>
  <c r="C7" i="5" s="1"/>
  <c r="P54" i="9"/>
  <c r="Q54" i="9"/>
  <c r="J23" i="5" s="1"/>
  <c r="J57" i="10"/>
  <c r="M17" i="10"/>
  <c r="N17" i="10" s="1"/>
  <c r="M27" i="10"/>
  <c r="N27" i="10" s="1"/>
  <c r="L36" i="10"/>
  <c r="P45" i="10"/>
  <c r="L14" i="10"/>
  <c r="M21" i="10"/>
  <c r="N21" i="10" s="1"/>
  <c r="M33" i="10"/>
  <c r="N33" i="10" s="1"/>
  <c r="M31" i="10"/>
  <c r="N31" i="10" s="1"/>
  <c r="M40" i="10"/>
  <c r="N40" i="10" s="1"/>
  <c r="P21" i="10"/>
  <c r="P31" i="10"/>
  <c r="M13" i="10"/>
  <c r="N13" i="10" s="1"/>
  <c r="L54" i="9"/>
  <c r="J7" i="5" s="1"/>
  <c r="M16" i="10"/>
  <c r="N16" i="10" s="1"/>
  <c r="M20" i="10"/>
  <c r="N20" i="10" s="1"/>
  <c r="L12" i="10"/>
  <c r="M9" i="10"/>
  <c r="N9" i="10" s="1"/>
  <c r="M46" i="10"/>
  <c r="N46" i="10" s="1"/>
  <c r="C57" i="9"/>
  <c r="B7" i="5" s="1"/>
  <c r="D57" i="9"/>
  <c r="G57" i="9"/>
  <c r="D7" i="5" s="1"/>
  <c r="D55" i="9"/>
  <c r="J57" i="9"/>
  <c r="G7" i="5" s="1"/>
  <c r="P22" i="9"/>
  <c r="D23" i="9"/>
  <c r="D57" i="10"/>
  <c r="D55" i="10"/>
  <c r="M12" i="10"/>
  <c r="N12" i="10" s="1"/>
  <c r="P29" i="10"/>
  <c r="D23" i="10"/>
  <c r="P33" i="10"/>
  <c r="M22" i="10"/>
  <c r="N22" i="10" s="1"/>
  <c r="O57" i="9"/>
  <c r="I57" i="9"/>
  <c r="D53" i="8"/>
  <c r="F53" i="8"/>
  <c r="G53" i="8"/>
  <c r="I53" i="8"/>
  <c r="J53" i="8"/>
  <c r="C53" i="8"/>
  <c r="D50" i="8"/>
  <c r="F50" i="8"/>
  <c r="G50" i="8"/>
  <c r="I50" i="8"/>
  <c r="J50" i="8"/>
  <c r="C50" i="8"/>
  <c r="D49" i="8"/>
  <c r="F49" i="8"/>
  <c r="G49" i="8"/>
  <c r="I49" i="8"/>
  <c r="J49" i="8"/>
  <c r="C49" i="8"/>
  <c r="D48" i="8"/>
  <c r="F48" i="8"/>
  <c r="G48" i="8"/>
  <c r="I48" i="8"/>
  <c r="J48" i="8"/>
  <c r="C48" i="8"/>
  <c r="D47" i="8"/>
  <c r="F47" i="8"/>
  <c r="G47" i="8"/>
  <c r="I47" i="8"/>
  <c r="J47" i="8"/>
  <c r="C47" i="8"/>
  <c r="D41" i="8"/>
  <c r="F41" i="8"/>
  <c r="G41" i="8"/>
  <c r="I41" i="8"/>
  <c r="J41" i="8"/>
  <c r="C41" i="8"/>
  <c r="D40" i="8"/>
  <c r="F40" i="8"/>
  <c r="G40" i="8"/>
  <c r="I40" i="8"/>
  <c r="J40" i="8"/>
  <c r="C40" i="8"/>
  <c r="D44" i="8"/>
  <c r="F44" i="8"/>
  <c r="G44" i="8"/>
  <c r="I44" i="8"/>
  <c r="J44" i="8"/>
  <c r="C44" i="8"/>
  <c r="D43" i="8"/>
  <c r="F43" i="8"/>
  <c r="G43" i="8"/>
  <c r="I43" i="8"/>
  <c r="J43" i="8"/>
  <c r="C43" i="8"/>
  <c r="D42" i="8"/>
  <c r="F42" i="8"/>
  <c r="G42" i="8"/>
  <c r="I42" i="8"/>
  <c r="J42" i="8"/>
  <c r="C42" i="8"/>
  <c r="D37" i="8"/>
  <c r="F37" i="8"/>
  <c r="G37" i="8"/>
  <c r="I37" i="8"/>
  <c r="J37" i="8"/>
  <c r="C37" i="8"/>
  <c r="D52" i="8"/>
  <c r="F52" i="8"/>
  <c r="G52" i="8"/>
  <c r="I52" i="8"/>
  <c r="J52" i="8"/>
  <c r="C52" i="8"/>
  <c r="D51" i="8"/>
  <c r="F51" i="8"/>
  <c r="G51" i="8"/>
  <c r="I51" i="8"/>
  <c r="J51" i="8"/>
  <c r="C51" i="8"/>
  <c r="D46" i="8"/>
  <c r="F46" i="8"/>
  <c r="G46" i="8"/>
  <c r="I46" i="8"/>
  <c r="J46" i="8"/>
  <c r="C46" i="8"/>
  <c r="D45" i="8"/>
  <c r="F45" i="8"/>
  <c r="G45" i="8"/>
  <c r="I45" i="8"/>
  <c r="J45" i="8"/>
  <c r="C45" i="8"/>
  <c r="D34" i="8"/>
  <c r="F34" i="8"/>
  <c r="G34" i="8"/>
  <c r="I34" i="8"/>
  <c r="J34" i="8"/>
  <c r="C34" i="8"/>
  <c r="D33" i="8"/>
  <c r="F33" i="8"/>
  <c r="G33" i="8"/>
  <c r="I33" i="8"/>
  <c r="J33" i="8"/>
  <c r="C33" i="8"/>
  <c r="D32" i="8"/>
  <c r="F32" i="8"/>
  <c r="G32" i="8"/>
  <c r="I32" i="8"/>
  <c r="J32" i="8"/>
  <c r="C32" i="8"/>
  <c r="D31" i="8"/>
  <c r="F31" i="8"/>
  <c r="G31" i="8"/>
  <c r="I31" i="8"/>
  <c r="J31" i="8"/>
  <c r="C31" i="8"/>
  <c r="D39" i="8"/>
  <c r="F39" i="8"/>
  <c r="G39" i="8"/>
  <c r="I39" i="8"/>
  <c r="J39" i="8"/>
  <c r="C39" i="8"/>
  <c r="D38" i="8"/>
  <c r="F38" i="8"/>
  <c r="G38" i="8"/>
  <c r="I38" i="8"/>
  <c r="J38" i="8"/>
  <c r="C38" i="8"/>
  <c r="D30" i="8"/>
  <c r="F30" i="8"/>
  <c r="G30" i="8"/>
  <c r="I30" i="8"/>
  <c r="J30" i="8"/>
  <c r="C30" i="8"/>
  <c r="D29" i="8"/>
  <c r="F29" i="8"/>
  <c r="G29" i="8"/>
  <c r="I29" i="8"/>
  <c r="J29" i="8"/>
  <c r="C29" i="8"/>
  <c r="D36" i="8"/>
  <c r="F36" i="8"/>
  <c r="G36" i="8"/>
  <c r="I36" i="8"/>
  <c r="J36" i="8"/>
  <c r="C36" i="8"/>
  <c r="D35" i="8"/>
  <c r="F35" i="8"/>
  <c r="G35" i="8"/>
  <c r="I35" i="8"/>
  <c r="J35" i="8"/>
  <c r="C35" i="8"/>
  <c r="D28" i="8"/>
  <c r="F28" i="8"/>
  <c r="G28" i="8"/>
  <c r="I28" i="8"/>
  <c r="J28" i="8"/>
  <c r="C28" i="8"/>
  <c r="D27" i="8"/>
  <c r="F27" i="8"/>
  <c r="G27" i="8"/>
  <c r="I27" i="8"/>
  <c r="J27" i="8"/>
  <c r="C27" i="8"/>
  <c r="D26" i="8"/>
  <c r="F26" i="8"/>
  <c r="G26" i="8"/>
  <c r="I26" i="8"/>
  <c r="J26" i="8"/>
  <c r="C26" i="8"/>
  <c r="D25" i="8"/>
  <c r="F25" i="8"/>
  <c r="G25" i="8"/>
  <c r="I25" i="8"/>
  <c r="J25" i="8"/>
  <c r="C25" i="8"/>
  <c r="D18" i="8"/>
  <c r="F18" i="8"/>
  <c r="G18" i="8"/>
  <c r="I18" i="8"/>
  <c r="J18" i="8"/>
  <c r="C18" i="8"/>
  <c r="D17" i="8"/>
  <c r="F17" i="8"/>
  <c r="G17" i="8"/>
  <c r="I17" i="8"/>
  <c r="J17" i="8"/>
  <c r="C17" i="8"/>
  <c r="D16" i="8"/>
  <c r="F16" i="8"/>
  <c r="G16" i="8"/>
  <c r="I16" i="8"/>
  <c r="J16" i="8"/>
  <c r="C16" i="8"/>
  <c r="D15" i="8"/>
  <c r="F15" i="8"/>
  <c r="G15" i="8"/>
  <c r="I15" i="8"/>
  <c r="J15" i="8"/>
  <c r="C15" i="8"/>
  <c r="D21" i="8"/>
  <c r="F21" i="8"/>
  <c r="G21" i="8"/>
  <c r="I21" i="8"/>
  <c r="J21" i="8"/>
  <c r="C21" i="8"/>
  <c r="D20" i="8"/>
  <c r="F20" i="8"/>
  <c r="G20" i="8"/>
  <c r="I20" i="8"/>
  <c r="J20" i="8"/>
  <c r="C20" i="8"/>
  <c r="D19" i="8"/>
  <c r="F19" i="8"/>
  <c r="G19" i="8"/>
  <c r="I19" i="8"/>
  <c r="J19" i="8"/>
  <c r="C19" i="8"/>
  <c r="D13" i="8"/>
  <c r="F13" i="8"/>
  <c r="G13" i="8"/>
  <c r="I13" i="8"/>
  <c r="J13" i="8"/>
  <c r="C13" i="8"/>
  <c r="D10" i="8"/>
  <c r="F10" i="8"/>
  <c r="G10" i="8"/>
  <c r="I10" i="8"/>
  <c r="J10" i="8"/>
  <c r="C10" i="8"/>
  <c r="D14" i="8"/>
  <c r="F14" i="8"/>
  <c r="G14" i="8"/>
  <c r="I14" i="8"/>
  <c r="J14" i="8"/>
  <c r="C14" i="8"/>
  <c r="D7" i="8"/>
  <c r="F7" i="8"/>
  <c r="G7" i="8"/>
  <c r="I7" i="8"/>
  <c r="J7" i="8"/>
  <c r="C7" i="8"/>
  <c r="D6" i="8"/>
  <c r="F6" i="8"/>
  <c r="G6" i="8"/>
  <c r="I6" i="8"/>
  <c r="J6" i="8"/>
  <c r="C6" i="8"/>
  <c r="D9" i="8"/>
  <c r="F9" i="8"/>
  <c r="G9" i="8"/>
  <c r="I9" i="8"/>
  <c r="J9" i="8"/>
  <c r="C9" i="8"/>
  <c r="D8" i="8"/>
  <c r="F8" i="8"/>
  <c r="G8" i="8"/>
  <c r="I8" i="8"/>
  <c r="J8" i="8"/>
  <c r="C8" i="8"/>
  <c r="D12" i="8"/>
  <c r="F12" i="8"/>
  <c r="G12" i="8"/>
  <c r="I12" i="8"/>
  <c r="J12" i="8"/>
  <c r="C12" i="8"/>
  <c r="D11" i="8"/>
  <c r="F11" i="8"/>
  <c r="G11" i="8"/>
  <c r="I11" i="8"/>
  <c r="J11" i="8"/>
  <c r="C11" i="8"/>
  <c r="F54" i="8" l="1"/>
  <c r="C74" i="9"/>
  <c r="D54" i="8"/>
  <c r="D58" i="9"/>
  <c r="I54" i="8"/>
  <c r="E60" i="15"/>
  <c r="L59" i="15"/>
  <c r="M23" i="5"/>
  <c r="N23" i="5" s="1"/>
  <c r="E7" i="5"/>
  <c r="O57" i="10"/>
  <c r="M54" i="10"/>
  <c r="N54" i="10" s="1"/>
  <c r="K57" i="9"/>
  <c r="Q57" i="9" s="1"/>
  <c r="O23" i="5" s="1"/>
  <c r="M57" i="9"/>
  <c r="H57" i="9"/>
  <c r="P57" i="9"/>
  <c r="E55" i="9"/>
  <c r="G54" i="8"/>
  <c r="P54" i="10"/>
  <c r="C57" i="10"/>
  <c r="P22" i="10"/>
  <c r="F57" i="10"/>
  <c r="I57" i="10"/>
  <c r="E57" i="9"/>
  <c r="L22" i="9"/>
  <c r="I7" i="5" s="1"/>
  <c r="E23" i="9"/>
  <c r="J54" i="8"/>
  <c r="G22" i="8"/>
  <c r="J22" i="8"/>
  <c r="I22" i="8"/>
  <c r="F22" i="8"/>
  <c r="C22" i="8"/>
  <c r="D22" i="8"/>
  <c r="D54" i="1"/>
  <c r="G54" i="1"/>
  <c r="I54" i="1"/>
  <c r="J54" i="1"/>
  <c r="P53" i="1"/>
  <c r="K53" i="1"/>
  <c r="Q53" i="1" s="1"/>
  <c r="F53" i="1"/>
  <c r="M53" i="1" s="1"/>
  <c r="N53" i="1" s="1"/>
  <c r="E53" i="1"/>
  <c r="P52" i="1"/>
  <c r="M52" i="1"/>
  <c r="N52" i="1" s="1"/>
  <c r="K52" i="1"/>
  <c r="Q52" i="1" s="1"/>
  <c r="H52" i="1"/>
  <c r="E52" i="1"/>
  <c r="L52" i="1" s="1"/>
  <c r="P51" i="1"/>
  <c r="M51" i="1"/>
  <c r="N51" i="1" s="1"/>
  <c r="K51" i="1"/>
  <c r="Q51" i="1" s="1"/>
  <c r="H51" i="1"/>
  <c r="E51" i="1"/>
  <c r="L51" i="1" s="1"/>
  <c r="P50" i="1"/>
  <c r="M50" i="1"/>
  <c r="N50" i="1" s="1"/>
  <c r="K50" i="1"/>
  <c r="Q50" i="1" s="1"/>
  <c r="H50" i="1"/>
  <c r="E50" i="1"/>
  <c r="L50" i="1" s="1"/>
  <c r="P49" i="1"/>
  <c r="M49" i="1"/>
  <c r="N49" i="1" s="1"/>
  <c r="K49" i="1"/>
  <c r="Q49" i="1" s="1"/>
  <c r="H49" i="1"/>
  <c r="E49" i="1"/>
  <c r="L49" i="1" s="1"/>
  <c r="P48" i="1"/>
  <c r="M48" i="1"/>
  <c r="N48" i="1" s="1"/>
  <c r="K48" i="1"/>
  <c r="Q48" i="1" s="1"/>
  <c r="H48" i="1"/>
  <c r="E48" i="1"/>
  <c r="L48" i="1" s="1"/>
  <c r="P47" i="1"/>
  <c r="M47" i="1"/>
  <c r="N47" i="1" s="1"/>
  <c r="K47" i="1"/>
  <c r="Q47" i="1" s="1"/>
  <c r="H47" i="1"/>
  <c r="E47" i="1"/>
  <c r="L47" i="1" s="1"/>
  <c r="P46" i="1"/>
  <c r="M46" i="1"/>
  <c r="N46" i="1" s="1"/>
  <c r="K46" i="1"/>
  <c r="Q46" i="1" s="1"/>
  <c r="H46" i="1"/>
  <c r="E46" i="1"/>
  <c r="L46" i="1" s="1"/>
  <c r="P45" i="1"/>
  <c r="M45" i="1"/>
  <c r="N45" i="1" s="1"/>
  <c r="K45" i="1"/>
  <c r="Q45" i="1" s="1"/>
  <c r="H45" i="1"/>
  <c r="E45" i="1"/>
  <c r="L45" i="1" s="1"/>
  <c r="P44" i="1"/>
  <c r="M44" i="1"/>
  <c r="N44" i="1" s="1"/>
  <c r="K44" i="1"/>
  <c r="Q44" i="1" s="1"/>
  <c r="H44" i="1"/>
  <c r="E44" i="1"/>
  <c r="L44" i="1" s="1"/>
  <c r="P43" i="1"/>
  <c r="M43" i="1"/>
  <c r="N43" i="1" s="1"/>
  <c r="K43" i="1"/>
  <c r="Q43" i="1" s="1"/>
  <c r="H43" i="1"/>
  <c r="E43" i="1"/>
  <c r="L43" i="1" s="1"/>
  <c r="P42" i="1"/>
  <c r="M42" i="1"/>
  <c r="N42" i="1" s="1"/>
  <c r="K42" i="1"/>
  <c r="Q42" i="1" s="1"/>
  <c r="H42" i="1"/>
  <c r="E42" i="1"/>
  <c r="L42" i="1" s="1"/>
  <c r="P41" i="1"/>
  <c r="M41" i="1"/>
  <c r="N41" i="1" s="1"/>
  <c r="K41" i="1"/>
  <c r="Q41" i="1" s="1"/>
  <c r="H41" i="1"/>
  <c r="E41" i="1"/>
  <c r="L41" i="1" s="1"/>
  <c r="P40" i="1"/>
  <c r="M40" i="1"/>
  <c r="N40" i="1" s="1"/>
  <c r="K40" i="1"/>
  <c r="Q40" i="1" s="1"/>
  <c r="H40" i="1"/>
  <c r="E40" i="1"/>
  <c r="L40" i="1" s="1"/>
  <c r="P39" i="1"/>
  <c r="M39" i="1"/>
  <c r="N39" i="1" s="1"/>
  <c r="K39" i="1"/>
  <c r="Q39" i="1" s="1"/>
  <c r="H39" i="1"/>
  <c r="E39" i="1"/>
  <c r="L39" i="1" s="1"/>
  <c r="P38" i="1"/>
  <c r="M38" i="1"/>
  <c r="N38" i="1" s="1"/>
  <c r="K38" i="1"/>
  <c r="Q38" i="1" s="1"/>
  <c r="H38" i="1"/>
  <c r="E38" i="1"/>
  <c r="L38" i="1" s="1"/>
  <c r="P37" i="1"/>
  <c r="M37" i="1"/>
  <c r="N37" i="1" s="1"/>
  <c r="K37" i="1"/>
  <c r="Q37" i="1" s="1"/>
  <c r="H37" i="1"/>
  <c r="E37" i="1"/>
  <c r="L37" i="1" s="1"/>
  <c r="P36" i="1"/>
  <c r="M36" i="1"/>
  <c r="N36" i="1" s="1"/>
  <c r="K36" i="1"/>
  <c r="Q36" i="1" s="1"/>
  <c r="H36" i="1"/>
  <c r="E36" i="1"/>
  <c r="L36" i="1" s="1"/>
  <c r="P35" i="1"/>
  <c r="M35" i="1"/>
  <c r="N35" i="1" s="1"/>
  <c r="K35" i="1"/>
  <c r="Q35" i="1" s="1"/>
  <c r="H35" i="1"/>
  <c r="E35" i="1"/>
  <c r="L35" i="1" s="1"/>
  <c r="P34" i="1"/>
  <c r="M34" i="1"/>
  <c r="N34" i="1" s="1"/>
  <c r="K34" i="1"/>
  <c r="Q34" i="1" s="1"/>
  <c r="H34" i="1"/>
  <c r="E34" i="1"/>
  <c r="L34" i="1" s="1"/>
  <c r="P33" i="1"/>
  <c r="M33" i="1"/>
  <c r="N33" i="1" s="1"/>
  <c r="K33" i="1"/>
  <c r="Q33" i="1" s="1"/>
  <c r="H33" i="1"/>
  <c r="E33" i="1"/>
  <c r="L33" i="1" s="1"/>
  <c r="P32" i="1"/>
  <c r="M32" i="1"/>
  <c r="N32" i="1" s="1"/>
  <c r="K32" i="1"/>
  <c r="Q32" i="1" s="1"/>
  <c r="H32" i="1"/>
  <c r="E32" i="1"/>
  <c r="L32" i="1" s="1"/>
  <c r="P31" i="1"/>
  <c r="M31" i="1"/>
  <c r="N31" i="1" s="1"/>
  <c r="K31" i="1"/>
  <c r="Q31" i="1" s="1"/>
  <c r="H31" i="1"/>
  <c r="E31" i="1"/>
  <c r="L31" i="1" s="1"/>
  <c r="P30" i="1"/>
  <c r="M30" i="1"/>
  <c r="N30" i="1" s="1"/>
  <c r="K30" i="1"/>
  <c r="Q30" i="1" s="1"/>
  <c r="H30" i="1"/>
  <c r="E30" i="1"/>
  <c r="L30" i="1" s="1"/>
  <c r="P29" i="1"/>
  <c r="M29" i="1"/>
  <c r="N29" i="1" s="1"/>
  <c r="K29" i="1"/>
  <c r="Q29" i="1" s="1"/>
  <c r="H29" i="1"/>
  <c r="E29" i="1"/>
  <c r="L29" i="1" s="1"/>
  <c r="P28" i="1"/>
  <c r="M28" i="1"/>
  <c r="N28" i="1" s="1"/>
  <c r="K28" i="1"/>
  <c r="Q28" i="1" s="1"/>
  <c r="H28" i="1"/>
  <c r="E28" i="1"/>
  <c r="L28" i="1" s="1"/>
  <c r="P27" i="1"/>
  <c r="M27" i="1"/>
  <c r="N27" i="1" s="1"/>
  <c r="K27" i="1"/>
  <c r="Q27" i="1" s="1"/>
  <c r="H27" i="1"/>
  <c r="E27" i="1"/>
  <c r="L27" i="1" s="1"/>
  <c r="P26" i="1"/>
  <c r="M26" i="1"/>
  <c r="N26" i="1" s="1"/>
  <c r="K26" i="1"/>
  <c r="Q26" i="1" s="1"/>
  <c r="H26" i="1"/>
  <c r="E26" i="1"/>
  <c r="L26" i="1" s="1"/>
  <c r="P25" i="1"/>
  <c r="M25" i="1"/>
  <c r="N25" i="1" s="1"/>
  <c r="K25" i="1"/>
  <c r="Q25" i="1" s="1"/>
  <c r="H25" i="1"/>
  <c r="E25" i="1"/>
  <c r="L25" i="1" s="1"/>
  <c r="P21" i="1"/>
  <c r="M21" i="1"/>
  <c r="N21" i="1" s="1"/>
  <c r="K21" i="1"/>
  <c r="Q21" i="1" s="1"/>
  <c r="H21" i="1"/>
  <c r="E21" i="1"/>
  <c r="L21" i="1" s="1"/>
  <c r="P20" i="1"/>
  <c r="M20" i="1"/>
  <c r="N20" i="1" s="1"/>
  <c r="K20" i="1"/>
  <c r="Q20" i="1" s="1"/>
  <c r="H20" i="1"/>
  <c r="E20" i="1"/>
  <c r="L20" i="1" s="1"/>
  <c r="P19" i="1"/>
  <c r="M19" i="1"/>
  <c r="N19" i="1" s="1"/>
  <c r="K19" i="1"/>
  <c r="Q19" i="1" s="1"/>
  <c r="H19" i="1"/>
  <c r="E19" i="1"/>
  <c r="L19" i="1" s="1"/>
  <c r="P18" i="1"/>
  <c r="M18" i="1"/>
  <c r="N18" i="1" s="1"/>
  <c r="K18" i="1"/>
  <c r="Q18" i="1" s="1"/>
  <c r="H18" i="1"/>
  <c r="E18" i="1"/>
  <c r="L18" i="1" s="1"/>
  <c r="P17" i="1"/>
  <c r="M17" i="1"/>
  <c r="N17" i="1" s="1"/>
  <c r="K17" i="1"/>
  <c r="Q17" i="1" s="1"/>
  <c r="H17" i="1"/>
  <c r="E17" i="1"/>
  <c r="L17" i="1" s="1"/>
  <c r="P16" i="1"/>
  <c r="M16" i="1"/>
  <c r="N16" i="1" s="1"/>
  <c r="K16" i="1"/>
  <c r="Q16" i="1" s="1"/>
  <c r="H16" i="1"/>
  <c r="E16" i="1"/>
  <c r="L16" i="1" s="1"/>
  <c r="P15" i="1"/>
  <c r="M15" i="1"/>
  <c r="N15" i="1" s="1"/>
  <c r="K15" i="1"/>
  <c r="Q15" i="1" s="1"/>
  <c r="H15" i="1"/>
  <c r="E15" i="1"/>
  <c r="L15" i="1" s="1"/>
  <c r="P14" i="1"/>
  <c r="M14" i="1"/>
  <c r="N14" i="1" s="1"/>
  <c r="K14" i="1"/>
  <c r="Q14" i="1" s="1"/>
  <c r="H14" i="1"/>
  <c r="E14" i="1"/>
  <c r="L14" i="1" s="1"/>
  <c r="P13" i="1"/>
  <c r="M13" i="1"/>
  <c r="N13" i="1" s="1"/>
  <c r="K13" i="1"/>
  <c r="Q13" i="1" s="1"/>
  <c r="H13" i="1"/>
  <c r="E13" i="1"/>
  <c r="L13" i="1" s="1"/>
  <c r="P12" i="1"/>
  <c r="M12" i="1"/>
  <c r="N12" i="1" s="1"/>
  <c r="K12" i="1"/>
  <c r="Q12" i="1" s="1"/>
  <c r="H12" i="1"/>
  <c r="E12" i="1"/>
  <c r="L12" i="1" s="1"/>
  <c r="P11" i="1"/>
  <c r="M11" i="1"/>
  <c r="N11" i="1" s="1"/>
  <c r="K11" i="1"/>
  <c r="Q11" i="1" s="1"/>
  <c r="H11" i="1"/>
  <c r="E11" i="1"/>
  <c r="L11" i="1" s="1"/>
  <c r="P10" i="1"/>
  <c r="M10" i="1"/>
  <c r="N10" i="1" s="1"/>
  <c r="K10" i="1"/>
  <c r="Q10" i="1" s="1"/>
  <c r="H10" i="1"/>
  <c r="E10" i="1"/>
  <c r="L10" i="1" s="1"/>
  <c r="P9" i="1"/>
  <c r="M9" i="1"/>
  <c r="N9" i="1" s="1"/>
  <c r="K9" i="1"/>
  <c r="Q9" i="1" s="1"/>
  <c r="H9" i="1"/>
  <c r="E9" i="1"/>
  <c r="L9" i="1" s="1"/>
  <c r="P8" i="1"/>
  <c r="M8" i="1"/>
  <c r="N8" i="1" s="1"/>
  <c r="K8" i="1"/>
  <c r="Q8" i="1" s="1"/>
  <c r="H8" i="1"/>
  <c r="E8" i="1"/>
  <c r="L8" i="1" s="1"/>
  <c r="P7" i="1"/>
  <c r="M7" i="1"/>
  <c r="N7" i="1" s="1"/>
  <c r="K7" i="1"/>
  <c r="Q7" i="1" s="1"/>
  <c r="H7" i="1"/>
  <c r="E7" i="1"/>
  <c r="L7" i="1" s="1"/>
  <c r="P6" i="1"/>
  <c r="M6" i="1"/>
  <c r="N6" i="1" s="1"/>
  <c r="K6" i="1"/>
  <c r="Q6" i="1" s="1"/>
  <c r="H6" i="1"/>
  <c r="E6" i="1"/>
  <c r="L6" i="1" s="1"/>
  <c r="N57" i="9" l="1"/>
  <c r="M7" i="5" s="1"/>
  <c r="L7" i="5"/>
  <c r="P57" i="10"/>
  <c r="M57" i="10"/>
  <c r="N57" i="10" s="1"/>
  <c r="D58" i="10"/>
  <c r="E58" i="9"/>
  <c r="L57" i="9"/>
  <c r="K7" i="5" s="1"/>
  <c r="K54" i="1"/>
  <c r="F54" i="1"/>
  <c r="E54" i="1"/>
  <c r="H53" i="1"/>
  <c r="H54" i="1" s="1"/>
  <c r="L53" i="1"/>
  <c r="P53" i="7" l="1"/>
  <c r="M53" i="7"/>
  <c r="N53" i="7" s="1"/>
  <c r="K53" i="7"/>
  <c r="H53" i="7"/>
  <c r="E53" i="7"/>
  <c r="P52" i="7"/>
  <c r="M52" i="7"/>
  <c r="N52" i="7" s="1"/>
  <c r="K52" i="7"/>
  <c r="H52" i="7"/>
  <c r="E52" i="7"/>
  <c r="P51" i="7"/>
  <c r="M51" i="7"/>
  <c r="N51" i="7" s="1"/>
  <c r="K51" i="7"/>
  <c r="H51" i="7"/>
  <c r="E51" i="7"/>
  <c r="P50" i="7"/>
  <c r="M50" i="7"/>
  <c r="N50" i="7" s="1"/>
  <c r="K50" i="7"/>
  <c r="H50" i="7"/>
  <c r="E50" i="7"/>
  <c r="P49" i="7"/>
  <c r="M49" i="7"/>
  <c r="N49" i="7" s="1"/>
  <c r="K49" i="7"/>
  <c r="H49" i="7"/>
  <c r="E49" i="7"/>
  <c r="P48" i="7"/>
  <c r="M48" i="7"/>
  <c r="N48" i="7" s="1"/>
  <c r="K48" i="7"/>
  <c r="H48" i="7"/>
  <c r="E48" i="7"/>
  <c r="P47" i="7"/>
  <c r="M47" i="7"/>
  <c r="N47" i="7" s="1"/>
  <c r="K47" i="7"/>
  <c r="H47" i="7"/>
  <c r="E47" i="7"/>
  <c r="P46" i="7"/>
  <c r="M46" i="7"/>
  <c r="N46" i="7" s="1"/>
  <c r="K46" i="7"/>
  <c r="H46" i="7"/>
  <c r="E46" i="7"/>
  <c r="P45" i="7"/>
  <c r="M45" i="7"/>
  <c r="N45" i="7" s="1"/>
  <c r="K45" i="7"/>
  <c r="H45" i="7"/>
  <c r="E45" i="7"/>
  <c r="P44" i="7"/>
  <c r="M44" i="7"/>
  <c r="N44" i="7" s="1"/>
  <c r="K44" i="7"/>
  <c r="H44" i="7"/>
  <c r="E44" i="7"/>
  <c r="P43" i="7"/>
  <c r="M43" i="7"/>
  <c r="N43" i="7" s="1"/>
  <c r="K43" i="7"/>
  <c r="H43" i="7"/>
  <c r="E43" i="7"/>
  <c r="P42" i="7"/>
  <c r="M42" i="7"/>
  <c r="N42" i="7" s="1"/>
  <c r="K42" i="7"/>
  <c r="H42" i="7"/>
  <c r="E42" i="7"/>
  <c r="P41" i="7"/>
  <c r="M41" i="7"/>
  <c r="N41" i="7" s="1"/>
  <c r="K41" i="7"/>
  <c r="H41" i="7"/>
  <c r="E41" i="7"/>
  <c r="P40" i="7"/>
  <c r="M40" i="7"/>
  <c r="N40" i="7" s="1"/>
  <c r="K40" i="7"/>
  <c r="H40" i="7"/>
  <c r="E40" i="7"/>
  <c r="P39" i="7"/>
  <c r="M39" i="7"/>
  <c r="N39" i="7" s="1"/>
  <c r="K39" i="7"/>
  <c r="H39" i="7"/>
  <c r="E39" i="7"/>
  <c r="P38" i="7"/>
  <c r="M38" i="7"/>
  <c r="N38" i="7" s="1"/>
  <c r="K38" i="7"/>
  <c r="H38" i="7"/>
  <c r="E38" i="7"/>
  <c r="P37" i="7"/>
  <c r="M37" i="7"/>
  <c r="N37" i="7" s="1"/>
  <c r="K37" i="7"/>
  <c r="H37" i="7"/>
  <c r="E37" i="7"/>
  <c r="P36" i="7"/>
  <c r="M36" i="7"/>
  <c r="N36" i="7" s="1"/>
  <c r="K36" i="7"/>
  <c r="H36" i="7"/>
  <c r="E36" i="7"/>
  <c r="P35" i="7"/>
  <c r="M35" i="7"/>
  <c r="N35" i="7" s="1"/>
  <c r="K35" i="7"/>
  <c r="H35" i="7"/>
  <c r="E35" i="7"/>
  <c r="P34" i="7"/>
  <c r="M34" i="7"/>
  <c r="N34" i="7" s="1"/>
  <c r="K34" i="7"/>
  <c r="H34" i="7"/>
  <c r="E34" i="7"/>
  <c r="P33" i="7"/>
  <c r="M33" i="7"/>
  <c r="N33" i="7" s="1"/>
  <c r="K33" i="7"/>
  <c r="H33" i="7"/>
  <c r="E33" i="7"/>
  <c r="P32" i="7"/>
  <c r="M32" i="7"/>
  <c r="N32" i="7" s="1"/>
  <c r="K32" i="7"/>
  <c r="H32" i="7"/>
  <c r="E32" i="7"/>
  <c r="P31" i="7"/>
  <c r="M31" i="7"/>
  <c r="N31" i="7" s="1"/>
  <c r="K31" i="7"/>
  <c r="H31" i="7"/>
  <c r="E31" i="7"/>
  <c r="P30" i="7"/>
  <c r="M30" i="7"/>
  <c r="N30" i="7" s="1"/>
  <c r="K30" i="7"/>
  <c r="H30" i="7"/>
  <c r="E30" i="7"/>
  <c r="P29" i="7"/>
  <c r="M29" i="7"/>
  <c r="N29" i="7" s="1"/>
  <c r="K29" i="7"/>
  <c r="H29" i="7"/>
  <c r="E29" i="7"/>
  <c r="P28" i="7"/>
  <c r="M28" i="7"/>
  <c r="N28" i="7" s="1"/>
  <c r="K28" i="7"/>
  <c r="H28" i="7"/>
  <c r="E28" i="7"/>
  <c r="P27" i="7"/>
  <c r="M27" i="7"/>
  <c r="N27" i="7" s="1"/>
  <c r="K27" i="7"/>
  <c r="H27" i="7"/>
  <c r="E27" i="7"/>
  <c r="P26" i="7"/>
  <c r="M26" i="7"/>
  <c r="N26" i="7" s="1"/>
  <c r="K26" i="7"/>
  <c r="H26" i="7"/>
  <c r="E26" i="7"/>
  <c r="P25" i="7"/>
  <c r="M25" i="7"/>
  <c r="N25" i="7" s="1"/>
  <c r="K25" i="7"/>
  <c r="H25" i="7"/>
  <c r="E25" i="7"/>
  <c r="D22" i="7"/>
  <c r="F22" i="7"/>
  <c r="G22" i="7"/>
  <c r="I22" i="7"/>
  <c r="J22" i="7"/>
  <c r="P21" i="7"/>
  <c r="M21" i="7"/>
  <c r="N21" i="7" s="1"/>
  <c r="K21" i="7"/>
  <c r="H21" i="7"/>
  <c r="E21" i="7"/>
  <c r="P20" i="7"/>
  <c r="M20" i="7"/>
  <c r="N20" i="7" s="1"/>
  <c r="K20" i="7"/>
  <c r="H20" i="7"/>
  <c r="E20" i="7"/>
  <c r="P19" i="7"/>
  <c r="M19" i="7"/>
  <c r="N19" i="7" s="1"/>
  <c r="K19" i="7"/>
  <c r="H19" i="7"/>
  <c r="E19" i="7"/>
  <c r="P18" i="7"/>
  <c r="M18" i="7"/>
  <c r="N18" i="7" s="1"/>
  <c r="K18" i="7"/>
  <c r="H18" i="7"/>
  <c r="E18" i="7"/>
  <c r="P17" i="7"/>
  <c r="M17" i="7"/>
  <c r="N17" i="7" s="1"/>
  <c r="K17" i="7"/>
  <c r="H17" i="7"/>
  <c r="E17" i="7"/>
  <c r="P16" i="7"/>
  <c r="M16" i="7"/>
  <c r="N16" i="7" s="1"/>
  <c r="K16" i="7"/>
  <c r="H16" i="7"/>
  <c r="E16" i="7"/>
  <c r="P15" i="7"/>
  <c r="M15" i="7"/>
  <c r="N15" i="7" s="1"/>
  <c r="K15" i="7"/>
  <c r="H15" i="7"/>
  <c r="E15" i="7"/>
  <c r="P14" i="7"/>
  <c r="M14" i="7"/>
  <c r="N14" i="7" s="1"/>
  <c r="K14" i="7"/>
  <c r="H14" i="7"/>
  <c r="E14" i="7"/>
  <c r="P13" i="7"/>
  <c r="M13" i="7"/>
  <c r="N13" i="7" s="1"/>
  <c r="K13" i="7"/>
  <c r="H13" i="7"/>
  <c r="E13" i="7"/>
  <c r="P12" i="7"/>
  <c r="M12" i="7"/>
  <c r="N12" i="7" s="1"/>
  <c r="K12" i="7"/>
  <c r="H12" i="7"/>
  <c r="E12" i="7"/>
  <c r="P11" i="7"/>
  <c r="M11" i="7"/>
  <c r="N11" i="7" s="1"/>
  <c r="K11" i="7"/>
  <c r="H11" i="7"/>
  <c r="E11" i="7"/>
  <c r="P10" i="7"/>
  <c r="M10" i="7"/>
  <c r="N10" i="7" s="1"/>
  <c r="K10" i="7"/>
  <c r="H10" i="7"/>
  <c r="E10" i="7"/>
  <c r="P9" i="7"/>
  <c r="M9" i="7"/>
  <c r="N9" i="7" s="1"/>
  <c r="K9" i="7"/>
  <c r="H9" i="7"/>
  <c r="E9" i="7"/>
  <c r="P8" i="7"/>
  <c r="M8" i="7"/>
  <c r="N8" i="7" s="1"/>
  <c r="K8" i="7"/>
  <c r="H8" i="7"/>
  <c r="E8" i="7"/>
  <c r="P7" i="7"/>
  <c r="M7" i="7"/>
  <c r="N7" i="7" s="1"/>
  <c r="K7" i="7"/>
  <c r="H7" i="7"/>
  <c r="E7" i="7"/>
  <c r="P6" i="7"/>
  <c r="M6" i="7"/>
  <c r="N6" i="7" s="1"/>
  <c r="K6" i="7"/>
  <c r="H6" i="7"/>
  <c r="E6" i="7"/>
  <c r="H6" i="8" l="1"/>
  <c r="Q10" i="7"/>
  <c r="K10" i="8"/>
  <c r="L12" i="7"/>
  <c r="E12" i="8"/>
  <c r="H15" i="8"/>
  <c r="Q18" i="7"/>
  <c r="K18" i="8"/>
  <c r="L20" i="7"/>
  <c r="E20" i="8"/>
  <c r="H25" i="8"/>
  <c r="Q28" i="7"/>
  <c r="K28" i="8"/>
  <c r="L30" i="7"/>
  <c r="E29" i="8"/>
  <c r="H32" i="8"/>
  <c r="Q36" i="7"/>
  <c r="K30" i="8"/>
  <c r="L38" i="7"/>
  <c r="E31" i="8"/>
  <c r="H39" i="8"/>
  <c r="Q44" i="7"/>
  <c r="K45" i="8"/>
  <c r="L46" i="7"/>
  <c r="E38" i="8"/>
  <c r="H44" i="8"/>
  <c r="Q52" i="7"/>
  <c r="K48" i="8"/>
  <c r="L9" i="7"/>
  <c r="L9" i="10"/>
  <c r="E8" i="8"/>
  <c r="Q15" i="7"/>
  <c r="K15" i="8"/>
  <c r="H29" i="8"/>
  <c r="Q33" i="7"/>
  <c r="K32" i="8"/>
  <c r="L35" i="7"/>
  <c r="E35" i="8"/>
  <c r="H31" i="8"/>
  <c r="Q41" i="7"/>
  <c r="K39" i="8"/>
  <c r="L43" i="7"/>
  <c r="E51" i="8"/>
  <c r="H38" i="8"/>
  <c r="L51" i="7"/>
  <c r="E49" i="8"/>
  <c r="L6" i="7"/>
  <c r="E7" i="8"/>
  <c r="H17" i="8"/>
  <c r="Q20" i="7"/>
  <c r="K20" i="8"/>
  <c r="H47" i="8"/>
  <c r="Q30" i="7"/>
  <c r="K29" i="8"/>
  <c r="L32" i="7"/>
  <c r="E27" i="8"/>
  <c r="H35" i="8"/>
  <c r="Q38" i="7"/>
  <c r="K31" i="8"/>
  <c r="L40" i="7"/>
  <c r="E40" i="8"/>
  <c r="H51" i="8"/>
  <c r="L48" i="7"/>
  <c r="L53" i="10"/>
  <c r="E53" i="8"/>
  <c r="H49" i="8"/>
  <c r="Q7" i="7"/>
  <c r="K6" i="8"/>
  <c r="H20" i="8"/>
  <c r="H13" i="8"/>
  <c r="Q17" i="7"/>
  <c r="K17" i="8"/>
  <c r="L19" i="7"/>
  <c r="E16" i="8"/>
  <c r="Q27" i="7"/>
  <c r="K47" i="8"/>
  <c r="L29" i="7"/>
  <c r="E33" i="8"/>
  <c r="H27" i="8"/>
  <c r="Q35" i="7"/>
  <c r="K35" i="8"/>
  <c r="L37" i="7"/>
  <c r="L35" i="10"/>
  <c r="E37" i="8"/>
  <c r="H40" i="8"/>
  <c r="L45" i="7"/>
  <c r="E46" i="8"/>
  <c r="H53" i="8"/>
  <c r="Q51" i="7"/>
  <c r="K49" i="8"/>
  <c r="L53" i="7"/>
  <c r="E50" i="8"/>
  <c r="L27" i="7"/>
  <c r="E47" i="8"/>
  <c r="Q9" i="7"/>
  <c r="K8" i="8"/>
  <c r="L8" i="7"/>
  <c r="E9" i="8"/>
  <c r="Q14" i="7"/>
  <c r="K13" i="8"/>
  <c r="L26" i="7"/>
  <c r="E26" i="8"/>
  <c r="H33" i="8"/>
  <c r="Q32" i="7"/>
  <c r="K27" i="8"/>
  <c r="L34" i="7"/>
  <c r="E42" i="8"/>
  <c r="H37" i="8"/>
  <c r="Q40" i="7"/>
  <c r="K40" i="8"/>
  <c r="L42" i="7"/>
  <c r="E43" i="8"/>
  <c r="H46" i="8"/>
  <c r="Q48" i="7"/>
  <c r="K53" i="8"/>
  <c r="L50" i="7"/>
  <c r="E41" i="8"/>
  <c r="H50" i="8"/>
  <c r="Q25" i="7"/>
  <c r="K25" i="8"/>
  <c r="H8" i="8"/>
  <c r="L11" i="7"/>
  <c r="E11" i="8"/>
  <c r="H11" i="8"/>
  <c r="H16" i="8"/>
  <c r="H9" i="8"/>
  <c r="L13" i="7"/>
  <c r="L16" i="10"/>
  <c r="E14" i="8"/>
  <c r="H19" i="8"/>
  <c r="Q19" i="7"/>
  <c r="K16" i="8"/>
  <c r="L21" i="7"/>
  <c r="L21" i="10"/>
  <c r="E21" i="8"/>
  <c r="H26" i="8"/>
  <c r="Q29" i="7"/>
  <c r="K33" i="8"/>
  <c r="L31" i="7"/>
  <c r="E36" i="8"/>
  <c r="H42" i="8"/>
  <c r="Q37" i="7"/>
  <c r="K37" i="8"/>
  <c r="L39" i="7"/>
  <c r="E34" i="8"/>
  <c r="H43" i="8"/>
  <c r="Q45" i="7"/>
  <c r="K46" i="8"/>
  <c r="L47" i="7"/>
  <c r="E52" i="8"/>
  <c r="H41" i="8"/>
  <c r="Q53" i="7"/>
  <c r="K50" i="8"/>
  <c r="H12" i="8"/>
  <c r="L17" i="7"/>
  <c r="E17" i="8"/>
  <c r="L14" i="7"/>
  <c r="L11" i="10"/>
  <c r="E13" i="8"/>
  <c r="Q6" i="7"/>
  <c r="K7" i="8"/>
  <c r="Q11" i="7"/>
  <c r="K11" i="8"/>
  <c r="Q8" i="7"/>
  <c r="K9" i="8"/>
  <c r="L10" i="7"/>
  <c r="L8" i="10"/>
  <c r="E10" i="8"/>
  <c r="H14" i="8"/>
  <c r="Q16" i="7"/>
  <c r="K19" i="8"/>
  <c r="L18" i="7"/>
  <c r="L17" i="10"/>
  <c r="E18" i="8"/>
  <c r="H21" i="8"/>
  <c r="Q26" i="7"/>
  <c r="K26" i="8"/>
  <c r="L28" i="7"/>
  <c r="E28" i="8"/>
  <c r="H36" i="8"/>
  <c r="Q34" i="7"/>
  <c r="K42" i="8"/>
  <c r="L36" i="7"/>
  <c r="E30" i="8"/>
  <c r="H34" i="8"/>
  <c r="Q42" i="7"/>
  <c r="K43" i="8"/>
  <c r="L44" i="7"/>
  <c r="L51" i="10"/>
  <c r="E45" i="8"/>
  <c r="H52" i="8"/>
  <c r="Q50" i="7"/>
  <c r="K41" i="8"/>
  <c r="L52" i="7"/>
  <c r="E48" i="8"/>
  <c r="Q12" i="7"/>
  <c r="K12" i="8"/>
  <c r="H22" i="7"/>
  <c r="H7" i="8"/>
  <c r="L16" i="7"/>
  <c r="E19" i="8"/>
  <c r="L7" i="7"/>
  <c r="E6" i="8"/>
  <c r="H10" i="8"/>
  <c r="Q13" i="7"/>
  <c r="K14" i="8"/>
  <c r="L15" i="7"/>
  <c r="E15" i="8"/>
  <c r="H18" i="8"/>
  <c r="Q21" i="7"/>
  <c r="K21" i="8"/>
  <c r="L25" i="7"/>
  <c r="E25" i="8"/>
  <c r="H28" i="8"/>
  <c r="Q31" i="7"/>
  <c r="K36" i="8"/>
  <c r="L33" i="7"/>
  <c r="E32" i="8"/>
  <c r="H30" i="8"/>
  <c r="Q39" i="7"/>
  <c r="K34" i="8"/>
  <c r="L41" i="7"/>
  <c r="L31" i="10"/>
  <c r="E39" i="8"/>
  <c r="H45" i="8"/>
  <c r="Q47" i="7"/>
  <c r="K52" i="8"/>
  <c r="L49" i="7"/>
  <c r="E44" i="8"/>
  <c r="H48" i="8"/>
  <c r="Q49" i="7"/>
  <c r="K44" i="8"/>
  <c r="Q46" i="7"/>
  <c r="K38" i="8"/>
  <c r="Q43" i="7"/>
  <c r="K51" i="8"/>
  <c r="E22" i="7"/>
  <c r="K22" i="7"/>
  <c r="O53" i="8"/>
  <c r="Q53" i="8" s="1"/>
  <c r="O50" i="8"/>
  <c r="O49" i="8"/>
  <c r="O48" i="8"/>
  <c r="O47" i="8"/>
  <c r="O41" i="8"/>
  <c r="O40" i="8"/>
  <c r="O44" i="8"/>
  <c r="O43" i="8"/>
  <c r="O42" i="8"/>
  <c r="O37" i="8"/>
  <c r="O52" i="8"/>
  <c r="O51" i="8"/>
  <c r="O46" i="8"/>
  <c r="O45" i="8"/>
  <c r="O34" i="8"/>
  <c r="P34" i="8" s="1"/>
  <c r="O33" i="8"/>
  <c r="O32" i="8"/>
  <c r="O31" i="8"/>
  <c r="O39" i="8"/>
  <c r="P39" i="8" s="1"/>
  <c r="O38" i="8"/>
  <c r="O30" i="8"/>
  <c r="O29" i="8"/>
  <c r="O36" i="8"/>
  <c r="O35" i="8"/>
  <c r="O28" i="8"/>
  <c r="O27" i="8"/>
  <c r="O26" i="8"/>
  <c r="O25" i="8"/>
  <c r="O18" i="8"/>
  <c r="Q18" i="8" s="1"/>
  <c r="O17" i="8"/>
  <c r="P17" i="8" s="1"/>
  <c r="M17" i="8"/>
  <c r="N17" i="8" s="1"/>
  <c r="O16" i="8"/>
  <c r="M16" i="8"/>
  <c r="N16" i="8" s="1"/>
  <c r="O15" i="8"/>
  <c r="O21" i="8"/>
  <c r="O20" i="8"/>
  <c r="P20" i="8" s="1"/>
  <c r="M20" i="8"/>
  <c r="N20" i="8" s="1"/>
  <c r="O19" i="8"/>
  <c r="M19" i="8"/>
  <c r="N19" i="8" s="1"/>
  <c r="O13" i="8"/>
  <c r="O10" i="8"/>
  <c r="Q10" i="8" s="1"/>
  <c r="M10" i="8"/>
  <c r="N10" i="8" s="1"/>
  <c r="O14" i="8"/>
  <c r="O7" i="8"/>
  <c r="O6" i="8"/>
  <c r="O9" i="8"/>
  <c r="M9" i="8"/>
  <c r="N9" i="8" s="1"/>
  <c r="O8" i="8"/>
  <c r="P8" i="8" s="1"/>
  <c r="O12" i="8"/>
  <c r="P12" i="8" s="1"/>
  <c r="O11" i="8"/>
  <c r="M11" i="8"/>
  <c r="N11" i="8" s="1"/>
  <c r="O54" i="7"/>
  <c r="C71" i="7" s="1"/>
  <c r="H22" i="5" s="1"/>
  <c r="J54" i="7"/>
  <c r="I54" i="7"/>
  <c r="G54" i="7"/>
  <c r="F54" i="7"/>
  <c r="D54" i="7"/>
  <c r="C54" i="7"/>
  <c r="G22" i="5" s="1"/>
  <c r="O22" i="7"/>
  <c r="C70" i="7" s="1"/>
  <c r="C22" i="5" s="1"/>
  <c r="C22" i="7"/>
  <c r="B22" i="5" s="1"/>
  <c r="Q14" i="8" l="1"/>
  <c r="K54" i="8"/>
  <c r="D22" i="5"/>
  <c r="L22" i="5"/>
  <c r="Q13" i="8"/>
  <c r="Q21" i="8"/>
  <c r="H54" i="8"/>
  <c r="Q37" i="8"/>
  <c r="E54" i="8"/>
  <c r="E22" i="8"/>
  <c r="L49" i="10"/>
  <c r="L25" i="10"/>
  <c r="L39" i="10"/>
  <c r="L27" i="10"/>
  <c r="L6" i="10"/>
  <c r="Q54" i="10"/>
  <c r="L45" i="10"/>
  <c r="K22" i="8"/>
  <c r="L43" i="10"/>
  <c r="L33" i="10"/>
  <c r="H22" i="8"/>
  <c r="L29" i="10"/>
  <c r="H57" i="10"/>
  <c r="Q27" i="8"/>
  <c r="Q35" i="8"/>
  <c r="Q29" i="8"/>
  <c r="Q51" i="8"/>
  <c r="Q42" i="8"/>
  <c r="Q47" i="8"/>
  <c r="Q25" i="8"/>
  <c r="Q38" i="8"/>
  <c r="Q45" i="8"/>
  <c r="Q40" i="8"/>
  <c r="Q31" i="8"/>
  <c r="O22" i="8"/>
  <c r="P18" i="8"/>
  <c r="P32" i="8"/>
  <c r="P50" i="8"/>
  <c r="P48" i="8"/>
  <c r="M53" i="8"/>
  <c r="N53" i="8" s="1"/>
  <c r="Q6" i="8"/>
  <c r="Q11" i="8"/>
  <c r="M40" i="8"/>
  <c r="N40" i="8" s="1"/>
  <c r="P10" i="8"/>
  <c r="P21" i="8"/>
  <c r="Q8" i="8"/>
  <c r="P53" i="8"/>
  <c r="M30" i="8"/>
  <c r="N30" i="8" s="1"/>
  <c r="P45" i="8"/>
  <c r="L53" i="8"/>
  <c r="P6" i="8"/>
  <c r="Q15" i="8"/>
  <c r="P25" i="8"/>
  <c r="M26" i="8"/>
  <c r="N26" i="8" s="1"/>
  <c r="M36" i="8"/>
  <c r="N36" i="8" s="1"/>
  <c r="P38" i="8"/>
  <c r="M39" i="8"/>
  <c r="N39" i="8" s="1"/>
  <c r="M34" i="8"/>
  <c r="N34" i="8" s="1"/>
  <c r="P41" i="8"/>
  <c r="Q19" i="8"/>
  <c r="C54" i="8"/>
  <c r="M27" i="8"/>
  <c r="N27" i="8" s="1"/>
  <c r="P36" i="8"/>
  <c r="P43" i="8"/>
  <c r="L38" i="8"/>
  <c r="P52" i="8"/>
  <c r="P27" i="8"/>
  <c r="M28" i="8"/>
  <c r="N28" i="8" s="1"/>
  <c r="P29" i="8"/>
  <c r="P31" i="8"/>
  <c r="M43" i="8"/>
  <c r="N43" i="8" s="1"/>
  <c r="M22" i="5"/>
  <c r="L6" i="8"/>
  <c r="M21" i="8"/>
  <c r="N21" i="8" s="1"/>
  <c r="L25" i="8"/>
  <c r="M29" i="8"/>
  <c r="N29" i="8" s="1"/>
  <c r="P51" i="8"/>
  <c r="M52" i="8"/>
  <c r="N52" i="8" s="1"/>
  <c r="I22" i="5"/>
  <c r="M6" i="8"/>
  <c r="N6" i="8" s="1"/>
  <c r="L14" i="8"/>
  <c r="M31" i="8"/>
  <c r="N31" i="8" s="1"/>
  <c r="L42" i="8"/>
  <c r="P47" i="8"/>
  <c r="L51" i="8"/>
  <c r="L10" i="8"/>
  <c r="P15" i="8"/>
  <c r="J57" i="8"/>
  <c r="L27" i="8"/>
  <c r="P37" i="8"/>
  <c r="P40" i="8"/>
  <c r="M41" i="8"/>
  <c r="N41" i="8" s="1"/>
  <c r="Q22" i="7"/>
  <c r="E22" i="5" s="1"/>
  <c r="L29" i="8"/>
  <c r="P19" i="8"/>
  <c r="P16" i="8"/>
  <c r="L18" i="8"/>
  <c r="O54" i="8"/>
  <c r="P35" i="8"/>
  <c r="L31" i="8"/>
  <c r="P46" i="8"/>
  <c r="M51" i="8"/>
  <c r="N51" i="8" s="1"/>
  <c r="P28" i="8"/>
  <c r="M46" i="8"/>
  <c r="N46" i="8" s="1"/>
  <c r="M44" i="8"/>
  <c r="N44" i="8" s="1"/>
  <c r="M47" i="8"/>
  <c r="N47" i="8" s="1"/>
  <c r="M35" i="8"/>
  <c r="N35" i="8" s="1"/>
  <c r="M45" i="8"/>
  <c r="N45" i="8" s="1"/>
  <c r="P44" i="8"/>
  <c r="M49" i="8"/>
  <c r="N49" i="8" s="1"/>
  <c r="M48" i="8"/>
  <c r="N48" i="8" s="1"/>
  <c r="P30" i="8"/>
  <c r="P33" i="8"/>
  <c r="M42" i="8"/>
  <c r="N42" i="8" s="1"/>
  <c r="M25" i="8"/>
  <c r="N25" i="8" s="1"/>
  <c r="M38" i="8"/>
  <c r="N38" i="8" s="1"/>
  <c r="M32" i="8"/>
  <c r="N32" i="8" s="1"/>
  <c r="M33" i="8"/>
  <c r="N33" i="8" s="1"/>
  <c r="M37" i="8"/>
  <c r="N37" i="8" s="1"/>
  <c r="P42" i="8"/>
  <c r="L35" i="8"/>
  <c r="P49" i="8"/>
  <c r="M50" i="8"/>
  <c r="N50" i="8" s="1"/>
  <c r="M15" i="8"/>
  <c r="N15" i="8" s="1"/>
  <c r="L15" i="8"/>
  <c r="L13" i="8"/>
  <c r="L19" i="8"/>
  <c r="L21" i="8"/>
  <c r="M18" i="8"/>
  <c r="N18" i="8" s="1"/>
  <c r="L8" i="8"/>
  <c r="L11" i="8"/>
  <c r="P7" i="8"/>
  <c r="M14" i="8"/>
  <c r="N14" i="8" s="1"/>
  <c r="M13" i="8"/>
  <c r="N13" i="8" s="1"/>
  <c r="P11" i="8"/>
  <c r="P9" i="8"/>
  <c r="P14" i="8"/>
  <c r="P13" i="8"/>
  <c r="M22" i="7"/>
  <c r="N22" i="7" s="1"/>
  <c r="D57" i="7"/>
  <c r="D55" i="7"/>
  <c r="C57" i="7"/>
  <c r="K54" i="7"/>
  <c r="Q54" i="7" s="1"/>
  <c r="J22" i="5" s="1"/>
  <c r="J57" i="7"/>
  <c r="G6" i="5" s="1"/>
  <c r="M54" i="7"/>
  <c r="N54" i="7" s="1"/>
  <c r="E54" i="7"/>
  <c r="E55" i="7" s="1"/>
  <c r="F57" i="7"/>
  <c r="C6" i="5" s="1"/>
  <c r="P22" i="7"/>
  <c r="E23" i="7"/>
  <c r="H54" i="7"/>
  <c r="H57" i="7" s="1"/>
  <c r="C74" i="7"/>
  <c r="G57" i="7"/>
  <c r="D6" i="5" s="1"/>
  <c r="O57" i="7"/>
  <c r="L47" i="8"/>
  <c r="M8" i="8"/>
  <c r="N8" i="8" s="1"/>
  <c r="M12" i="8"/>
  <c r="N12" i="8" s="1"/>
  <c r="M7" i="8"/>
  <c r="N7" i="8" s="1"/>
  <c r="P26" i="8"/>
  <c r="L45" i="8"/>
  <c r="L37" i="8"/>
  <c r="L40" i="8"/>
  <c r="D23" i="7"/>
  <c r="P54" i="7"/>
  <c r="I57" i="7"/>
  <c r="O34" i="6"/>
  <c r="O45" i="6"/>
  <c r="O39" i="6"/>
  <c r="O52" i="6"/>
  <c r="O26" i="6"/>
  <c r="K57" i="10" l="1"/>
  <c r="Q57" i="10" s="1"/>
  <c r="E57" i="10"/>
  <c r="L22" i="10"/>
  <c r="E23" i="10"/>
  <c r="E55" i="10"/>
  <c r="L54" i="10"/>
  <c r="E6" i="5"/>
  <c r="Q54" i="8"/>
  <c r="O57" i="8"/>
  <c r="H57" i="8"/>
  <c r="Q22" i="8"/>
  <c r="P54" i="8"/>
  <c r="D55" i="8"/>
  <c r="E55" i="8"/>
  <c r="D57" i="8"/>
  <c r="M22" i="8"/>
  <c r="N22" i="8" s="1"/>
  <c r="D23" i="8"/>
  <c r="B6" i="5"/>
  <c r="N22" i="5"/>
  <c r="E57" i="8"/>
  <c r="L54" i="8"/>
  <c r="G57" i="8"/>
  <c r="L22" i="8"/>
  <c r="I57" i="8"/>
  <c r="D58" i="7"/>
  <c r="P57" i="7"/>
  <c r="K57" i="7"/>
  <c r="Q57" i="7" s="1"/>
  <c r="O22" i="5" s="1"/>
  <c r="L54" i="7"/>
  <c r="J6" i="5" s="1"/>
  <c r="E57" i="7"/>
  <c r="E58" i="7" s="1"/>
  <c r="L22" i="7"/>
  <c r="I6" i="5" s="1"/>
  <c r="M57" i="7"/>
  <c r="C57" i="8"/>
  <c r="P22" i="8"/>
  <c r="K57" i="8"/>
  <c r="M54" i="8"/>
  <c r="N54" i="8" s="1"/>
  <c r="E23" i="8"/>
  <c r="F57" i="8"/>
  <c r="O51" i="6"/>
  <c r="O50" i="6"/>
  <c r="O49" i="6"/>
  <c r="O25" i="6"/>
  <c r="O42" i="6"/>
  <c r="O41" i="6"/>
  <c r="O33" i="6"/>
  <c r="O48" i="6"/>
  <c r="O47" i="6"/>
  <c r="O38" i="6"/>
  <c r="O37" i="6"/>
  <c r="O36" i="6"/>
  <c r="O35" i="6"/>
  <c r="O40" i="6"/>
  <c r="O53" i="6"/>
  <c r="O43" i="6"/>
  <c r="J43" i="6"/>
  <c r="I43" i="6"/>
  <c r="G43" i="6"/>
  <c r="F43" i="6"/>
  <c r="D43" i="6"/>
  <c r="C43" i="6"/>
  <c r="J53" i="6"/>
  <c r="I53" i="6"/>
  <c r="G53" i="6"/>
  <c r="F53" i="6"/>
  <c r="D53" i="6"/>
  <c r="C53" i="6"/>
  <c r="J40" i="6"/>
  <c r="I40" i="6"/>
  <c r="G40" i="6"/>
  <c r="F40" i="6"/>
  <c r="D40" i="6"/>
  <c r="C40" i="6"/>
  <c r="J39" i="6"/>
  <c r="I39" i="6"/>
  <c r="G39" i="6"/>
  <c r="F39" i="6"/>
  <c r="D39" i="6"/>
  <c r="C39" i="6"/>
  <c r="P39" i="6" s="1"/>
  <c r="J52" i="6"/>
  <c r="I52" i="6"/>
  <c r="G52" i="6"/>
  <c r="F52" i="6"/>
  <c r="D52" i="6"/>
  <c r="C52" i="6"/>
  <c r="P52" i="6" s="1"/>
  <c r="J51" i="6"/>
  <c r="I51" i="6"/>
  <c r="G51" i="6"/>
  <c r="D51" i="6"/>
  <c r="C51" i="6"/>
  <c r="J50" i="6"/>
  <c r="I50" i="6"/>
  <c r="G50" i="6"/>
  <c r="F50" i="6"/>
  <c r="D50" i="6"/>
  <c r="C50" i="6"/>
  <c r="J49" i="6"/>
  <c r="I49" i="6"/>
  <c r="G49" i="6"/>
  <c r="F49" i="6"/>
  <c r="D49" i="6"/>
  <c r="C49" i="6"/>
  <c r="J26" i="6"/>
  <c r="I26" i="6"/>
  <c r="G26" i="6"/>
  <c r="F26" i="6"/>
  <c r="D26" i="6"/>
  <c r="C26" i="6"/>
  <c r="P26" i="6" s="1"/>
  <c r="J25" i="6"/>
  <c r="I25" i="6"/>
  <c r="G25" i="6"/>
  <c r="F25" i="6"/>
  <c r="D25" i="6"/>
  <c r="C25" i="6"/>
  <c r="J42" i="6"/>
  <c r="I42" i="6"/>
  <c r="G42" i="6"/>
  <c r="F42" i="6"/>
  <c r="D42" i="6"/>
  <c r="C42" i="6"/>
  <c r="J41" i="6"/>
  <c r="I41" i="6"/>
  <c r="G41" i="6"/>
  <c r="F41" i="6"/>
  <c r="D41" i="6"/>
  <c r="C41" i="6"/>
  <c r="J34" i="6"/>
  <c r="I34" i="6"/>
  <c r="G34" i="6"/>
  <c r="F34" i="6"/>
  <c r="D34" i="6"/>
  <c r="C34" i="6"/>
  <c r="P34" i="6" s="1"/>
  <c r="J33" i="6"/>
  <c r="I33" i="6"/>
  <c r="G33" i="6"/>
  <c r="F33" i="6"/>
  <c r="D33" i="6"/>
  <c r="C33" i="6"/>
  <c r="J48" i="6"/>
  <c r="I48" i="6"/>
  <c r="G48" i="6"/>
  <c r="F48" i="6"/>
  <c r="D48" i="6"/>
  <c r="C48" i="6"/>
  <c r="J47" i="6"/>
  <c r="I47" i="6"/>
  <c r="G47" i="6"/>
  <c r="F47" i="6"/>
  <c r="D47" i="6"/>
  <c r="C47" i="6"/>
  <c r="J38" i="6"/>
  <c r="I38" i="6"/>
  <c r="G38" i="6"/>
  <c r="F38" i="6"/>
  <c r="D38" i="6"/>
  <c r="C38" i="6"/>
  <c r="J37" i="6"/>
  <c r="I37" i="6"/>
  <c r="G37" i="6"/>
  <c r="F37" i="6"/>
  <c r="D37" i="6"/>
  <c r="C37" i="6"/>
  <c r="J36" i="6"/>
  <c r="I36" i="6"/>
  <c r="G36" i="6"/>
  <c r="F36" i="6"/>
  <c r="D36" i="6"/>
  <c r="C36" i="6"/>
  <c r="J35" i="6"/>
  <c r="I35" i="6"/>
  <c r="G35" i="6"/>
  <c r="F35" i="6"/>
  <c r="D35" i="6"/>
  <c r="C35" i="6"/>
  <c r="J46" i="6"/>
  <c r="I46" i="6"/>
  <c r="G46" i="6"/>
  <c r="F46" i="6"/>
  <c r="D46" i="6"/>
  <c r="C46" i="6"/>
  <c r="J45" i="6"/>
  <c r="I45" i="6"/>
  <c r="G45" i="6"/>
  <c r="F45" i="6"/>
  <c r="D45" i="6"/>
  <c r="C45" i="6"/>
  <c r="P45" i="6" s="1"/>
  <c r="J32" i="6"/>
  <c r="I32" i="6"/>
  <c r="G32" i="6"/>
  <c r="F32" i="6"/>
  <c r="D32" i="6"/>
  <c r="C32" i="6"/>
  <c r="O46" i="6"/>
  <c r="O44" i="6"/>
  <c r="J44" i="6"/>
  <c r="I44" i="6"/>
  <c r="G44" i="6"/>
  <c r="F44" i="6"/>
  <c r="D44" i="6"/>
  <c r="C44" i="6"/>
  <c r="O32" i="6"/>
  <c r="O31" i="6"/>
  <c r="J31" i="6"/>
  <c r="I31" i="6"/>
  <c r="G31" i="6"/>
  <c r="F31" i="6"/>
  <c r="D31" i="6"/>
  <c r="C31" i="6"/>
  <c r="O28" i="6"/>
  <c r="J28" i="6"/>
  <c r="I28" i="6"/>
  <c r="G28" i="6"/>
  <c r="F28" i="6"/>
  <c r="D28" i="6"/>
  <c r="C28" i="6"/>
  <c r="O27" i="6"/>
  <c r="J27" i="6"/>
  <c r="I27" i="6"/>
  <c r="G27" i="6"/>
  <c r="F27" i="6"/>
  <c r="D27" i="6"/>
  <c r="C27" i="6"/>
  <c r="J30" i="6"/>
  <c r="I30" i="6"/>
  <c r="G30" i="6"/>
  <c r="F30" i="6"/>
  <c r="D30" i="6"/>
  <c r="C30" i="6"/>
  <c r="O30" i="6"/>
  <c r="O29" i="6"/>
  <c r="J29" i="6"/>
  <c r="I29" i="6"/>
  <c r="G29" i="6"/>
  <c r="F29" i="6"/>
  <c r="D29" i="6"/>
  <c r="C29" i="6"/>
  <c r="O17" i="6"/>
  <c r="O14" i="6"/>
  <c r="J14" i="6"/>
  <c r="I14" i="6"/>
  <c r="G14" i="6"/>
  <c r="F14" i="6"/>
  <c r="D14" i="6"/>
  <c r="C14" i="6"/>
  <c r="J17" i="6"/>
  <c r="I17" i="6"/>
  <c r="G17" i="6"/>
  <c r="F17" i="6"/>
  <c r="D17" i="6"/>
  <c r="C17" i="6"/>
  <c r="O21" i="6"/>
  <c r="J21" i="6"/>
  <c r="I21" i="6"/>
  <c r="G21" i="6"/>
  <c r="F21" i="6"/>
  <c r="D21" i="6"/>
  <c r="C21" i="6"/>
  <c r="O20" i="6"/>
  <c r="O19" i="6"/>
  <c r="O18" i="6"/>
  <c r="J20" i="6"/>
  <c r="I20" i="6"/>
  <c r="G20" i="6"/>
  <c r="F20" i="6"/>
  <c r="D20" i="6"/>
  <c r="C20" i="6"/>
  <c r="J19" i="6"/>
  <c r="I19" i="6"/>
  <c r="G19" i="6"/>
  <c r="F19" i="6"/>
  <c r="D19" i="6"/>
  <c r="C19" i="6"/>
  <c r="J18" i="6"/>
  <c r="I18" i="6"/>
  <c r="G18" i="6"/>
  <c r="F18" i="6"/>
  <c r="D18" i="6"/>
  <c r="C18" i="6"/>
  <c r="O11" i="6"/>
  <c r="O10" i="6"/>
  <c r="J11" i="6"/>
  <c r="I11" i="6"/>
  <c r="G11" i="6"/>
  <c r="F11" i="6"/>
  <c r="D11" i="6"/>
  <c r="C11" i="6"/>
  <c r="J10" i="6"/>
  <c r="I10" i="6"/>
  <c r="G10" i="6"/>
  <c r="F10" i="6"/>
  <c r="D10" i="6"/>
  <c r="C10" i="6"/>
  <c r="O15" i="6"/>
  <c r="O16" i="6"/>
  <c r="J16" i="6"/>
  <c r="I16" i="6"/>
  <c r="G16" i="6"/>
  <c r="F16" i="6"/>
  <c r="D16" i="6"/>
  <c r="C16" i="6"/>
  <c r="J15" i="6"/>
  <c r="I15" i="6"/>
  <c r="G15" i="6"/>
  <c r="F15" i="6"/>
  <c r="D15" i="6"/>
  <c r="C15" i="6"/>
  <c r="O12" i="6"/>
  <c r="J12" i="6"/>
  <c r="I12" i="6"/>
  <c r="G12" i="6"/>
  <c r="F12" i="6"/>
  <c r="D12" i="6"/>
  <c r="C12" i="6"/>
  <c r="O7" i="6"/>
  <c r="J7" i="6"/>
  <c r="I7" i="6"/>
  <c r="G7" i="6"/>
  <c r="F7" i="6"/>
  <c r="D7" i="6"/>
  <c r="C7" i="6"/>
  <c r="O6" i="6"/>
  <c r="J6" i="6"/>
  <c r="I6" i="6"/>
  <c r="G6" i="6"/>
  <c r="F6" i="6"/>
  <c r="D6" i="6"/>
  <c r="C6" i="6"/>
  <c r="O9" i="6"/>
  <c r="J9" i="6"/>
  <c r="I9" i="6"/>
  <c r="G9" i="6"/>
  <c r="F9" i="6"/>
  <c r="D9" i="6"/>
  <c r="C9" i="6"/>
  <c r="O8" i="6"/>
  <c r="J8" i="6"/>
  <c r="I8" i="6"/>
  <c r="G8" i="6"/>
  <c r="F8" i="6"/>
  <c r="D8" i="6"/>
  <c r="C8" i="6"/>
  <c r="O13" i="6"/>
  <c r="J13" i="6"/>
  <c r="I13" i="6"/>
  <c r="G13" i="6"/>
  <c r="F13" i="6"/>
  <c r="D13" i="6"/>
  <c r="C13" i="6"/>
  <c r="E58" i="10" l="1"/>
  <c r="L57" i="10"/>
  <c r="Q57" i="8"/>
  <c r="P57" i="8"/>
  <c r="L57" i="8"/>
  <c r="D58" i="8"/>
  <c r="L6" i="5"/>
  <c r="N57" i="7"/>
  <c r="M6" i="5" s="1"/>
  <c r="P50" i="6"/>
  <c r="E58" i="8"/>
  <c r="L57" i="7"/>
  <c r="K6" i="5" s="1"/>
  <c r="M57" i="8"/>
  <c r="N57" i="8" s="1"/>
  <c r="G54" i="6"/>
  <c r="I54" i="6"/>
  <c r="O54" i="6"/>
  <c r="J54" i="6"/>
  <c r="P40" i="6"/>
  <c r="C54" i="6"/>
  <c r="D54" i="6"/>
  <c r="P43" i="6"/>
  <c r="P37" i="6"/>
  <c r="P46" i="6"/>
  <c r="P36" i="6"/>
  <c r="P48" i="6"/>
  <c r="P42" i="6"/>
  <c r="P49" i="6"/>
  <c r="P44" i="6"/>
  <c r="P25" i="6"/>
  <c r="P51" i="6"/>
  <c r="P38" i="6"/>
  <c r="P41" i="6"/>
  <c r="P31" i="6"/>
  <c r="P53" i="6"/>
  <c r="P15" i="6"/>
  <c r="M16" i="6"/>
  <c r="N16" i="6" s="1"/>
  <c r="M11" i="6"/>
  <c r="N11" i="6" s="1"/>
  <c r="P18" i="6"/>
  <c r="P17" i="6"/>
  <c r="P27" i="6"/>
  <c r="P33" i="6"/>
  <c r="M7" i="6"/>
  <c r="N7" i="6" s="1"/>
  <c r="P12" i="6"/>
  <c r="P21" i="6"/>
  <c r="P28" i="6"/>
  <c r="P35" i="6"/>
  <c r="P32" i="6"/>
  <c r="P30" i="6"/>
  <c r="F22" i="6"/>
  <c r="C22" i="6"/>
  <c r="P20" i="6"/>
  <c r="D22" i="6"/>
  <c r="O22" i="6"/>
  <c r="J22" i="6"/>
  <c r="G22" i="6"/>
  <c r="M20" i="6"/>
  <c r="N20" i="6" s="1"/>
  <c r="P19" i="6"/>
  <c r="I22" i="6"/>
  <c r="P6" i="6"/>
  <c r="P10" i="6"/>
  <c r="M36" i="6"/>
  <c r="N36" i="6" s="1"/>
  <c r="M32" i="6"/>
  <c r="N32" i="6" s="1"/>
  <c r="P9" i="6"/>
  <c r="M9" i="6"/>
  <c r="N9" i="6" s="1"/>
  <c r="P14" i="6"/>
  <c r="P47" i="6"/>
  <c r="M37" i="6"/>
  <c r="N37" i="6" s="1"/>
  <c r="M6" i="6"/>
  <c r="N6" i="6" s="1"/>
  <c r="M31" i="6"/>
  <c r="N31" i="6" s="1"/>
  <c r="M13" i="6"/>
  <c r="N13" i="6" s="1"/>
  <c r="M15" i="6"/>
  <c r="N15" i="6" s="1"/>
  <c r="M30" i="6"/>
  <c r="N30" i="6" s="1"/>
  <c r="L10" i="6"/>
  <c r="M38" i="6"/>
  <c r="N38" i="6" s="1"/>
  <c r="M52" i="6"/>
  <c r="N52" i="6" s="1"/>
  <c r="M43" i="6"/>
  <c r="N43" i="6" s="1"/>
  <c r="M8" i="6"/>
  <c r="N8" i="6" s="1"/>
  <c r="M47" i="6"/>
  <c r="N47" i="6" s="1"/>
  <c r="M21" i="6"/>
  <c r="N21" i="6" s="1"/>
  <c r="L44" i="6"/>
  <c r="M46" i="6"/>
  <c r="N46" i="6" s="1"/>
  <c r="L18" i="6"/>
  <c r="M19" i="6"/>
  <c r="N19" i="6" s="1"/>
  <c r="M34" i="6"/>
  <c r="N34" i="6" s="1"/>
  <c r="M26" i="6"/>
  <c r="N26" i="6" s="1"/>
  <c r="M53" i="6"/>
  <c r="N53" i="6" s="1"/>
  <c r="P13" i="6"/>
  <c r="P7" i="6"/>
  <c r="M12" i="6"/>
  <c r="N12" i="6" s="1"/>
  <c r="L15" i="6"/>
  <c r="P16" i="6"/>
  <c r="M48" i="6"/>
  <c r="N48" i="6" s="1"/>
  <c r="M41" i="6"/>
  <c r="N41" i="6" s="1"/>
  <c r="M14" i="6"/>
  <c r="N14" i="6" s="1"/>
  <c r="M17" i="6"/>
  <c r="N17" i="6" s="1"/>
  <c r="M28" i="6"/>
  <c r="N28" i="6" s="1"/>
  <c r="M45" i="6"/>
  <c r="N45" i="6" s="1"/>
  <c r="M35" i="6"/>
  <c r="N35" i="6" s="1"/>
  <c r="M33" i="6"/>
  <c r="N33" i="6" s="1"/>
  <c r="M42" i="6"/>
  <c r="N42" i="6" s="1"/>
  <c r="M49" i="6"/>
  <c r="N49" i="6" s="1"/>
  <c r="M39" i="6"/>
  <c r="N39" i="6" s="1"/>
  <c r="M10" i="6"/>
  <c r="N10" i="6" s="1"/>
  <c r="P11" i="6"/>
  <c r="M18" i="6"/>
  <c r="N18" i="6" s="1"/>
  <c r="M29" i="6"/>
  <c r="N29" i="6" s="1"/>
  <c r="M27" i="6"/>
  <c r="N27" i="6" s="1"/>
  <c r="M44" i="6"/>
  <c r="N44" i="6" s="1"/>
  <c r="M25" i="6"/>
  <c r="N25" i="6" s="1"/>
  <c r="M50" i="6"/>
  <c r="N50" i="6" s="1"/>
  <c r="M40" i="6"/>
  <c r="N40" i="6" s="1"/>
  <c r="P8" i="6"/>
  <c r="P29" i="6"/>
  <c r="P54" i="6" l="1"/>
  <c r="O57" i="6"/>
  <c r="J57" i="6"/>
  <c r="D57" i="6"/>
  <c r="D55" i="6"/>
  <c r="G57" i="6"/>
  <c r="D23" i="6"/>
  <c r="C57" i="6"/>
  <c r="P22" i="6"/>
  <c r="I57" i="6"/>
  <c r="M22" i="6"/>
  <c r="N22" i="6" s="1"/>
  <c r="P57" i="6" l="1"/>
  <c r="D58" i="6"/>
  <c r="F51" i="6" l="1"/>
  <c r="O22" i="1"/>
  <c r="C70" i="1" s="1"/>
  <c r="D22" i="1"/>
  <c r="F22" i="1"/>
  <c r="G22" i="1"/>
  <c r="I22" i="1"/>
  <c r="J22" i="1"/>
  <c r="C22" i="1"/>
  <c r="B21" i="5" s="1"/>
  <c r="B33" i="5" s="1"/>
  <c r="H51" i="6"/>
  <c r="H50" i="6"/>
  <c r="H46" i="6"/>
  <c r="H48" i="6"/>
  <c r="H52" i="6"/>
  <c r="H38" i="6"/>
  <c r="H33" i="6"/>
  <c r="H53" i="6"/>
  <c r="H45" i="6"/>
  <c r="H39" i="6"/>
  <c r="H42" i="6"/>
  <c r="H43" i="6"/>
  <c r="H36" i="6"/>
  <c r="H41" i="6"/>
  <c r="H47" i="6"/>
  <c r="H30" i="6"/>
  <c r="H26" i="6"/>
  <c r="K35" i="6"/>
  <c r="H35" i="6"/>
  <c r="H32" i="6"/>
  <c r="H37" i="6"/>
  <c r="H40" i="6"/>
  <c r="H34" i="6"/>
  <c r="H27" i="6"/>
  <c r="H28" i="6"/>
  <c r="H29" i="6"/>
  <c r="H44" i="6"/>
  <c r="H31" i="6"/>
  <c r="H25" i="6"/>
  <c r="H49" i="6"/>
  <c r="H20" i="6"/>
  <c r="H21" i="6"/>
  <c r="H18" i="6"/>
  <c r="H19" i="6"/>
  <c r="H16" i="6"/>
  <c r="H17" i="6"/>
  <c r="H15" i="6"/>
  <c r="H9" i="6"/>
  <c r="H14" i="6"/>
  <c r="H13" i="6"/>
  <c r="H10" i="6"/>
  <c r="H12" i="6"/>
  <c r="H7" i="6"/>
  <c r="H6" i="6"/>
  <c r="H11" i="6"/>
  <c r="K8" i="6"/>
  <c r="H8" i="6"/>
  <c r="C21" i="5" l="1"/>
  <c r="C33" i="5" s="1"/>
  <c r="E19" i="6"/>
  <c r="K25" i="6"/>
  <c r="K37" i="6"/>
  <c r="K48" i="6"/>
  <c r="E50" i="6"/>
  <c r="E16" i="6"/>
  <c r="E7" i="6"/>
  <c r="E49" i="6"/>
  <c r="K27" i="6"/>
  <c r="E40" i="6"/>
  <c r="K47" i="6"/>
  <c r="E36" i="6"/>
  <c r="K33" i="6"/>
  <c r="E52" i="6"/>
  <c r="E12" i="6"/>
  <c r="L12" i="6" s="1"/>
  <c r="K10" i="6"/>
  <c r="K20" i="6"/>
  <c r="K44" i="6"/>
  <c r="E15" i="6"/>
  <c r="E11" i="6"/>
  <c r="K49" i="6"/>
  <c r="E31" i="6"/>
  <c r="K40" i="6"/>
  <c r="E32" i="6"/>
  <c r="K36" i="6"/>
  <c r="E42" i="6"/>
  <c r="K52" i="6"/>
  <c r="E46" i="6"/>
  <c r="E44" i="6"/>
  <c r="E39" i="6"/>
  <c r="L39" i="6" s="1"/>
  <c r="K15" i="6"/>
  <c r="E17" i="6"/>
  <c r="L17" i="6" s="1"/>
  <c r="E28" i="6"/>
  <c r="K39" i="6"/>
  <c r="E8" i="6"/>
  <c r="E9" i="6"/>
  <c r="K28" i="6"/>
  <c r="E34" i="6"/>
  <c r="K30" i="6"/>
  <c r="E41" i="6"/>
  <c r="K53" i="6"/>
  <c r="Q53" i="6" s="1"/>
  <c r="E38" i="6"/>
  <c r="E35" i="6"/>
  <c r="K18" i="6"/>
  <c r="E53" i="6"/>
  <c r="L53" i="6" s="1"/>
  <c r="K50" i="6"/>
  <c r="H22" i="6"/>
  <c r="E20" i="6"/>
  <c r="E14" i="6"/>
  <c r="L14" i="6" s="1"/>
  <c r="K31" i="6"/>
  <c r="E29" i="6"/>
  <c r="K32" i="6"/>
  <c r="E26" i="6"/>
  <c r="K42" i="6"/>
  <c r="E45" i="6"/>
  <c r="K46" i="6"/>
  <c r="E51" i="6"/>
  <c r="K51" i="6"/>
  <c r="K43" i="6"/>
  <c r="Q43" i="6" s="1"/>
  <c r="K11" i="6"/>
  <c r="K14" i="6"/>
  <c r="Q14" i="6" s="1"/>
  <c r="E6" i="6"/>
  <c r="K12" i="6"/>
  <c r="Q12" i="6" s="1"/>
  <c r="K9" i="6"/>
  <c r="Q8" i="6" s="1"/>
  <c r="K17" i="6"/>
  <c r="Q17" i="6" s="1"/>
  <c r="K19" i="6"/>
  <c r="E21" i="6"/>
  <c r="L21" i="6" s="1"/>
  <c r="E13" i="6"/>
  <c r="L13" i="6" s="1"/>
  <c r="E25" i="6"/>
  <c r="K34" i="6"/>
  <c r="E37" i="6"/>
  <c r="K41" i="6"/>
  <c r="E43" i="6"/>
  <c r="L43" i="6" s="1"/>
  <c r="K38" i="6"/>
  <c r="E48" i="6"/>
  <c r="M51" i="6"/>
  <c r="N51" i="6" s="1"/>
  <c r="F54" i="6"/>
  <c r="K7" i="6"/>
  <c r="K16" i="6"/>
  <c r="E30" i="6"/>
  <c r="K6" i="6"/>
  <c r="K13" i="6"/>
  <c r="Q13" i="6" s="1"/>
  <c r="K21" i="6"/>
  <c r="Q21" i="6" s="1"/>
  <c r="E18" i="6"/>
  <c r="E10" i="6"/>
  <c r="H54" i="6"/>
  <c r="K29" i="6"/>
  <c r="E27" i="6"/>
  <c r="K26" i="6"/>
  <c r="E47" i="6"/>
  <c r="K45" i="6"/>
  <c r="E33" i="6"/>
  <c r="K22" i="1"/>
  <c r="H22" i="1"/>
  <c r="E22" i="1"/>
  <c r="Q35" i="6" l="1"/>
  <c r="L27" i="6"/>
  <c r="H57" i="6"/>
  <c r="L33" i="6"/>
  <c r="L49" i="6"/>
  <c r="L8" i="6"/>
  <c r="L35" i="6"/>
  <c r="Q29" i="6"/>
  <c r="Q39" i="6"/>
  <c r="L6" i="6"/>
  <c r="E22" i="6"/>
  <c r="Q31" i="6"/>
  <c r="L31" i="6"/>
  <c r="Q44" i="6"/>
  <c r="K54" i="6"/>
  <c r="Q54" i="6" s="1"/>
  <c r="Q25" i="6"/>
  <c r="L29" i="6"/>
  <c r="Q47" i="6"/>
  <c r="E54" i="6"/>
  <c r="E55" i="6" s="1"/>
  <c r="L25" i="6"/>
  <c r="L47" i="6"/>
  <c r="Q6" i="6"/>
  <c r="K22" i="6"/>
  <c r="Q49" i="6"/>
  <c r="Q33" i="6"/>
  <c r="Q27" i="6"/>
  <c r="Q10" i="6"/>
  <c r="Q15" i="6"/>
  <c r="F57" i="6"/>
  <c r="M54" i="6"/>
  <c r="N54" i="6" s="1"/>
  <c r="Q41" i="6"/>
  <c r="Q18" i="6"/>
  <c r="L41" i="6"/>
  <c r="I26" i="2"/>
  <c r="J26" i="2"/>
  <c r="K26" i="2"/>
  <c r="L26" i="2"/>
  <c r="L60" i="2" s="1"/>
  <c r="M26" i="2"/>
  <c r="M60" i="2" s="1"/>
  <c r="N26" i="2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P42" i="2" s="1"/>
  <c r="O43" i="2"/>
  <c r="P43" i="2" s="1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O50" i="2"/>
  <c r="P50" i="2" s="1"/>
  <c r="O51" i="2"/>
  <c r="P51" i="2" s="1"/>
  <c r="O52" i="2"/>
  <c r="P52" i="2" s="1"/>
  <c r="O53" i="2"/>
  <c r="P53" i="2" s="1"/>
  <c r="O54" i="2"/>
  <c r="P54" i="2" s="1"/>
  <c r="O55" i="2"/>
  <c r="P55" i="2" s="1"/>
  <c r="O56" i="2"/>
  <c r="P56" i="2" s="1"/>
  <c r="O57" i="2"/>
  <c r="P57" i="2" s="1"/>
  <c r="O30" i="2"/>
  <c r="P30" i="2" s="1"/>
  <c r="O29" i="2"/>
  <c r="P29" i="2" s="1"/>
  <c r="P20" i="2"/>
  <c r="O5" i="2"/>
  <c r="P5" i="2" s="1"/>
  <c r="K58" i="2"/>
  <c r="J58" i="2"/>
  <c r="B58" i="2"/>
  <c r="I58" i="2"/>
  <c r="M57" i="6" l="1"/>
  <c r="N57" i="6" s="1"/>
  <c r="L22" i="6"/>
  <c r="E57" i="6"/>
  <c r="E58" i="6" s="1"/>
  <c r="E23" i="6"/>
  <c r="L54" i="6"/>
  <c r="Q22" i="6"/>
  <c r="K57" i="6"/>
  <c r="Q57" i="6" s="1"/>
  <c r="F60" i="2"/>
  <c r="G60" i="2"/>
  <c r="C60" i="2"/>
  <c r="H60" i="2"/>
  <c r="I60" i="2"/>
  <c r="O26" i="2"/>
  <c r="E60" i="2"/>
  <c r="D60" i="2"/>
  <c r="K60" i="2"/>
  <c r="J60" i="2"/>
  <c r="B26" i="2"/>
  <c r="B60" i="2" s="1"/>
  <c r="B63" i="2" s="1"/>
  <c r="P26" i="2" l="1"/>
  <c r="L57" i="6"/>
  <c r="O58" i="2"/>
  <c r="P58" i="2" s="1"/>
  <c r="O60" i="2" l="1"/>
  <c r="P60" i="2" s="1"/>
  <c r="N12" i="3" l="1"/>
  <c r="F18" i="3"/>
  <c r="L18" i="3"/>
  <c r="K18" i="3"/>
  <c r="J18" i="3"/>
  <c r="E18" i="3"/>
  <c r="D18" i="3"/>
  <c r="C18" i="3"/>
  <c r="N17" i="3"/>
  <c r="N16" i="3"/>
  <c r="N15" i="3"/>
  <c r="N14" i="3"/>
  <c r="N13" i="3"/>
  <c r="N11" i="3"/>
  <c r="M18" i="3"/>
  <c r="N9" i="3"/>
  <c r="N8" i="3"/>
  <c r="N7" i="3"/>
  <c r="N6" i="3"/>
  <c r="I57" i="1"/>
  <c r="F17" i="5" s="1"/>
  <c r="C54" i="1"/>
  <c r="C57" i="1" l="1"/>
  <c r="B5" i="5" s="1"/>
  <c r="B17" i="5" s="1"/>
  <c r="G21" i="5"/>
  <c r="M54" i="1"/>
  <c r="N54" i="1" s="1"/>
  <c r="E23" i="1"/>
  <c r="O54" i="1"/>
  <c r="H21" i="5" s="1"/>
  <c r="H33" i="5" s="1"/>
  <c r="G57" i="1"/>
  <c r="D5" i="5" s="1"/>
  <c r="D17" i="5" s="1"/>
  <c r="M22" i="1"/>
  <c r="N22" i="1" s="1"/>
  <c r="D23" i="1"/>
  <c r="N18" i="3"/>
  <c r="N10" i="3"/>
  <c r="J57" i="1"/>
  <c r="G5" i="5" s="1"/>
  <c r="G17" i="5" s="1"/>
  <c r="D55" i="1"/>
  <c r="D57" i="1"/>
  <c r="D58" i="1" s="1"/>
  <c r="P22" i="1"/>
  <c r="D21" i="5" s="1"/>
  <c r="D33" i="5" s="1"/>
  <c r="F57" i="1"/>
  <c r="M21" i="5" l="1"/>
  <c r="M33" i="5" s="1"/>
  <c r="L21" i="5"/>
  <c r="L33" i="5" s="1"/>
  <c r="G33" i="5"/>
  <c r="J36" i="5" s="1"/>
  <c r="H17" i="5"/>
  <c r="I21" i="5"/>
  <c r="I33" i="5" s="1"/>
  <c r="P54" i="1"/>
  <c r="C71" i="1"/>
  <c r="C74" i="1" s="1"/>
  <c r="M57" i="1"/>
  <c r="N57" i="1" s="1"/>
  <c r="M5" i="5" s="1"/>
  <c r="M17" i="5" s="1"/>
  <c r="C5" i="5"/>
  <c r="C17" i="5" s="1"/>
  <c r="Q54" i="1"/>
  <c r="J21" i="5" s="1"/>
  <c r="J33" i="5" s="1"/>
  <c r="Q22" i="1"/>
  <c r="E21" i="5" s="1"/>
  <c r="E33" i="5" s="1"/>
  <c r="L22" i="1"/>
  <c r="I5" i="5" s="1"/>
  <c r="I17" i="5" s="1"/>
  <c r="K57" i="1"/>
  <c r="H57" i="1"/>
  <c r="L54" i="1"/>
  <c r="J5" i="5" s="1"/>
  <c r="J17" i="5" s="1"/>
  <c r="E55" i="1"/>
  <c r="O57" i="1"/>
  <c r="E57" i="1"/>
  <c r="E58" i="1" s="1"/>
  <c r="N21" i="5" l="1"/>
  <c r="N33" i="5" s="1"/>
  <c r="E5" i="5"/>
  <c r="E17" i="5" s="1"/>
  <c r="L5" i="5"/>
  <c r="L17" i="5" s="1"/>
  <c r="Q57" i="1"/>
  <c r="O21" i="5" s="1"/>
  <c r="O33" i="5" s="1"/>
  <c r="P57" i="1"/>
  <c r="L57" i="1"/>
  <c r="K5" i="5" s="1"/>
  <c r="K17" i="5" s="1"/>
</calcChain>
</file>

<file path=xl/sharedStrings.xml><?xml version="1.0" encoding="utf-8"?>
<sst xmlns="http://schemas.openxmlformats.org/spreadsheetml/2006/main" count="1777" uniqueCount="182">
  <si>
    <t>ZEEFLORA LIMITED</t>
  </si>
  <si>
    <t>PERFORMANCE PER VARIETY ANALYSIS</t>
  </si>
  <si>
    <t>Description</t>
  </si>
  <si>
    <t>Production -Qty</t>
  </si>
  <si>
    <t>Rejection</t>
  </si>
  <si>
    <t>Sellable / Available for Sale</t>
  </si>
  <si>
    <t>Sales - Qty Export</t>
  </si>
  <si>
    <t>Sales - Qty Local</t>
  </si>
  <si>
    <t xml:space="preserve">Total Sales - Qty </t>
  </si>
  <si>
    <t>Export Sales -KES</t>
  </si>
  <si>
    <t>Local Sales KES</t>
  </si>
  <si>
    <t>Total Sales- KES</t>
  </si>
  <si>
    <t>% Export Sales</t>
  </si>
  <si>
    <t>Average Export Price KES</t>
  </si>
  <si>
    <t>Average Export Price USD</t>
  </si>
  <si>
    <r>
      <t xml:space="preserve">Area </t>
    </r>
    <r>
      <rPr>
        <b/>
        <sz val="8"/>
        <color rgb="FF000000"/>
        <rFont val="Arial"/>
        <family val="2"/>
      </rPr>
      <t>SQM</t>
    </r>
  </si>
  <si>
    <t>Production Per SQM</t>
  </si>
  <si>
    <t>Revenue / SQM- USD</t>
  </si>
  <si>
    <t>STANDARD ROSES</t>
  </si>
  <si>
    <t xml:space="preserve">   Rose Ace Cerise </t>
  </si>
  <si>
    <t xml:space="preserve">   Rose Athena White </t>
  </si>
  <si>
    <t xml:space="preserve">   Rose Celeb Salmon Pink </t>
  </si>
  <si>
    <t xml:space="preserve">   Rose Confidential </t>
  </si>
  <si>
    <t xml:space="preserve">   Rose Copacabana Orange </t>
  </si>
  <si>
    <t xml:space="preserve">   Rose Espana Bi-Color </t>
  </si>
  <si>
    <t xml:space="preserve">   Rose Goldfinch</t>
  </si>
  <si>
    <t xml:space="preserve">   Rose Indigo </t>
  </si>
  <si>
    <t xml:space="preserve">   Rose Jumilia Bicolour Pink </t>
  </si>
  <si>
    <t xml:space="preserve">   Rose Kamala Red </t>
  </si>
  <si>
    <t xml:space="preserve">   Rose Madam Cerise </t>
  </si>
  <si>
    <t xml:space="preserve">   Rose Madam Red </t>
  </si>
  <si>
    <t xml:space="preserve">   Rose Moonwalk Yellow </t>
  </si>
  <si>
    <t xml:space="preserve">   Rose Pegasso White </t>
  </si>
  <si>
    <t xml:space="preserve">   Rose Tiger </t>
  </si>
  <si>
    <t xml:space="preserve">   Rose Trivia Pale Pink </t>
  </si>
  <si>
    <t>SUB TOTAL</t>
  </si>
  <si>
    <t>%</t>
  </si>
  <si>
    <t>SPRAY ROSES</t>
  </si>
  <si>
    <t xml:space="preserve">   Spray Rose Azore </t>
  </si>
  <si>
    <t xml:space="preserve">   Spray Rose Babe Orange </t>
  </si>
  <si>
    <t xml:space="preserve">   Spray Rose Cheyenne</t>
  </si>
  <si>
    <t xml:space="preserve">   Spray Rose Dinara </t>
  </si>
  <si>
    <t xml:space="preserve">   Spray Rose Dominica </t>
  </si>
  <si>
    <t xml:space="preserve">   Spray Rose Eileen </t>
  </si>
  <si>
    <t xml:space="preserve">   Spray Rose Fancy </t>
  </si>
  <si>
    <t xml:space="preserve">   Spray Rose Fire Works Bi-Pink </t>
  </si>
  <si>
    <t xml:space="preserve">   Spray Rose Good Mood </t>
  </si>
  <si>
    <t xml:space="preserve">   Spray Rose Jalita </t>
  </si>
  <si>
    <t xml:space="preserve">   Spray Rose Leila Pink</t>
  </si>
  <si>
    <t xml:space="preserve">   Spray Rose Lianne Pink </t>
  </si>
  <si>
    <t xml:space="preserve">   Spray Rose Marisa Yellow </t>
  </si>
  <si>
    <t xml:space="preserve">   Spray Rose Mirabel </t>
  </si>
  <si>
    <t xml:space="preserve">   Spray Rose Odilia Pink </t>
  </si>
  <si>
    <t xml:space="preserve">   Spray Rose Reflex Bicolour </t>
  </si>
  <si>
    <t xml:space="preserve">   Spray Rose Royal Porcelina Cream</t>
  </si>
  <si>
    <t xml:space="preserve">   Spray Rose Salinero </t>
  </si>
  <si>
    <t xml:space="preserve">   Spray Rose Silver Shadow </t>
  </si>
  <si>
    <t xml:space="preserve">   Spray Rose Snow Bubble </t>
  </si>
  <si>
    <t xml:space="preserve">   Spray Rose Snowflake White</t>
  </si>
  <si>
    <t xml:space="preserve">   Spray Rose Sweet Blossoms </t>
  </si>
  <si>
    <t xml:space="preserve">   Spray Rose Sweet Sara </t>
  </si>
  <si>
    <t xml:space="preserve">   Spray Rose Tarantella Yellow</t>
  </si>
  <si>
    <t xml:space="preserve">   Spray Rose Tessa </t>
  </si>
  <si>
    <t xml:space="preserve">   Spray Rose Trinity Cream Yellow </t>
  </si>
  <si>
    <t xml:space="preserve">   Spray Rose Wedding Party </t>
  </si>
  <si>
    <t xml:space="preserve">   Spray Rose Yellow Babe</t>
  </si>
  <si>
    <t xml:space="preserve">   Spray Rose Zadique </t>
  </si>
  <si>
    <t>Trials</t>
  </si>
  <si>
    <t>GRAND TOTAL</t>
  </si>
  <si>
    <t>Notes</t>
  </si>
  <si>
    <t>Ranked by Revenue / SQM</t>
  </si>
  <si>
    <t>Period</t>
  </si>
  <si>
    <t>% Standard Rose Export Sales</t>
  </si>
  <si>
    <t>% Spray Rose Export Sales</t>
  </si>
  <si>
    <t>% Total Export Sales</t>
  </si>
  <si>
    <t>Total</t>
  </si>
  <si>
    <t>SPRAY &amp; STANDARD</t>
  </si>
  <si>
    <t>Production</t>
  </si>
  <si>
    <t>Area - SQM</t>
  </si>
  <si>
    <t>Production/ Sqm</t>
  </si>
  <si>
    <t>Revenue / SQM -USD</t>
  </si>
  <si>
    <t>Revenue / SQM USD</t>
  </si>
  <si>
    <t xml:space="preserve">ACTUAL SALES IN RESPECTIVE CURRENCIES </t>
  </si>
  <si>
    <t>EUR</t>
  </si>
  <si>
    <t>USD</t>
  </si>
  <si>
    <t>KSH</t>
  </si>
  <si>
    <t>Ledger Sales Ksh</t>
  </si>
  <si>
    <r>
      <t xml:space="preserve">% </t>
    </r>
    <r>
      <rPr>
        <b/>
        <sz val="14"/>
        <color rgb="FF000000"/>
        <rFont val="Calibri"/>
        <family val="2"/>
      </rPr>
      <t>↑↓</t>
    </r>
  </si>
  <si>
    <t>Sales</t>
  </si>
  <si>
    <t xml:space="preserve"> 2024 SALES</t>
  </si>
  <si>
    <t>2025 SALES</t>
  </si>
  <si>
    <t>YEAR 2025</t>
  </si>
  <si>
    <t>PRODUCTION PER SQM ANALYSIS</t>
  </si>
  <si>
    <t>SQM</t>
  </si>
  <si>
    <t>TOTAL</t>
  </si>
  <si>
    <t>Prod / SQM</t>
  </si>
  <si>
    <t>Sub Total</t>
  </si>
  <si>
    <t xml:space="preserve">   Spray Rose Leila</t>
  </si>
  <si>
    <t xml:space="preserve">   Spray Rose Royal Porcelina </t>
  </si>
  <si>
    <t xml:space="preserve">   Spray Rose Trinity </t>
  </si>
  <si>
    <t>Grand Total</t>
  </si>
  <si>
    <t>Total Area</t>
  </si>
  <si>
    <t>Above computation is on Weighted Average USD Exchange Rate for July 2024 I.E 129.39</t>
  </si>
  <si>
    <t>Standard Roses</t>
  </si>
  <si>
    <t>Standard Roses achieved a prorated revenue / SQM of USD 22.43, Spray Roses achieved a prorated revenue / SQM of USD 22.58 whose combined average is USD 22.52/SQM.</t>
  </si>
  <si>
    <t>Standard Roses achieved an average price of USD 0.14/ Stem, Spray Roses achieved an average price of USD 0.29 / Stems whose combined average price USD 0.20 /Stem.</t>
  </si>
  <si>
    <t>Spray Roses</t>
  </si>
  <si>
    <t>Root Stocks</t>
  </si>
  <si>
    <t>Particulars</t>
  </si>
  <si>
    <t>Exports were at 99.7% for Standard Roses and 81% for Spray roses whose combined average is 92%.</t>
  </si>
  <si>
    <t>Standard Roses achieved a prorated revenue / SQM of USD 27.01, Spray Roses achieved a prorated revenue / SQM of USD 24.82 whose combined average is USD 25.8/SQM.</t>
  </si>
  <si>
    <t>Rejection Rate for Standard Roses was 1.31% While that of Spray Roses was 1.25% - Average Rejection rate was 1.28% of Production.</t>
  </si>
  <si>
    <t>Standard Roses achieved a prorated production / SQM of 173 Stems, Spray Roses achieved a prorated Production / SQM of 100 Stems whose combined average is 133 Stems /SQM.</t>
  </si>
  <si>
    <t>Standard Roses achieved an average price of USD 0.16/ Stem, Spray Roses achieved an average price of USD 0.31 / Stems whose combined average price USD 0.21 /Stem.</t>
  </si>
  <si>
    <t>Above computation is on Weighted Average USD Exchange Rate for February 2025 I.E 129.3029</t>
  </si>
  <si>
    <t>Exports were at 81% for Standard Roses and 87% for Spray roses whose combined average is 83%.</t>
  </si>
  <si>
    <t>Rejection Rate for Standard Roses was 1.68% While that of Spray Roses was 1.44% - Average Rejection rate was 1.59% of Production.</t>
  </si>
  <si>
    <t>Standard Roses achieved a prorated production / SQM of 197 Stems, Spray Roses achieved a prorated Production / SQM of 91 Stems whose combined average is 139 Stems /SQM.</t>
  </si>
  <si>
    <t>To Replace</t>
  </si>
  <si>
    <t>Exports were at 73% for Standard Roses and 83% for Spray roses whose combined average is 77%.</t>
  </si>
  <si>
    <t>Standard Roses achieved a prorated revenue / SQM of USD 21.43, Spray Roses achieved a prorated revenue / SQM of USD 22.62 whose combined average is USD 22.09/SQM.</t>
  </si>
  <si>
    <t>Rejection Rate for Standard Roses was 0.58% While that of Spray Roses was 0.98% - Average Rejection rate was 0.73% of Production.</t>
  </si>
  <si>
    <t>Standard Roses achieved a prorated production / SQM of 213 Stems, Spray Roses achieved a prorated Production / SQM of 96 Stems whose combined average is 148 Stems /SQM.</t>
  </si>
  <si>
    <t>Standard Roses achieved an average price of USD 0.14/ Stem, Spray Roses achieved an average price of USD 0.28 / Stems whose combined average price USD 0.19 /Stem.</t>
  </si>
  <si>
    <t>Above computation is on Weighted Average USD Exchange Rate for March 2025 I.E 129.3348</t>
  </si>
  <si>
    <t xml:space="preserve"> 2023 SALES</t>
  </si>
  <si>
    <t>% ↑↓</t>
  </si>
  <si>
    <t>2023 PRODUCTION</t>
  </si>
  <si>
    <t>2024 PRODUCTION</t>
  </si>
  <si>
    <t>2025 PRODUCTION</t>
  </si>
  <si>
    <t>Total Production</t>
  </si>
  <si>
    <t>Exports were at 77% for Standard Roses and 65% for Spray roses whose combined average is 72%.</t>
  </si>
  <si>
    <t>Standard Roses achieved a prorated revenue / SQM of USD 15.04, Spray Roses achieved a prorated revenue / SQM of USD 16.18 whose combined average is USD 15.67/SQM.</t>
  </si>
  <si>
    <t>Rejection Rate for Standard Roses was 0.51% While that of Spray Roses was 0.52% - Average Rejection rate was 0.51% of Production.</t>
  </si>
  <si>
    <t>Standard Roses achieved a prorated production / SQM of 115 Stems, Spray Roses achieved a prorated Production / SQM of 88 Stems whose combined average is 118 Stems /SQM.</t>
  </si>
  <si>
    <t>Standard Roses achieved an average price of USD 0.12/ Stem, Spray Roses achieved an average price of USD 0.28 / Stems whose combined average price USD 0.18 /Stem.</t>
  </si>
  <si>
    <t>Above computation is on Weighted Average USD Exchange Rate for March 2025 I.E 129.3434</t>
  </si>
  <si>
    <t>Exports were at 77% for Standard Roses and 97% for Spray roses whose combined average is 84%.</t>
  </si>
  <si>
    <t>Standard Roses achieved a prorated revenue / SQM of USD 17.90, Spray Roses achieved a prorated revenue / SQM of USD 21.72 whose combined average is USD 20.01/SQM.</t>
  </si>
  <si>
    <t>Rejection Rate for Standard Roses was 0.44% While that of Spray Roses was 0.70% - Average Rejection rate was 0.53% of Production.</t>
  </si>
  <si>
    <t>Standard Roses achieved a prorated production / SQM of 175 Stems, Spray Roses achieved a prorated Production / SQM of 79 Stems whose combined average is 122 Stems /SQM.</t>
  </si>
  <si>
    <t>Standard Roses achieved an average price of USD 0.13/ Stem, Spray Roses achieved an average price of USD 0.28 / Stems whose combined average price USD 0.19 /Stem.</t>
  </si>
  <si>
    <t>Above computation is on Weighted Average USD Exchange Rate for March 2025 I.E 129.2417</t>
  </si>
  <si>
    <t>Uprooted</t>
  </si>
  <si>
    <t>Exports were at 75% for Standard Roses and 92% for Spray roses whose combined average is 82%.</t>
  </si>
  <si>
    <r>
      <t xml:space="preserve">Area </t>
    </r>
    <r>
      <rPr>
        <b/>
        <sz val="8"/>
        <color theme="1"/>
        <rFont val="Arial"/>
        <family val="2"/>
      </rPr>
      <t>SQM</t>
    </r>
  </si>
  <si>
    <t>Standard Roses achieved a prorated revenue / SQM of USD 13.910, Spray Roses achieved a prorated revenue / SQM of USD 21.17 whose combined average is USD 17.85/SQM.</t>
  </si>
  <si>
    <t>Rejection Rate for Standard Roses was 0.46% While that of Spray Roses was 0.89% - Average Rejection rate was 0.63% of Production.</t>
  </si>
  <si>
    <t>Standard Roses achieved a prorated production / SQM of 154 Stems, Spray Roses achieved a prorated Production / SQM of 83 Stems whose combined average is 115 Stems /SQM.</t>
  </si>
  <si>
    <t>Standard Roses achieved an average price of USD 0.12/ Stem, Spray Roses achieved an average price of USD 0.28 / Stems whose combined average price USD 0.19 /Stem.</t>
  </si>
  <si>
    <t>Exchange Rate for June 2025 is 129.2343</t>
  </si>
  <si>
    <r>
      <t xml:space="preserve">Area </t>
    </r>
    <r>
      <rPr>
        <b/>
        <sz val="8"/>
        <rFont val="Arial"/>
        <family val="2"/>
      </rPr>
      <t>SQM</t>
    </r>
  </si>
  <si>
    <t>Exports were at 82% for Standard Roses and 80% for Spray roses whose combined average is 81%.</t>
  </si>
  <si>
    <t>Standard Roses achieved a prorated revenue / SQM of USD 14.46, Spray Roses achieved a prorated revenue / SQM of USD 17.36 whose combined average is USD 16.04/SQM.</t>
  </si>
  <si>
    <t>Rejection Rate for Standard Roses was 0.71% While that of Spray Roses was 0.96% - Average Rejection rate was 0.80% of Production.</t>
  </si>
  <si>
    <t>Standard Roses achieved a prorated production / SQM of 143 Stems, Spray Roses achieved a prorated Production / SQM of 76 Stems whose combined average is 107 Stems /SQM.</t>
  </si>
  <si>
    <t>USD Exchange Rate for March 2025 is 129.2394</t>
  </si>
  <si>
    <t xml:space="preserve">   Rose Sugar love</t>
  </si>
  <si>
    <t xml:space="preserve">   Rose Ace Cerise 35cm</t>
  </si>
  <si>
    <t xml:space="preserve">   Rose Athena White 60cm</t>
  </si>
  <si>
    <t xml:space="preserve">   Rose Celeb Salmon Pink 40cm</t>
  </si>
  <si>
    <t xml:space="preserve">   Rose Confidential 35cm</t>
  </si>
  <si>
    <t xml:space="preserve">   Rose Copacabana Orange 60cm</t>
  </si>
  <si>
    <t xml:space="preserve">   Rose Espana Bi-Color 35cm</t>
  </si>
  <si>
    <t xml:space="preserve">   Rose Goldfinch 60cm</t>
  </si>
  <si>
    <t xml:space="preserve">   Rose Indigo 40cm</t>
  </si>
  <si>
    <t xml:space="preserve">   Rose Jumilia Bicolour Pink 70cm</t>
  </si>
  <si>
    <t xml:space="preserve">   Rose Kamala Red 35cm</t>
  </si>
  <si>
    <t xml:space="preserve">   Rose Madam Cerise 60cm</t>
  </si>
  <si>
    <t xml:space="preserve">   Rose Madam Red 35cm</t>
  </si>
  <si>
    <t xml:space="preserve">   Rose Moonwalk Yellow 50cm</t>
  </si>
  <si>
    <t xml:space="preserve">   Rose Pegasso White 40cm</t>
  </si>
  <si>
    <t xml:space="preserve">   Rose Tiger 60cm</t>
  </si>
  <si>
    <t xml:space="preserve">   Rose Trivia Pale Pink 40cm</t>
  </si>
  <si>
    <t>Trial</t>
  </si>
  <si>
    <t xml:space="preserve">Rose Madam Pink </t>
  </si>
  <si>
    <t xml:space="preserve">   Rose Aimy Pink </t>
  </si>
  <si>
    <t xml:space="preserve">   Rose Garfield</t>
  </si>
  <si>
    <t xml:space="preserve">   Rose Madam Pink </t>
  </si>
  <si>
    <t xml:space="preserve">   Rose Orange wave</t>
  </si>
  <si>
    <t xml:space="preserve">    Commercial Trials</t>
  </si>
  <si>
    <t xml:space="preserve">  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</si>
</sst>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-* #,##0.0_-;\-* #,##0.0_-;_-* &quot;-&quot;??_-;_-@_-"/>
    <numFmt numFmtId="167" formatCode="0.0%"/>
    <numFmt numFmtId="168" formatCode="_-* #,##0.000_-;\-* #,##0.000_-;_-* &quot;-&quot;??_-;_-@_-"/>
    <numFmt numFmtId="169" formatCode="#,##0.00\ _€"/>
    <numFmt numFmtId="170" formatCode="[$€-2]\ #,##0;\-[$€-2]\ #,##0"/>
    <numFmt numFmtId="171" formatCode="[$$-409]#,##0_ ;\-[$$-409]#,##0\ "/>
    <numFmt numFmtId="172" formatCode="[$Ksh-441]\ #,##0;\-[$Ksh-441]\ #,##0"/>
    <numFmt numFmtId="173" formatCode="_(* #,##0_);_(* \(#,##0\);_(* &quot;-&quot;??_);_(@_)"/>
    <numFmt numFmtId="174" formatCode="&quot; &quot;#,##0&quot; &quot;;&quot;-&quot;#,##0&quot; &quot;;&quot; -&quot;00&quot; &quot;;&quot; &quot;@&quot; &quot;"/>
    <numFmt numFmtId="175" formatCode="[$$-409]#,##0.00_);\([$$-409]#,##0.00\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9"/>
      <color indexed="8"/>
      <name val="Calibri"/>
      <family val="2"/>
      <scheme val="minor"/>
    </font>
    <font>
      <b/>
      <sz val="9"/>
      <color theme="1"/>
      <name val="Arial"/>
      <family val="2"/>
    </font>
    <font>
      <b/>
      <sz val="8.5"/>
      <color theme="1"/>
      <name val="Arial"/>
      <family val="2"/>
    </font>
    <font>
      <b/>
      <sz val="9"/>
      <color indexed="8"/>
      <name val="Arial"/>
      <family val="2"/>
    </font>
    <font>
      <b/>
      <sz val="8"/>
      <color rgb="FF000000"/>
      <name val="Arial"/>
      <family val="2"/>
    </font>
    <font>
      <b/>
      <sz val="8.5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8"/>
      <color indexed="8"/>
      <name val="Arial"/>
      <family val="2"/>
    </font>
    <font>
      <b/>
      <strike/>
      <sz val="9"/>
      <color theme="1"/>
      <name val="Arial"/>
      <family val="2"/>
    </font>
    <font>
      <b/>
      <sz val="9"/>
      <color indexed="8"/>
      <name val="Calibri"/>
      <family val="2"/>
      <scheme val="minor"/>
    </font>
    <font>
      <b/>
      <sz val="12"/>
      <color indexed="8"/>
      <name val="Bookman Old Style"/>
      <family val="1"/>
    </font>
    <font>
      <b/>
      <sz val="11"/>
      <color indexed="8"/>
      <name val="Bookman Old Style"/>
      <family val="1"/>
    </font>
    <font>
      <b/>
      <sz val="9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4"/>
      <color indexed="8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8.5"/>
      <color theme="1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8.5"/>
      <color indexed="8"/>
      <name val="Arial"/>
      <family val="2"/>
    </font>
    <font>
      <sz val="9"/>
      <color rgb="FFCC0099"/>
      <name val="Arial"/>
      <family val="2"/>
    </font>
    <font>
      <sz val="9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b/>
      <sz val="9.5"/>
      <color theme="1"/>
      <name val="Arial"/>
      <family val="2"/>
    </font>
    <font>
      <b/>
      <sz val="9.5"/>
      <color indexed="8"/>
      <name val="Arial"/>
      <family val="2"/>
    </font>
    <font>
      <b/>
      <sz val="9.5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9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8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double">
        <color auto="1"/>
      </top>
      <bottom style="double">
        <color auto="1"/>
      </bottom>
      <diagonal/>
    </border>
    <border>
      <left style="hair">
        <color indexed="64"/>
      </left>
      <right/>
      <top style="double">
        <color auto="1"/>
      </top>
      <bottom style="double">
        <color auto="1"/>
      </bottom>
      <diagonal/>
    </border>
    <border>
      <left style="hair">
        <color indexed="64"/>
      </left>
      <right/>
      <top style="double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/>
      <right style="hair">
        <color auto="1"/>
      </right>
      <top/>
      <bottom style="double">
        <color auto="1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165" fontId="5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43" fontId="5" fillId="0" borderId="1" xfId="1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165" fontId="8" fillId="0" borderId="0" xfId="1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/>
    <xf numFmtId="9" fontId="9" fillId="0" borderId="1" xfId="2" applyFont="1" applyFill="1" applyBorder="1"/>
    <xf numFmtId="165" fontId="9" fillId="0" borderId="1" xfId="0" applyNumberFormat="1" applyFont="1" applyBorder="1"/>
    <xf numFmtId="43" fontId="9" fillId="0" borderId="1" xfId="1" applyFont="1" applyFill="1" applyBorder="1"/>
    <xf numFmtId="165" fontId="9" fillId="0" borderId="1" xfId="1" applyNumberFormat="1" applyFont="1" applyFill="1" applyBorder="1"/>
    <xf numFmtId="166" fontId="9" fillId="0" borderId="1" xfId="1" applyNumberFormat="1" applyFont="1" applyFill="1" applyBorder="1" applyAlignment="1"/>
    <xf numFmtId="0" fontId="9" fillId="0" borderId="0" xfId="0" applyFont="1"/>
    <xf numFmtId="0" fontId="9" fillId="0" borderId="3" xfId="0" applyFont="1" applyBorder="1"/>
    <xf numFmtId="165" fontId="9" fillId="0" borderId="3" xfId="0" applyNumberFormat="1" applyFont="1" applyBorder="1"/>
    <xf numFmtId="165" fontId="9" fillId="0" borderId="3" xfId="1" applyNumberFormat="1" applyFont="1" applyFill="1" applyBorder="1"/>
    <xf numFmtId="165" fontId="9" fillId="0" borderId="1" xfId="1" applyNumberFormat="1" applyFont="1" applyFill="1" applyBorder="1" applyAlignment="1">
      <alignment wrapText="1"/>
    </xf>
    <xf numFmtId="0" fontId="4" fillId="0" borderId="4" xfId="0" applyFont="1" applyBorder="1" applyAlignment="1">
      <alignment horizontal="right"/>
    </xf>
    <xf numFmtId="9" fontId="4" fillId="0" borderId="4" xfId="2" applyFont="1" applyFill="1" applyBorder="1"/>
    <xf numFmtId="165" fontId="6" fillId="0" borderId="4" xfId="0" applyNumberFormat="1" applyFont="1" applyBorder="1"/>
    <xf numFmtId="43" fontId="6" fillId="0" borderId="4" xfId="1" applyFont="1" applyFill="1" applyBorder="1"/>
    <xf numFmtId="165" fontId="6" fillId="0" borderId="4" xfId="1" applyNumberFormat="1" applyFont="1" applyFill="1" applyBorder="1"/>
    <xf numFmtId="0" fontId="4" fillId="0" borderId="0" xfId="0" applyFont="1" applyAlignment="1">
      <alignment horizontal="right"/>
    </xf>
    <xf numFmtId="165" fontId="4" fillId="0" borderId="6" xfId="1" applyNumberFormat="1" applyFont="1" applyFill="1" applyBorder="1"/>
    <xf numFmtId="10" fontId="4" fillId="0" borderId="6" xfId="2" applyNumberFormat="1" applyFont="1" applyFill="1" applyBorder="1"/>
    <xf numFmtId="167" fontId="6" fillId="0" borderId="6" xfId="2" applyNumberFormat="1" applyFont="1" applyFill="1" applyBorder="1"/>
    <xf numFmtId="165" fontId="4" fillId="0" borderId="0" xfId="1" applyNumberFormat="1" applyFont="1" applyFill="1" applyBorder="1"/>
    <xf numFmtId="10" fontId="4" fillId="0" borderId="0" xfId="2" applyNumberFormat="1" applyFont="1" applyFill="1" applyBorder="1"/>
    <xf numFmtId="9" fontId="4" fillId="0" borderId="0" xfId="2" applyFont="1" applyFill="1" applyBorder="1"/>
    <xf numFmtId="43" fontId="4" fillId="0" borderId="0" xfId="1" applyFont="1" applyFill="1" applyBorder="1"/>
    <xf numFmtId="165" fontId="6" fillId="0" borderId="0" xfId="1" applyNumberFormat="1" applyFont="1" applyFill="1" applyBorder="1"/>
    <xf numFmtId="43" fontId="6" fillId="0" borderId="0" xfId="1" applyFont="1" applyFill="1" applyBorder="1"/>
    <xf numFmtId="9" fontId="9" fillId="0" borderId="1" xfId="2" applyFont="1" applyFill="1" applyBorder="1" applyAlignment="1">
      <alignment wrapText="1"/>
    </xf>
    <xf numFmtId="43" fontId="9" fillId="0" borderId="1" xfId="1" applyFont="1" applyFill="1" applyBorder="1" applyAlignment="1">
      <alignment wrapText="1"/>
    </xf>
    <xf numFmtId="0" fontId="11" fillId="0" borderId="0" xfId="0" applyFont="1" applyAlignment="1">
      <alignment horizontal="right" wrapText="1"/>
    </xf>
    <xf numFmtId="165" fontId="4" fillId="0" borderId="4" xfId="1" applyNumberFormat="1" applyFont="1" applyFill="1" applyBorder="1"/>
    <xf numFmtId="165" fontId="6" fillId="0" borderId="9" xfId="1" applyNumberFormat="1" applyFont="1" applyFill="1" applyBorder="1"/>
    <xf numFmtId="43" fontId="6" fillId="0" borderId="10" xfId="1" applyFont="1" applyFill="1" applyBorder="1"/>
    <xf numFmtId="165" fontId="12" fillId="0" borderId="6" xfId="1" applyNumberFormat="1" applyFont="1" applyFill="1" applyBorder="1"/>
    <xf numFmtId="164" fontId="4" fillId="0" borderId="0" xfId="0" applyNumberFormat="1" applyFont="1"/>
    <xf numFmtId="165" fontId="3" fillId="0" borderId="0" xfId="1" applyNumberFormat="1" applyFont="1" applyFill="1"/>
    <xf numFmtId="165" fontId="3" fillId="0" borderId="0" xfId="0" applyNumberFormat="1" applyFont="1"/>
    <xf numFmtId="0" fontId="13" fillId="0" borderId="0" xfId="0" applyFont="1"/>
    <xf numFmtId="165" fontId="9" fillId="0" borderId="0" xfId="1" applyNumberFormat="1" applyFont="1" applyFill="1"/>
    <xf numFmtId="0" fontId="6" fillId="0" borderId="0" xfId="0" applyFont="1"/>
    <xf numFmtId="0" fontId="6" fillId="0" borderId="11" xfId="0" applyFont="1" applyBorder="1" applyAlignment="1">
      <alignment horizontal="right"/>
    </xf>
    <xf numFmtId="165" fontId="6" fillId="0" borderId="12" xfId="1" applyNumberFormat="1" applyFont="1" applyFill="1" applyBorder="1"/>
    <xf numFmtId="165" fontId="6" fillId="0" borderId="12" xfId="0" applyNumberFormat="1" applyFont="1" applyBorder="1"/>
    <xf numFmtId="165" fontId="6" fillId="0" borderId="10" xfId="1" applyNumberFormat="1" applyFont="1" applyFill="1" applyBorder="1"/>
    <xf numFmtId="165" fontId="6" fillId="0" borderId="11" xfId="1" applyNumberFormat="1" applyFont="1" applyFill="1" applyBorder="1"/>
    <xf numFmtId="165" fontId="3" fillId="0" borderId="11" xfId="1" applyNumberFormat="1" applyFont="1" applyFill="1" applyBorder="1"/>
    <xf numFmtId="10" fontId="6" fillId="0" borderId="11" xfId="2" applyNumberFormat="1" applyFont="1" applyFill="1" applyBorder="1"/>
    <xf numFmtId="9" fontId="3" fillId="0" borderId="0" xfId="2" applyFont="1" applyFill="1"/>
    <xf numFmtId="168" fontId="3" fillId="0" borderId="0" xfId="2" applyNumberFormat="1" applyFont="1" applyFill="1"/>
    <xf numFmtId="165" fontId="9" fillId="0" borderId="0" xfId="0" applyNumberFormat="1" applyFont="1"/>
    <xf numFmtId="165" fontId="11" fillId="0" borderId="0" xfId="0" applyNumberFormat="1" applyFont="1" applyAlignment="1">
      <alignment horizontal="left" wrapText="1"/>
    </xf>
    <xf numFmtId="169" fontId="11" fillId="0" borderId="0" xfId="0" applyNumberFormat="1" applyFont="1" applyAlignment="1">
      <alignment horizontal="right" wrapText="1"/>
    </xf>
    <xf numFmtId="164" fontId="9" fillId="0" borderId="0" xfId="0" applyNumberFormat="1" applyFont="1"/>
    <xf numFmtId="43" fontId="9" fillId="0" borderId="0" xfId="0" applyNumberFormat="1" applyFont="1"/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17" fontId="9" fillId="0" borderId="15" xfId="0" applyNumberFormat="1" applyFont="1" applyBorder="1"/>
    <xf numFmtId="165" fontId="9" fillId="0" borderId="15" xfId="1" applyNumberFormat="1" applyFont="1" applyBorder="1"/>
    <xf numFmtId="165" fontId="9" fillId="0" borderId="8" xfId="1" applyNumberFormat="1" applyFont="1" applyBorder="1"/>
    <xf numFmtId="165" fontId="9" fillId="0" borderId="14" xfId="1" applyNumberFormat="1" applyFont="1" applyBorder="1"/>
    <xf numFmtId="9" fontId="9" fillId="0" borderId="8" xfId="0" applyNumberFormat="1" applyFont="1" applyBorder="1"/>
    <xf numFmtId="9" fontId="9" fillId="0" borderId="15" xfId="2" applyFont="1" applyBorder="1"/>
    <xf numFmtId="43" fontId="9" fillId="0" borderId="15" xfId="1" applyFont="1" applyBorder="1"/>
    <xf numFmtId="17" fontId="9" fillId="0" borderId="16" xfId="0" applyNumberFormat="1" applyFont="1" applyBorder="1"/>
    <xf numFmtId="165" fontId="9" fillId="0" borderId="16" xfId="1" applyNumberFormat="1" applyFont="1" applyBorder="1"/>
    <xf numFmtId="165" fontId="9" fillId="0" borderId="17" xfId="1" applyNumberFormat="1" applyFont="1" applyBorder="1"/>
    <xf numFmtId="9" fontId="9" fillId="0" borderId="16" xfId="0" applyNumberFormat="1" applyFont="1" applyBorder="1"/>
    <xf numFmtId="9" fontId="9" fillId="0" borderId="17" xfId="0" applyNumberFormat="1" applyFont="1" applyBorder="1"/>
    <xf numFmtId="9" fontId="9" fillId="0" borderId="16" xfId="2" applyFont="1" applyBorder="1"/>
    <xf numFmtId="43" fontId="9" fillId="0" borderId="16" xfId="1" applyFont="1" applyBorder="1"/>
    <xf numFmtId="165" fontId="9" fillId="0" borderId="0" xfId="1" applyNumberFormat="1" applyFont="1" applyBorder="1"/>
    <xf numFmtId="164" fontId="9" fillId="0" borderId="16" xfId="0" applyNumberFormat="1" applyFont="1" applyBorder="1"/>
    <xf numFmtId="165" fontId="9" fillId="0" borderId="18" xfId="1" applyNumberFormat="1" applyFont="1" applyBorder="1"/>
    <xf numFmtId="165" fontId="9" fillId="0" borderId="19" xfId="1" applyNumberFormat="1" applyFont="1" applyBorder="1"/>
    <xf numFmtId="165" fontId="9" fillId="0" borderId="21" xfId="1" applyNumberFormat="1" applyFont="1" applyBorder="1"/>
    <xf numFmtId="165" fontId="9" fillId="0" borderId="22" xfId="1" applyNumberFormat="1" applyFont="1" applyBorder="1"/>
    <xf numFmtId="9" fontId="9" fillId="0" borderId="21" xfId="0" applyNumberFormat="1" applyFont="1" applyBorder="1"/>
    <xf numFmtId="9" fontId="9" fillId="0" borderId="22" xfId="0" applyNumberFormat="1" applyFont="1" applyBorder="1"/>
    <xf numFmtId="164" fontId="9" fillId="0" borderId="21" xfId="0" applyNumberFormat="1" applyFont="1" applyBorder="1"/>
    <xf numFmtId="0" fontId="6" fillId="0" borderId="23" xfId="0" applyFont="1" applyBorder="1"/>
    <xf numFmtId="165" fontId="6" fillId="0" borderId="5" xfId="0" applyNumberFormat="1" applyFont="1" applyBorder="1"/>
    <xf numFmtId="9" fontId="6" fillId="2" borderId="10" xfId="2" applyFont="1" applyFill="1" applyBorder="1"/>
    <xf numFmtId="164" fontId="6" fillId="0" borderId="10" xfId="0" applyNumberFormat="1" applyFont="1" applyBorder="1"/>
    <xf numFmtId="164" fontId="6" fillId="0" borderId="0" xfId="0" applyNumberFormat="1" applyFont="1"/>
    <xf numFmtId="0" fontId="6" fillId="0" borderId="14" xfId="0" applyFont="1" applyBorder="1"/>
    <xf numFmtId="0" fontId="6" fillId="0" borderId="14" xfId="0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65" fontId="6" fillId="0" borderId="14" xfId="0" applyNumberFormat="1" applyFont="1" applyBorder="1" applyAlignment="1">
      <alignment horizontal="center" vertical="center" wrapText="1"/>
    </xf>
    <xf numFmtId="165" fontId="9" fillId="0" borderId="24" xfId="1" applyNumberFormat="1" applyFont="1" applyBorder="1"/>
    <xf numFmtId="164" fontId="9" fillId="0" borderId="15" xfId="0" applyNumberFormat="1" applyFont="1" applyBorder="1"/>
    <xf numFmtId="165" fontId="9" fillId="0" borderId="24" xfId="0" applyNumberFormat="1" applyFont="1" applyBorder="1"/>
    <xf numFmtId="165" fontId="9" fillId="0" borderId="14" xfId="0" applyNumberFormat="1" applyFont="1" applyBorder="1"/>
    <xf numFmtId="165" fontId="9" fillId="0" borderId="20" xfId="0" applyNumberFormat="1" applyFont="1" applyBorder="1"/>
    <xf numFmtId="165" fontId="9" fillId="0" borderId="16" xfId="0" applyNumberFormat="1" applyFont="1" applyBorder="1"/>
    <xf numFmtId="165" fontId="9" fillId="0" borderId="25" xfId="1" applyNumberFormat="1" applyFont="1" applyBorder="1"/>
    <xf numFmtId="43" fontId="9" fillId="0" borderId="25" xfId="1" applyFont="1" applyBorder="1"/>
    <xf numFmtId="164" fontId="9" fillId="0" borderId="25" xfId="0" applyNumberFormat="1" applyFont="1" applyBorder="1"/>
    <xf numFmtId="165" fontId="9" fillId="0" borderId="18" xfId="0" applyNumberFormat="1" applyFont="1" applyBorder="1"/>
    <xf numFmtId="164" fontId="9" fillId="0" borderId="20" xfId="0" applyNumberFormat="1" applyFont="1" applyBorder="1"/>
    <xf numFmtId="165" fontId="9" fillId="0" borderId="26" xfId="1" applyNumberFormat="1" applyFont="1" applyBorder="1"/>
    <xf numFmtId="165" fontId="9" fillId="0" borderId="21" xfId="0" applyNumberFormat="1" applyFont="1" applyBorder="1"/>
    <xf numFmtId="164" fontId="9" fillId="0" borderId="26" xfId="0" applyNumberFormat="1" applyFont="1" applyBorder="1"/>
    <xf numFmtId="165" fontId="9" fillId="0" borderId="26" xfId="0" applyNumberFormat="1" applyFont="1" applyBorder="1"/>
    <xf numFmtId="0" fontId="16" fillId="0" borderId="1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/>
    </xf>
    <xf numFmtId="43" fontId="16" fillId="0" borderId="29" xfId="1" applyFont="1" applyBorder="1" applyAlignment="1">
      <alignment horizontal="center"/>
    </xf>
    <xf numFmtId="43" fontId="16" fillId="0" borderId="21" xfId="1" applyFont="1" applyBorder="1" applyAlignment="1">
      <alignment horizontal="center"/>
    </xf>
    <xf numFmtId="17" fontId="10" fillId="0" borderId="20" xfId="0" applyNumberFormat="1" applyFont="1" applyBorder="1"/>
    <xf numFmtId="165" fontId="10" fillId="0" borderId="8" xfId="1" applyNumberFormat="1" applyFont="1" applyBorder="1" applyAlignment="1">
      <alignment horizontal="right"/>
    </xf>
    <xf numFmtId="165" fontId="9" fillId="0" borderId="15" xfId="1" applyNumberFormat="1" applyFont="1" applyBorder="1" applyAlignment="1"/>
    <xf numFmtId="165" fontId="9" fillId="0" borderId="14" xfId="1" applyNumberFormat="1" applyFont="1" applyBorder="1" applyAlignment="1"/>
    <xf numFmtId="165" fontId="9" fillId="0" borderId="15" xfId="1" applyNumberFormat="1" applyFont="1" applyBorder="1" applyAlignment="1">
      <alignment horizontal="right"/>
    </xf>
    <xf numFmtId="9" fontId="9" fillId="0" borderId="14" xfId="2" applyFont="1" applyBorder="1"/>
    <xf numFmtId="165" fontId="10" fillId="0" borderId="16" xfId="1" applyNumberFormat="1" applyFont="1" applyBorder="1" applyAlignment="1">
      <alignment horizontal="right"/>
    </xf>
    <xf numFmtId="165" fontId="10" fillId="0" borderId="17" xfId="1" applyNumberFormat="1" applyFont="1" applyBorder="1" applyAlignment="1">
      <alignment horizontal="right"/>
    </xf>
    <xf numFmtId="165" fontId="10" fillId="0" borderId="16" xfId="1" applyNumberFormat="1" applyFont="1" applyBorder="1" applyAlignment="1"/>
    <xf numFmtId="165" fontId="0" fillId="0" borderId="0" xfId="0" applyNumberFormat="1"/>
    <xf numFmtId="43" fontId="0" fillId="0" borderId="0" xfId="0" applyNumberFormat="1"/>
    <xf numFmtId="165" fontId="10" fillId="0" borderId="25" xfId="1" applyNumberFormat="1" applyFont="1" applyBorder="1" applyAlignment="1"/>
    <xf numFmtId="165" fontId="22" fillId="3" borderId="25" xfId="1" applyNumberFormat="1" applyFont="1" applyFill="1" applyBorder="1" applyAlignment="1">
      <alignment horizontal="right" vertical="center"/>
    </xf>
    <xf numFmtId="165" fontId="22" fillId="0" borderId="16" xfId="1" applyNumberFormat="1" applyFont="1" applyBorder="1" applyAlignment="1"/>
    <xf numFmtId="165" fontId="10" fillId="0" borderId="16" xfId="1" applyNumberFormat="1" applyFont="1" applyBorder="1"/>
    <xf numFmtId="165" fontId="10" fillId="0" borderId="17" xfId="1" applyNumberFormat="1" applyFont="1" applyBorder="1"/>
    <xf numFmtId="165" fontId="21" fillId="3" borderId="16" xfId="1" applyNumberFormat="1" applyFont="1" applyFill="1" applyBorder="1" applyAlignment="1">
      <alignment horizontal="right" vertical="center"/>
    </xf>
    <xf numFmtId="165" fontId="10" fillId="0" borderId="25" xfId="1" applyNumberFormat="1" applyFont="1" applyBorder="1"/>
    <xf numFmtId="165" fontId="10" fillId="0" borderId="22" xfId="1" applyNumberFormat="1" applyFont="1" applyBorder="1"/>
    <xf numFmtId="165" fontId="21" fillId="0" borderId="25" xfId="1" applyNumberFormat="1" applyFont="1" applyBorder="1"/>
    <xf numFmtId="164" fontId="0" fillId="0" borderId="0" xfId="0" applyNumberFormat="1"/>
    <xf numFmtId="0" fontId="10" fillId="0" borderId="0" xfId="0" applyFont="1"/>
    <xf numFmtId="165" fontId="10" fillId="0" borderId="0" xfId="1" applyNumberFormat="1" applyFont="1" applyBorder="1"/>
    <xf numFmtId="173" fontId="22" fillId="0" borderId="16" xfId="1" applyNumberFormat="1" applyFont="1" applyBorder="1"/>
    <xf numFmtId="173" fontId="22" fillId="0" borderId="31" xfId="1" applyNumberFormat="1" applyFont="1" applyBorder="1"/>
    <xf numFmtId="173" fontId="22" fillId="3" borderId="16" xfId="1" applyNumberFormat="1" applyFont="1" applyFill="1" applyBorder="1" applyAlignment="1">
      <alignment horizontal="right" vertical="center"/>
    </xf>
    <xf numFmtId="0" fontId="4" fillId="0" borderId="32" xfId="0" applyFont="1" applyBorder="1" applyAlignment="1">
      <alignment horizontal="right"/>
    </xf>
    <xf numFmtId="0" fontId="4" fillId="0" borderId="13" xfId="0" applyFont="1" applyBorder="1" applyAlignment="1">
      <alignment horizontal="center"/>
    </xf>
    <xf numFmtId="17" fontId="4" fillId="0" borderId="3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10" fillId="0" borderId="15" xfId="1" applyNumberFormat="1" applyFont="1" applyBorder="1" applyAlignment="1"/>
    <xf numFmtId="165" fontId="10" fillId="0" borderId="20" xfId="1" applyNumberFormat="1" applyFont="1" applyBorder="1"/>
    <xf numFmtId="173" fontId="10" fillId="0" borderId="0" xfId="1" applyNumberFormat="1" applyFont="1"/>
    <xf numFmtId="173" fontId="10" fillId="0" borderId="18" xfId="1" applyNumberFormat="1" applyFont="1" applyBorder="1"/>
    <xf numFmtId="165" fontId="10" fillId="0" borderId="8" xfId="1" applyNumberFormat="1" applyFont="1" applyBorder="1" applyAlignment="1"/>
    <xf numFmtId="173" fontId="10" fillId="0" borderId="15" xfId="1" applyNumberFormat="1" applyFont="1" applyBorder="1"/>
    <xf numFmtId="173" fontId="10" fillId="0" borderId="31" xfId="1" applyNumberFormat="1" applyFont="1" applyBorder="1"/>
    <xf numFmtId="165" fontId="10" fillId="0" borderId="0" xfId="1" applyNumberFormat="1" applyFont="1" applyAlignment="1"/>
    <xf numFmtId="173" fontId="10" fillId="0" borderId="25" xfId="1" applyNumberFormat="1" applyFont="1" applyBorder="1"/>
    <xf numFmtId="173" fontId="10" fillId="0" borderId="16" xfId="1" applyNumberFormat="1" applyFont="1" applyBorder="1"/>
    <xf numFmtId="165" fontId="10" fillId="0" borderId="17" xfId="1" applyNumberFormat="1" applyFont="1" applyBorder="1" applyAlignment="1"/>
    <xf numFmtId="165" fontId="10" fillId="0" borderId="18" xfId="1" applyNumberFormat="1" applyFont="1" applyBorder="1" applyAlignment="1"/>
    <xf numFmtId="165" fontId="10" fillId="0" borderId="0" xfId="1" applyNumberFormat="1" applyFont="1" applyBorder="1" applyAlignment="1"/>
    <xf numFmtId="165" fontId="9" fillId="0" borderId="16" xfId="1" applyNumberFormat="1" applyFont="1" applyFill="1" applyBorder="1" applyAlignment="1"/>
    <xf numFmtId="165" fontId="9" fillId="0" borderId="17" xfId="1" applyNumberFormat="1" applyFont="1" applyFill="1" applyBorder="1" applyAlignment="1"/>
    <xf numFmtId="173" fontId="10" fillId="0" borderId="20" xfId="1" applyNumberFormat="1" applyFont="1" applyBorder="1"/>
    <xf numFmtId="0" fontId="9" fillId="0" borderId="21" xfId="0" applyFont="1" applyBorder="1"/>
    <xf numFmtId="173" fontId="10" fillId="0" borderId="21" xfId="1" applyNumberFormat="1" applyFont="1" applyBorder="1"/>
    <xf numFmtId="0" fontId="6" fillId="0" borderId="2" xfId="0" applyFont="1" applyBorder="1" applyAlignment="1">
      <alignment horizontal="right"/>
    </xf>
    <xf numFmtId="165" fontId="24" fillId="0" borderId="32" xfId="1" applyNumberFormat="1" applyFont="1" applyBorder="1" applyAlignment="1"/>
    <xf numFmtId="165" fontId="24" fillId="0" borderId="11" xfId="1" applyNumberFormat="1" applyFont="1" applyBorder="1" applyAlignment="1"/>
    <xf numFmtId="0" fontId="15" fillId="0" borderId="3" xfId="0" applyFont="1" applyBorder="1"/>
    <xf numFmtId="173" fontId="4" fillId="0" borderId="14" xfId="1" applyNumberFormat="1" applyFont="1" applyBorder="1" applyAlignment="1">
      <alignment horizontal="center"/>
    </xf>
    <xf numFmtId="0" fontId="4" fillId="0" borderId="35" xfId="0" applyFont="1" applyBorder="1" applyAlignment="1">
      <alignment horizontal="center" wrapText="1"/>
    </xf>
    <xf numFmtId="173" fontId="10" fillId="0" borderId="14" xfId="1" applyNumberFormat="1" applyFont="1" applyBorder="1"/>
    <xf numFmtId="173" fontId="10" fillId="0" borderId="28" xfId="1" applyNumberFormat="1" applyFont="1" applyBorder="1"/>
    <xf numFmtId="173" fontId="10" fillId="0" borderId="19" xfId="1" applyNumberFormat="1" applyFont="1" applyBorder="1"/>
    <xf numFmtId="173" fontId="10" fillId="0" borderId="26" xfId="1" applyNumberFormat="1" applyFont="1" applyBorder="1"/>
    <xf numFmtId="165" fontId="10" fillId="0" borderId="21" xfId="1" applyNumberFormat="1" applyFont="1" applyBorder="1" applyAlignment="1"/>
    <xf numFmtId="0" fontId="4" fillId="0" borderId="13" xfId="0" applyFont="1" applyBorder="1" applyAlignment="1">
      <alignment horizontal="right"/>
    </xf>
    <xf numFmtId="165" fontId="5" fillId="0" borderId="32" xfId="0" applyNumberFormat="1" applyFont="1" applyBorder="1"/>
    <xf numFmtId="165" fontId="5" fillId="0" borderId="11" xfId="0" applyNumberFormat="1" applyFont="1" applyBorder="1"/>
    <xf numFmtId="0" fontId="25" fillId="0" borderId="0" xfId="0" applyFont="1"/>
    <xf numFmtId="173" fontId="25" fillId="0" borderId="0" xfId="1" applyNumberFormat="1" applyFont="1"/>
    <xf numFmtId="165" fontId="5" fillId="0" borderId="37" xfId="0" applyNumberFormat="1" applyFont="1" applyBorder="1"/>
    <xf numFmtId="165" fontId="10" fillId="0" borderId="20" xfId="1" applyNumberFormat="1" applyFont="1" applyBorder="1" applyAlignment="1"/>
    <xf numFmtId="165" fontId="24" fillId="0" borderId="38" xfId="1" applyNumberFormat="1" applyFont="1" applyBorder="1" applyAlignment="1"/>
    <xf numFmtId="3" fontId="26" fillId="4" borderId="1" xfId="0" applyNumberFormat="1" applyFont="1" applyFill="1" applyBorder="1" applyAlignment="1">
      <alignment horizontal="left"/>
    </xf>
    <xf numFmtId="0" fontId="4" fillId="0" borderId="0" xfId="0" applyFont="1"/>
    <xf numFmtId="173" fontId="9" fillId="0" borderId="1" xfId="1" applyNumberFormat="1" applyFont="1" applyFill="1" applyBorder="1" applyAlignment="1"/>
    <xf numFmtId="173" fontId="9" fillId="0" borderId="1" xfId="1" applyNumberFormat="1" applyFont="1" applyBorder="1" applyAlignment="1">
      <alignment horizontal="right" wrapText="1"/>
    </xf>
    <xf numFmtId="173" fontId="9" fillId="0" borderId="1" xfId="1" applyNumberFormat="1" applyFont="1" applyBorder="1" applyAlignment="1"/>
    <xf numFmtId="173" fontId="9" fillId="0" borderId="3" xfId="1" applyNumberFormat="1" applyFont="1" applyFill="1" applyBorder="1" applyAlignment="1"/>
    <xf numFmtId="173" fontId="9" fillId="0" borderId="3" xfId="1" applyNumberFormat="1" applyFont="1" applyBorder="1" applyAlignment="1"/>
    <xf numFmtId="43" fontId="9" fillId="0" borderId="3" xfId="1" applyFont="1" applyFill="1" applyBorder="1"/>
    <xf numFmtId="173" fontId="10" fillId="0" borderId="1" xfId="1" applyNumberFormat="1" applyFont="1" applyBorder="1" applyAlignment="1"/>
    <xf numFmtId="173" fontId="9" fillId="0" borderId="1" xfId="1" applyNumberFormat="1" applyFont="1" applyBorder="1" applyAlignment="1">
      <alignment horizontal="right"/>
    </xf>
    <xf numFmtId="173" fontId="9" fillId="0" borderId="1" xfId="1" applyNumberFormat="1" applyFont="1" applyFill="1" applyBorder="1" applyAlignment="1">
      <alignment horizontal="right"/>
    </xf>
    <xf numFmtId="173" fontId="10" fillId="0" borderId="1" xfId="1" applyNumberFormat="1" applyFont="1" applyBorder="1" applyAlignment="1">
      <alignment wrapText="1"/>
    </xf>
    <xf numFmtId="173" fontId="9" fillId="0" borderId="1" xfId="1" applyNumberFormat="1" applyFont="1" applyFill="1" applyBorder="1" applyAlignment="1">
      <alignment wrapText="1"/>
    </xf>
    <xf numFmtId="173" fontId="9" fillId="0" borderId="1" xfId="1" applyNumberFormat="1" applyFont="1" applyBorder="1" applyAlignment="1">
      <alignment wrapText="1"/>
    </xf>
    <xf numFmtId="173" fontId="9" fillId="0" borderId="1" xfId="1" applyNumberFormat="1" applyFont="1" applyFill="1" applyBorder="1" applyAlignment="1">
      <alignment horizontal="right" wrapText="1"/>
    </xf>
    <xf numFmtId="173" fontId="3" fillId="0" borderId="1" xfId="1" applyNumberFormat="1" applyFont="1" applyBorder="1" applyAlignment="1">
      <alignment wrapText="1"/>
    </xf>
    <xf numFmtId="166" fontId="9" fillId="0" borderId="3" xfId="1" applyNumberFormat="1" applyFont="1" applyFill="1" applyBorder="1" applyAlignment="1"/>
    <xf numFmtId="173" fontId="9" fillId="0" borderId="3" xfId="1" applyNumberFormat="1" applyFont="1" applyFill="1" applyBorder="1" applyAlignment="1">
      <alignment horizontal="right"/>
    </xf>
    <xf numFmtId="173" fontId="10" fillId="0" borderId="3" xfId="1" applyNumberFormat="1" applyFont="1" applyBorder="1" applyAlignment="1"/>
    <xf numFmtId="173" fontId="9" fillId="0" borderId="3" xfId="1" applyNumberFormat="1" applyFont="1" applyBorder="1" applyAlignment="1">
      <alignment horizontal="right"/>
    </xf>
    <xf numFmtId="43" fontId="9" fillId="0" borderId="34" xfId="1" applyFont="1" applyFill="1" applyBorder="1"/>
    <xf numFmtId="165" fontId="9" fillId="0" borderId="39" xfId="1" applyNumberFormat="1" applyFont="1" applyFill="1" applyBorder="1"/>
    <xf numFmtId="165" fontId="28" fillId="0" borderId="1" xfId="1" applyNumberFormat="1" applyFont="1" applyFill="1" applyBorder="1"/>
    <xf numFmtId="174" fontId="27" fillId="0" borderId="0" xfId="1" applyNumberFormat="1" applyFont="1" applyFill="1" applyBorder="1"/>
    <xf numFmtId="175" fontId="6" fillId="0" borderId="4" xfId="1" applyNumberFormat="1" applyFont="1" applyFill="1" applyBorder="1" applyAlignment="1">
      <alignment wrapText="1"/>
    </xf>
    <xf numFmtId="173" fontId="26" fillId="0" borderId="1" xfId="1" applyNumberFormat="1" applyFont="1" applyBorder="1"/>
    <xf numFmtId="173" fontId="26" fillId="0" borderId="3" xfId="1" applyNumberFormat="1" applyFont="1" applyBorder="1"/>
    <xf numFmtId="173" fontId="4" fillId="0" borderId="4" xfId="1" applyNumberFormat="1" applyFont="1" applyBorder="1"/>
    <xf numFmtId="0" fontId="6" fillId="0" borderId="1" xfId="0" applyFont="1" applyBorder="1" applyAlignment="1">
      <alignment horizontal="center"/>
    </xf>
    <xf numFmtId="165" fontId="6" fillId="0" borderId="1" xfId="1" applyNumberFormat="1" applyFont="1" applyFill="1" applyBorder="1" applyAlignment="1">
      <alignment horizontal="center"/>
    </xf>
    <xf numFmtId="43" fontId="9" fillId="0" borderId="1" xfId="1" applyFont="1" applyFill="1" applyBorder="1" applyAlignment="1"/>
    <xf numFmtId="173" fontId="9" fillId="0" borderId="8" xfId="1" applyNumberFormat="1" applyFont="1" applyBorder="1"/>
    <xf numFmtId="165" fontId="9" fillId="0" borderId="29" xfId="1" applyNumberFormat="1" applyFont="1" applyBorder="1"/>
    <xf numFmtId="9" fontId="9" fillId="0" borderId="29" xfId="0" applyNumberFormat="1" applyFont="1" applyBorder="1"/>
    <xf numFmtId="2" fontId="9" fillId="0" borderId="29" xfId="0" applyNumberFormat="1" applyFont="1" applyBorder="1"/>
    <xf numFmtId="165" fontId="9" fillId="0" borderId="40" xfId="1" applyNumberFormat="1" applyFont="1" applyBorder="1"/>
    <xf numFmtId="9" fontId="9" fillId="0" borderId="25" xfId="0" applyNumberFormat="1" applyFont="1" applyBorder="1"/>
    <xf numFmtId="2" fontId="9" fillId="0" borderId="22" xfId="0" applyNumberFormat="1" applyFont="1" applyBorder="1"/>
    <xf numFmtId="9" fontId="9" fillId="0" borderId="1" xfId="2" applyFont="1" applyBorder="1" applyAlignment="1">
      <alignment horizontal="right"/>
    </xf>
    <xf numFmtId="43" fontId="9" fillId="0" borderId="41" xfId="1" applyFont="1" applyBorder="1"/>
    <xf numFmtId="0" fontId="29" fillId="0" borderId="42" xfId="0" applyFont="1" applyBorder="1"/>
    <xf numFmtId="165" fontId="9" fillId="0" borderId="43" xfId="1" applyNumberFormat="1" applyFont="1" applyFill="1" applyBorder="1" applyAlignment="1">
      <alignment wrapText="1"/>
    </xf>
    <xf numFmtId="165" fontId="9" fillId="0" borderId="45" xfId="0" applyNumberFormat="1" applyFont="1" applyBorder="1"/>
    <xf numFmtId="43" fontId="9" fillId="0" borderId="46" xfId="1" applyFont="1" applyBorder="1"/>
    <xf numFmtId="165" fontId="9" fillId="0" borderId="47" xfId="1" applyNumberFormat="1" applyFont="1" applyFill="1" applyBorder="1"/>
    <xf numFmtId="165" fontId="9" fillId="0" borderId="48" xfId="1" applyNumberFormat="1" applyFont="1" applyFill="1" applyBorder="1"/>
    <xf numFmtId="0" fontId="29" fillId="0" borderId="49" xfId="0" applyFont="1" applyBorder="1"/>
    <xf numFmtId="165" fontId="10" fillId="0" borderId="50" xfId="1" applyNumberFormat="1" applyFont="1" applyBorder="1" applyAlignment="1">
      <alignment wrapText="1"/>
    </xf>
    <xf numFmtId="165" fontId="9" fillId="0" borderId="52" xfId="0" applyNumberFormat="1" applyFont="1" applyBorder="1"/>
    <xf numFmtId="43" fontId="9" fillId="0" borderId="53" xfId="1" applyFont="1" applyBorder="1"/>
    <xf numFmtId="165" fontId="9" fillId="0" borderId="54" xfId="1" applyNumberFormat="1" applyFont="1" applyFill="1" applyBorder="1"/>
    <xf numFmtId="165" fontId="9" fillId="0" borderId="55" xfId="1" applyNumberFormat="1" applyFont="1" applyFill="1" applyBorder="1"/>
    <xf numFmtId="0" fontId="9" fillId="5" borderId="42" xfId="0" applyFont="1" applyFill="1" applyBorder="1"/>
    <xf numFmtId="0" fontId="9" fillId="5" borderId="49" xfId="0" applyFont="1" applyFill="1" applyBorder="1"/>
    <xf numFmtId="165" fontId="9" fillId="0" borderId="50" xfId="1" applyNumberFormat="1" applyFont="1" applyFill="1" applyBorder="1" applyAlignment="1">
      <alignment wrapText="1"/>
    </xf>
    <xf numFmtId="165" fontId="9" fillId="0" borderId="56" xfId="0" applyNumberFormat="1" applyFont="1" applyBorder="1"/>
    <xf numFmtId="165" fontId="9" fillId="0" borderId="3" xfId="1" applyNumberFormat="1" applyFont="1" applyFill="1" applyBorder="1" applyAlignment="1">
      <alignment wrapText="1"/>
    </xf>
    <xf numFmtId="9" fontId="9" fillId="0" borderId="3" xfId="2" applyFont="1" applyBorder="1" applyAlignment="1">
      <alignment horizontal="right"/>
    </xf>
    <xf numFmtId="0" fontId="9" fillId="6" borderId="42" xfId="0" applyFont="1" applyFill="1" applyBorder="1"/>
    <xf numFmtId="43" fontId="9" fillId="0" borderId="59" xfId="1" applyFont="1" applyBorder="1"/>
    <xf numFmtId="165" fontId="9" fillId="0" borderId="34" xfId="1" applyNumberFormat="1" applyFont="1" applyFill="1" applyBorder="1"/>
    <xf numFmtId="0" fontId="9" fillId="0" borderId="41" xfId="0" applyFont="1" applyBorder="1"/>
    <xf numFmtId="165" fontId="9" fillId="0" borderId="41" xfId="1" applyNumberFormat="1" applyFont="1" applyFill="1" applyBorder="1" applyAlignment="1">
      <alignment wrapText="1"/>
    </xf>
    <xf numFmtId="9" fontId="9" fillId="0" borderId="41" xfId="2" applyFont="1" applyBorder="1" applyAlignment="1">
      <alignment horizontal="right"/>
    </xf>
    <xf numFmtId="165" fontId="9" fillId="0" borderId="41" xfId="0" applyNumberFormat="1" applyFont="1" applyBorder="1"/>
    <xf numFmtId="165" fontId="9" fillId="0" borderId="41" xfId="1" applyNumberFormat="1" applyFont="1" applyFill="1" applyBorder="1"/>
    <xf numFmtId="0" fontId="9" fillId="7" borderId="42" xfId="0" applyFont="1" applyFill="1" applyBorder="1"/>
    <xf numFmtId="43" fontId="9" fillId="0" borderId="44" xfId="1" applyFont="1" applyBorder="1"/>
    <xf numFmtId="165" fontId="9" fillId="0" borderId="17" xfId="0" applyNumberFormat="1" applyFont="1" applyBorder="1"/>
    <xf numFmtId="165" fontId="9" fillId="0" borderId="54" xfId="1" applyNumberFormat="1" applyFont="1" applyFill="1" applyBorder="1" applyAlignment="1">
      <alignment wrapText="1"/>
    </xf>
    <xf numFmtId="0" fontId="22" fillId="8" borderId="42" xfId="0" applyFont="1" applyFill="1" applyBorder="1"/>
    <xf numFmtId="165" fontId="10" fillId="0" borderId="43" xfId="1" applyNumberFormat="1" applyFont="1" applyBorder="1" applyAlignment="1">
      <alignment wrapText="1"/>
    </xf>
    <xf numFmtId="0" fontId="9" fillId="8" borderId="57" xfId="0" applyFont="1" applyFill="1" applyBorder="1"/>
    <xf numFmtId="0" fontId="9" fillId="8" borderId="49" xfId="0" applyFont="1" applyFill="1" applyBorder="1"/>
    <xf numFmtId="0" fontId="9" fillId="0" borderId="43" xfId="0" applyFont="1" applyBorder="1"/>
    <xf numFmtId="165" fontId="10" fillId="0" borderId="43" xfId="1" applyNumberFormat="1" applyFont="1" applyFill="1" applyBorder="1" applyAlignment="1">
      <alignment wrapText="1"/>
    </xf>
    <xf numFmtId="9" fontId="9" fillId="0" borderId="41" xfId="2" applyFont="1" applyFill="1" applyBorder="1"/>
    <xf numFmtId="165" fontId="9" fillId="0" borderId="43" xfId="0" applyNumberFormat="1" applyFont="1" applyBorder="1"/>
    <xf numFmtId="0" fontId="9" fillId="0" borderId="23" xfId="0" applyFont="1" applyBorder="1"/>
    <xf numFmtId="165" fontId="9" fillId="0" borderId="23" xfId="1" applyNumberFormat="1" applyFont="1" applyFill="1" applyBorder="1" applyAlignment="1">
      <alignment wrapText="1"/>
    </xf>
    <xf numFmtId="9" fontId="9" fillId="0" borderId="1" xfId="2" applyFont="1" applyBorder="1"/>
    <xf numFmtId="165" fontId="9" fillId="0" borderId="23" xfId="0" applyNumberFormat="1" applyFont="1" applyBorder="1"/>
    <xf numFmtId="0" fontId="4" fillId="0" borderId="10" xfId="0" applyFont="1" applyBorder="1" applyAlignment="1">
      <alignment horizontal="right"/>
    </xf>
    <xf numFmtId="165" fontId="4" fillId="0" borderId="60" xfId="1" applyNumberFormat="1" applyFont="1" applyFill="1" applyBorder="1"/>
    <xf numFmtId="9" fontId="4" fillId="2" borderId="10" xfId="2" applyFont="1" applyFill="1" applyBorder="1"/>
    <xf numFmtId="43" fontId="6" fillId="0" borderId="4" xfId="1" applyFont="1" applyBorder="1"/>
    <xf numFmtId="43" fontId="6" fillId="0" borderId="4" xfId="1" applyFont="1" applyFill="1" applyBorder="1" applyAlignment="1"/>
    <xf numFmtId="10" fontId="4" fillId="2" borderId="6" xfId="2" applyNumberFormat="1" applyFont="1" applyFill="1" applyBorder="1"/>
    <xf numFmtId="167" fontId="6" fillId="2" borderId="6" xfId="2" applyNumberFormat="1" applyFont="1" applyFill="1" applyBorder="1"/>
    <xf numFmtId="43" fontId="9" fillId="5" borderId="42" xfId="1" applyFont="1" applyFill="1" applyBorder="1"/>
    <xf numFmtId="165" fontId="10" fillId="0" borderId="43" xfId="1" applyNumberFormat="1" applyFont="1" applyBorder="1" applyAlignment="1"/>
    <xf numFmtId="165" fontId="9" fillId="0" borderId="48" xfId="1" applyNumberFormat="1" applyFont="1" applyBorder="1" applyAlignment="1">
      <alignment wrapText="1"/>
    </xf>
    <xf numFmtId="43" fontId="9" fillId="0" borderId="46" xfId="1" applyFont="1" applyBorder="1" applyAlignment="1">
      <alignment wrapText="1"/>
    </xf>
    <xf numFmtId="165" fontId="9" fillId="0" borderId="47" xfId="1" applyNumberFormat="1" applyFont="1" applyFill="1" applyBorder="1" applyAlignment="1">
      <alignment wrapText="1"/>
    </xf>
    <xf numFmtId="43" fontId="9" fillId="5" borderId="49" xfId="1" applyFont="1" applyFill="1" applyBorder="1"/>
    <xf numFmtId="165" fontId="10" fillId="0" borderId="50" xfId="1" applyNumberFormat="1" applyFont="1" applyBorder="1"/>
    <xf numFmtId="165" fontId="9" fillId="0" borderId="55" xfId="1" applyNumberFormat="1" applyFont="1" applyBorder="1" applyAlignment="1">
      <alignment wrapText="1"/>
    </xf>
    <xf numFmtId="43" fontId="9" fillId="0" borderId="53" xfId="1" applyFont="1" applyBorder="1" applyAlignment="1">
      <alignment wrapText="1"/>
    </xf>
    <xf numFmtId="43" fontId="9" fillId="9" borderId="42" xfId="1" applyFont="1" applyFill="1" applyBorder="1"/>
    <xf numFmtId="165" fontId="9" fillId="0" borderId="61" xfId="1" applyNumberFormat="1" applyFont="1" applyBorder="1" applyAlignment="1">
      <alignment wrapText="1"/>
    </xf>
    <xf numFmtId="165" fontId="9" fillId="0" borderId="48" xfId="1" applyNumberFormat="1" applyFont="1" applyFill="1" applyBorder="1" applyAlignment="1">
      <alignment wrapText="1"/>
    </xf>
    <xf numFmtId="43" fontId="9" fillId="9" borderId="49" xfId="1" applyFont="1" applyFill="1" applyBorder="1"/>
    <xf numFmtId="165" fontId="9" fillId="0" borderId="56" xfId="1" applyNumberFormat="1" applyFont="1" applyBorder="1" applyAlignment="1">
      <alignment wrapText="1"/>
    </xf>
    <xf numFmtId="165" fontId="9" fillId="0" borderId="55" xfId="1" applyNumberFormat="1" applyFont="1" applyFill="1" applyBorder="1" applyAlignment="1">
      <alignment wrapText="1"/>
    </xf>
    <xf numFmtId="43" fontId="9" fillId="10" borderId="42" xfId="1" applyFont="1" applyFill="1" applyBorder="1"/>
    <xf numFmtId="43" fontId="9" fillId="10" borderId="49" xfId="1" applyFont="1" applyFill="1" applyBorder="1"/>
    <xf numFmtId="43" fontId="9" fillId="11" borderId="42" xfId="1" applyFont="1" applyFill="1" applyBorder="1"/>
    <xf numFmtId="43" fontId="9" fillId="11" borderId="57" xfId="1" applyFont="1" applyFill="1" applyBorder="1"/>
    <xf numFmtId="165" fontId="10" fillId="0" borderId="1" xfId="1" applyNumberFormat="1" applyFont="1" applyBorder="1"/>
    <xf numFmtId="165" fontId="9" fillId="0" borderId="17" xfId="1" applyNumberFormat="1" applyFont="1" applyBorder="1" applyAlignment="1">
      <alignment wrapText="1"/>
    </xf>
    <xf numFmtId="43" fontId="9" fillId="0" borderId="59" xfId="1" applyFont="1" applyBorder="1" applyAlignment="1">
      <alignment wrapText="1"/>
    </xf>
    <xf numFmtId="165" fontId="9" fillId="0" borderId="39" xfId="1" applyNumberFormat="1" applyFont="1" applyFill="1" applyBorder="1" applyAlignment="1">
      <alignment wrapText="1"/>
    </xf>
    <xf numFmtId="165" fontId="9" fillId="0" borderId="34" xfId="1" applyNumberFormat="1" applyFont="1" applyFill="1" applyBorder="1" applyAlignment="1">
      <alignment wrapText="1"/>
    </xf>
    <xf numFmtId="43" fontId="9" fillId="11" borderId="49" xfId="1" applyFont="1" applyFill="1" applyBorder="1"/>
    <xf numFmtId="165" fontId="10" fillId="0" borderId="50" xfId="1" applyNumberFormat="1" applyFont="1" applyBorder="1" applyAlignment="1"/>
    <xf numFmtId="43" fontId="9" fillId="12" borderId="42" xfId="1" applyFont="1" applyFill="1" applyBorder="1"/>
    <xf numFmtId="165" fontId="10" fillId="0" borderId="43" xfId="1" applyNumberFormat="1" applyFont="1" applyBorder="1"/>
    <xf numFmtId="43" fontId="9" fillId="12" borderId="57" xfId="1" applyFont="1" applyFill="1" applyBorder="1"/>
    <xf numFmtId="165" fontId="9" fillId="0" borderId="34" xfId="1" applyNumberFormat="1" applyFont="1" applyBorder="1" applyAlignment="1">
      <alignment wrapText="1"/>
    </xf>
    <xf numFmtId="43" fontId="9" fillId="12" borderId="49" xfId="1" applyFont="1" applyFill="1" applyBorder="1"/>
    <xf numFmtId="43" fontId="9" fillId="13" borderId="42" xfId="1" applyFont="1" applyFill="1" applyBorder="1"/>
    <xf numFmtId="165" fontId="9" fillId="0" borderId="43" xfId="1" applyNumberFormat="1" applyFont="1" applyFill="1" applyBorder="1"/>
    <xf numFmtId="43" fontId="9" fillId="13" borderId="49" xfId="1" applyFont="1" applyFill="1" applyBorder="1"/>
    <xf numFmtId="43" fontId="9" fillId="8" borderId="42" xfId="1" applyFont="1" applyFill="1" applyBorder="1"/>
    <xf numFmtId="43" fontId="9" fillId="8" borderId="49" xfId="1" applyFont="1" applyFill="1" applyBorder="1"/>
    <xf numFmtId="43" fontId="9" fillId="14" borderId="42" xfId="1" applyFont="1" applyFill="1" applyBorder="1"/>
    <xf numFmtId="43" fontId="9" fillId="14" borderId="49" xfId="1" applyFont="1" applyFill="1" applyBorder="1"/>
    <xf numFmtId="165" fontId="9" fillId="0" borderId="50" xfId="1" applyNumberFormat="1" applyFont="1" applyFill="1" applyBorder="1"/>
    <xf numFmtId="43" fontId="9" fillId="7" borderId="42" xfId="1" applyFont="1" applyFill="1" applyBorder="1"/>
    <xf numFmtId="43" fontId="9" fillId="7" borderId="57" xfId="1" applyFont="1" applyFill="1" applyBorder="1"/>
    <xf numFmtId="43" fontId="9" fillId="0" borderId="42" xfId="1" applyFont="1" applyBorder="1"/>
    <xf numFmtId="43" fontId="9" fillId="0" borderId="57" xfId="1" applyFont="1" applyBorder="1"/>
    <xf numFmtId="165" fontId="10" fillId="0" borderId="1" xfId="1" applyNumberFormat="1" applyFont="1" applyBorder="1" applyAlignment="1"/>
    <xf numFmtId="43" fontId="9" fillId="0" borderId="49" xfId="1" applyFont="1" applyBorder="1"/>
    <xf numFmtId="43" fontId="9" fillId="15" borderId="42" xfId="1" applyFont="1" applyFill="1" applyBorder="1"/>
    <xf numFmtId="43" fontId="9" fillId="15" borderId="49" xfId="1" applyFont="1" applyFill="1" applyBorder="1"/>
    <xf numFmtId="9" fontId="9" fillId="0" borderId="41" xfId="2" applyFont="1" applyBorder="1" applyAlignment="1">
      <alignment wrapText="1"/>
    </xf>
    <xf numFmtId="43" fontId="9" fillId="0" borderId="41" xfId="1" applyFont="1" applyFill="1" applyBorder="1" applyAlignment="1"/>
    <xf numFmtId="9" fontId="4" fillId="2" borderId="4" xfId="2" applyFont="1" applyFill="1" applyBorder="1"/>
    <xf numFmtId="43" fontId="6" fillId="0" borderId="4" xfId="1" applyFont="1" applyBorder="1" applyAlignment="1">
      <alignment wrapText="1"/>
    </xf>
    <xf numFmtId="165" fontId="6" fillId="2" borderId="4" xfId="1" applyNumberFormat="1" applyFont="1" applyFill="1" applyBorder="1"/>
    <xf numFmtId="43" fontId="6" fillId="2" borderId="10" xfId="1" applyFont="1" applyFill="1" applyBorder="1"/>
    <xf numFmtId="0" fontId="3" fillId="0" borderId="2" xfId="0" applyFont="1" applyBorder="1"/>
    <xf numFmtId="165" fontId="12" fillId="0" borderId="63" xfId="1" applyNumberFormat="1" applyFont="1" applyFill="1" applyBorder="1"/>
    <xf numFmtId="10" fontId="4" fillId="2" borderId="64" xfId="2" applyNumberFormat="1" applyFont="1" applyFill="1" applyBorder="1"/>
    <xf numFmtId="165" fontId="4" fillId="0" borderId="65" xfId="1" applyNumberFormat="1" applyFont="1" applyFill="1" applyBorder="1"/>
    <xf numFmtId="165" fontId="6" fillId="0" borderId="10" xfId="0" applyNumberFormat="1" applyFont="1" applyBorder="1"/>
    <xf numFmtId="9" fontId="6" fillId="2" borderId="4" xfId="2" applyFont="1" applyFill="1" applyBorder="1"/>
    <xf numFmtId="165" fontId="3" fillId="0" borderId="9" xfId="1" applyNumberFormat="1" applyFont="1" applyFill="1" applyBorder="1"/>
    <xf numFmtId="10" fontId="6" fillId="2" borderId="11" xfId="2" applyNumberFormat="1" applyFont="1" applyFill="1" applyBorder="1"/>
    <xf numFmtId="10" fontId="6" fillId="2" borderId="4" xfId="2" applyNumberFormat="1" applyFont="1" applyFill="1" applyBorder="1"/>
    <xf numFmtId="43" fontId="9" fillId="0" borderId="66" xfId="1" applyFont="1" applyFill="1" applyBorder="1" applyAlignment="1"/>
    <xf numFmtId="0" fontId="9" fillId="6" borderId="49" xfId="0" applyFont="1" applyFill="1" applyBorder="1"/>
    <xf numFmtId="0" fontId="22" fillId="7" borderId="49" xfId="0" applyFont="1" applyFill="1" applyBorder="1"/>
    <xf numFmtId="43" fontId="9" fillId="0" borderId="62" xfId="1" applyFont="1" applyBorder="1"/>
    <xf numFmtId="43" fontId="9" fillId="0" borderId="41" xfId="1" applyFont="1" applyFill="1" applyBorder="1"/>
    <xf numFmtId="165" fontId="10" fillId="0" borderId="41" xfId="1" applyNumberFormat="1" applyFont="1" applyBorder="1"/>
    <xf numFmtId="165" fontId="9" fillId="0" borderId="41" xfId="1" applyNumberFormat="1" applyFont="1" applyBorder="1" applyAlignment="1">
      <alignment wrapText="1"/>
    </xf>
    <xf numFmtId="43" fontId="9" fillId="0" borderId="41" xfId="1" applyFont="1" applyBorder="1" applyAlignment="1">
      <alignment wrapText="1"/>
    </xf>
    <xf numFmtId="165" fontId="9" fillId="0" borderId="1" xfId="1" applyNumberFormat="1" applyFont="1" applyBorder="1" applyAlignment="1">
      <alignment wrapText="1"/>
    </xf>
    <xf numFmtId="43" fontId="9" fillId="0" borderId="1" xfId="1" applyFont="1" applyBorder="1" applyAlignment="1">
      <alignment wrapText="1"/>
    </xf>
    <xf numFmtId="43" fontId="9" fillId="0" borderId="1" xfId="1" applyFont="1" applyFill="1" applyBorder="1" applyAlignment="1">
      <alignment horizontal="center" vertical="center"/>
    </xf>
    <xf numFmtId="43" fontId="9" fillId="16" borderId="1" xfId="1" applyFont="1" applyFill="1" applyBorder="1"/>
    <xf numFmtId="174" fontId="30" fillId="0" borderId="1" xfId="1" applyNumberFormat="1" applyFont="1" applyFill="1" applyBorder="1"/>
    <xf numFmtId="173" fontId="10" fillId="0" borderId="1" xfId="1" applyNumberFormat="1" applyFont="1" applyBorder="1"/>
    <xf numFmtId="173" fontId="9" fillId="0" borderId="1" xfId="1" applyNumberFormat="1" applyFont="1" applyBorder="1"/>
    <xf numFmtId="173" fontId="3" fillId="0" borderId="1" xfId="1" applyNumberFormat="1" applyFont="1" applyBorder="1"/>
    <xf numFmtId="173" fontId="10" fillId="0" borderId="3" xfId="1" applyNumberFormat="1" applyFont="1" applyBorder="1"/>
    <xf numFmtId="173" fontId="9" fillId="0" borderId="3" xfId="1" applyNumberFormat="1" applyFont="1" applyBorder="1"/>
    <xf numFmtId="173" fontId="9" fillId="0" borderId="3" xfId="1" applyNumberFormat="1" applyFont="1" applyFill="1" applyBorder="1" applyAlignment="1">
      <alignment horizontal="right" wrapText="1"/>
    </xf>
    <xf numFmtId="9" fontId="9" fillId="0" borderId="3" xfId="2" applyFont="1" applyFill="1" applyBorder="1"/>
    <xf numFmtId="173" fontId="9" fillId="0" borderId="3" xfId="1" applyNumberFormat="1" applyFont="1" applyFill="1" applyBorder="1" applyAlignment="1">
      <alignment wrapText="1"/>
    </xf>
    <xf numFmtId="9" fontId="9" fillId="0" borderId="3" xfId="2" applyFont="1" applyFill="1" applyBorder="1" applyAlignment="1">
      <alignment wrapText="1"/>
    </xf>
    <xf numFmtId="167" fontId="4" fillId="0" borderId="4" xfId="2" applyNumberFormat="1" applyFont="1" applyFill="1" applyBorder="1"/>
    <xf numFmtId="174" fontId="1" fillId="0" borderId="0" xfId="1" applyNumberFormat="1" applyFill="1" applyBorder="1"/>
    <xf numFmtId="173" fontId="9" fillId="0" borderId="17" xfId="1" applyNumberFormat="1" applyFont="1" applyBorder="1"/>
    <xf numFmtId="173" fontId="4" fillId="0" borderId="32" xfId="1" applyNumberFormat="1" applyFont="1" applyBorder="1"/>
    <xf numFmtId="165" fontId="4" fillId="0" borderId="32" xfId="0" applyNumberFormat="1" applyFont="1" applyBorder="1"/>
    <xf numFmtId="165" fontId="4" fillId="0" borderId="11" xfId="0" applyNumberFormat="1" applyFont="1" applyBorder="1"/>
    <xf numFmtId="170" fontId="23" fillId="0" borderId="32" xfId="1" applyNumberFormat="1" applyFont="1" applyBorder="1" applyAlignment="1">
      <alignment vertical="center"/>
    </xf>
    <xf numFmtId="171" fontId="23" fillId="0" borderId="32" xfId="1" applyNumberFormat="1" applyFont="1" applyBorder="1" applyAlignment="1">
      <alignment vertical="center"/>
    </xf>
    <xf numFmtId="172" fontId="23" fillId="0" borderId="32" xfId="1" applyNumberFormat="1" applyFont="1" applyBorder="1" applyAlignment="1">
      <alignment vertical="center"/>
    </xf>
    <xf numFmtId="165" fontId="23" fillId="0" borderId="32" xfId="0" applyNumberFormat="1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170" fontId="23" fillId="0" borderId="4" xfId="1" applyNumberFormat="1" applyFont="1" applyBorder="1" applyAlignment="1">
      <alignment vertical="center"/>
    </xf>
    <xf numFmtId="171" fontId="23" fillId="0" borderId="4" xfId="1" applyNumberFormat="1" applyFont="1" applyBorder="1" applyAlignment="1">
      <alignment vertical="center"/>
    </xf>
    <xf numFmtId="172" fontId="23" fillId="0" borderId="4" xfId="1" applyNumberFormat="1" applyFont="1" applyBorder="1" applyAlignment="1">
      <alignment vertical="center"/>
    </xf>
    <xf numFmtId="165" fontId="23" fillId="0" borderId="4" xfId="0" applyNumberFormat="1" applyFont="1" applyBorder="1" applyAlignment="1">
      <alignment vertical="center"/>
    </xf>
    <xf numFmtId="9" fontId="31" fillId="0" borderId="10" xfId="2" applyFont="1" applyBorder="1" applyAlignment="1">
      <alignment vertical="center"/>
    </xf>
    <xf numFmtId="167" fontId="4" fillId="2" borderId="10" xfId="2" applyNumberFormat="1" applyFont="1" applyFill="1" applyBorder="1"/>
    <xf numFmtId="0" fontId="9" fillId="0" borderId="18" xfId="0" applyFont="1" applyBorder="1"/>
    <xf numFmtId="0" fontId="9" fillId="0" borderId="68" xfId="0" applyFont="1" applyBorder="1"/>
    <xf numFmtId="164" fontId="6" fillId="0" borderId="32" xfId="0" applyNumberFormat="1" applyFont="1" applyBorder="1"/>
    <xf numFmtId="165" fontId="6" fillId="0" borderId="67" xfId="0" applyNumberFormat="1" applyFont="1" applyBorder="1"/>
    <xf numFmtId="0" fontId="6" fillId="0" borderId="69" xfId="0" applyFont="1" applyBorder="1" applyAlignment="1">
      <alignment vertical="center"/>
    </xf>
    <xf numFmtId="165" fontId="6" fillId="0" borderId="32" xfId="0" applyNumberFormat="1" applyFont="1" applyBorder="1"/>
    <xf numFmtId="0" fontId="9" fillId="0" borderId="70" xfId="0" applyFont="1" applyBorder="1"/>
    <xf numFmtId="165" fontId="22" fillId="0" borderId="0" xfId="1" applyNumberFormat="1" applyFont="1"/>
    <xf numFmtId="0" fontId="0" fillId="2" borderId="0" xfId="0" applyFill="1"/>
    <xf numFmtId="43" fontId="9" fillId="0" borderId="71" xfId="1" applyFont="1" applyFill="1" applyBorder="1"/>
    <xf numFmtId="0" fontId="10" fillId="0" borderId="1" xfId="0" applyFont="1" applyBorder="1"/>
    <xf numFmtId="165" fontId="4" fillId="0" borderId="32" xfId="1" applyNumberFormat="1" applyFont="1" applyFill="1" applyBorder="1"/>
    <xf numFmtId="0" fontId="10" fillId="0" borderId="3" xfId="0" applyFont="1" applyBorder="1"/>
    <xf numFmtId="173" fontId="10" fillId="0" borderId="1" xfId="1" applyNumberFormat="1" applyFont="1" applyFill="1" applyBorder="1" applyAlignment="1">
      <alignment wrapText="1"/>
    </xf>
    <xf numFmtId="173" fontId="10" fillId="0" borderId="3" xfId="1" applyNumberFormat="1" applyFont="1" applyBorder="1" applyAlignment="1">
      <alignment wrapText="1"/>
    </xf>
    <xf numFmtId="173" fontId="10" fillId="0" borderId="3" xfId="1" applyNumberFormat="1" applyFont="1" applyFill="1" applyBorder="1" applyAlignment="1">
      <alignment wrapText="1"/>
    </xf>
    <xf numFmtId="173" fontId="9" fillId="0" borderId="3" xfId="1" applyNumberFormat="1" applyFont="1" applyBorder="1" applyAlignment="1">
      <alignment wrapText="1"/>
    </xf>
    <xf numFmtId="165" fontId="10" fillId="0" borderId="23" xfId="1" applyNumberFormat="1" applyFont="1" applyFill="1" applyBorder="1" applyAlignment="1">
      <alignment wrapText="1"/>
    </xf>
    <xf numFmtId="165" fontId="10" fillId="0" borderId="50" xfId="1" applyNumberFormat="1" applyFont="1" applyFill="1" applyBorder="1" applyAlignment="1">
      <alignment wrapText="1"/>
    </xf>
    <xf numFmtId="9" fontId="9" fillId="0" borderId="50" xfId="2" applyFont="1" applyFill="1" applyBorder="1"/>
    <xf numFmtId="43" fontId="9" fillId="0" borderId="43" xfId="1" applyFont="1" applyBorder="1"/>
    <xf numFmtId="43" fontId="9" fillId="0" borderId="43" xfId="1" applyFont="1" applyFill="1" applyBorder="1" applyAlignment="1"/>
    <xf numFmtId="43" fontId="9" fillId="7" borderId="49" xfId="1" applyFont="1" applyFill="1" applyBorder="1"/>
    <xf numFmtId="43" fontId="9" fillId="0" borderId="23" xfId="1" applyFont="1" applyFill="1" applyBorder="1" applyAlignment="1">
      <alignment horizontal="center" vertical="center"/>
    </xf>
    <xf numFmtId="173" fontId="9" fillId="0" borderId="17" xfId="1" applyNumberFormat="1" applyFont="1" applyBorder="1" applyAlignment="1">
      <alignment wrapText="1"/>
    </xf>
    <xf numFmtId="173" fontId="9" fillId="0" borderId="15" xfId="1" applyNumberFormat="1" applyFont="1" applyBorder="1" applyAlignment="1"/>
    <xf numFmtId="173" fontId="10" fillId="0" borderId="16" xfId="1" applyNumberFormat="1" applyFont="1" applyBorder="1" applyAlignment="1">
      <alignment horizontal="right"/>
    </xf>
    <xf numFmtId="165" fontId="10" fillId="0" borderId="20" xfId="1" applyNumberFormat="1" applyFont="1" applyBorder="1" applyAlignment="1">
      <alignment horizontal="right"/>
    </xf>
    <xf numFmtId="165" fontId="9" fillId="0" borderId="20" xfId="1" applyNumberFormat="1" applyFont="1" applyBorder="1" applyAlignment="1">
      <alignment horizontal="right"/>
    </xf>
    <xf numFmtId="165" fontId="9" fillId="0" borderId="16" xfId="1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30" fillId="2" borderId="0" xfId="0" applyFont="1" applyFill="1"/>
    <xf numFmtId="0" fontId="30" fillId="0" borderId="0" xfId="0" applyFont="1"/>
    <xf numFmtId="165" fontId="22" fillId="3" borderId="16" xfId="1" applyNumberFormat="1" applyFont="1" applyFill="1" applyBorder="1" applyAlignment="1">
      <alignment horizontal="right" vertical="center"/>
    </xf>
    <xf numFmtId="165" fontId="22" fillId="0" borderId="25" xfId="1" applyNumberFormat="1" applyFont="1" applyBorder="1"/>
    <xf numFmtId="0" fontId="33" fillId="2" borderId="0" xfId="0" applyFont="1" applyFill="1"/>
    <xf numFmtId="0" fontId="33" fillId="0" borderId="0" xfId="0" applyFont="1"/>
    <xf numFmtId="165" fontId="4" fillId="0" borderId="4" xfId="0" applyNumberFormat="1" applyFont="1" applyBorder="1"/>
    <xf numFmtId="0" fontId="30" fillId="2" borderId="70" xfId="0" applyFont="1" applyFill="1" applyBorder="1"/>
    <xf numFmtId="170" fontId="4" fillId="0" borderId="4" xfId="1" applyNumberFormat="1" applyFont="1" applyBorder="1" applyAlignment="1"/>
    <xf numFmtId="171" fontId="4" fillId="0" borderId="4" xfId="1" applyNumberFormat="1" applyFont="1" applyBorder="1" applyAlignment="1"/>
    <xf numFmtId="172" fontId="4" fillId="0" borderId="4" xfId="1" applyNumberFormat="1" applyFont="1" applyBorder="1" applyAlignment="1"/>
    <xf numFmtId="17" fontId="10" fillId="0" borderId="20" xfId="0" applyNumberFormat="1" applyFont="1" applyBorder="1" applyAlignment="1">
      <alignment horizontal="left"/>
    </xf>
    <xf numFmtId="17" fontId="10" fillId="0" borderId="16" xfId="0" applyNumberFormat="1" applyFont="1" applyBorder="1" applyAlignment="1">
      <alignment horizontal="left"/>
    </xf>
    <xf numFmtId="17" fontId="10" fillId="0" borderId="25" xfId="0" applyNumberFormat="1" applyFont="1" applyBorder="1" applyAlignment="1">
      <alignment horizontal="left"/>
    </xf>
    <xf numFmtId="170" fontId="4" fillId="0" borderId="32" xfId="1" applyNumberFormat="1" applyFont="1" applyBorder="1" applyAlignment="1"/>
    <xf numFmtId="171" fontId="4" fillId="0" borderId="32" xfId="1" applyNumberFormat="1" applyFont="1" applyBorder="1" applyAlignment="1"/>
    <xf numFmtId="172" fontId="4" fillId="0" borderId="32" xfId="1" applyNumberFormat="1" applyFont="1" applyBorder="1" applyAlignment="1"/>
    <xf numFmtId="9" fontId="10" fillId="0" borderId="20" xfId="2" applyFont="1" applyBorder="1"/>
    <xf numFmtId="9" fontId="10" fillId="0" borderId="16" xfId="2" applyFont="1" applyBorder="1"/>
    <xf numFmtId="0" fontId="10" fillId="0" borderId="16" xfId="0" applyFont="1" applyBorder="1"/>
    <xf numFmtId="0" fontId="10" fillId="0" borderId="25" xfId="0" applyFont="1" applyBorder="1"/>
    <xf numFmtId="0" fontId="33" fillId="0" borderId="32" xfId="0" applyFont="1" applyBorder="1"/>
    <xf numFmtId="9" fontId="33" fillId="0" borderId="32" xfId="0" applyNumberFormat="1" applyFont="1" applyBorder="1"/>
    <xf numFmtId="0" fontId="2" fillId="0" borderId="0" xfId="0" applyFont="1"/>
    <xf numFmtId="173" fontId="9" fillId="0" borderId="16" xfId="1" applyNumberFormat="1" applyFont="1" applyBorder="1"/>
    <xf numFmtId="17" fontId="10" fillId="0" borderId="72" xfId="0" applyNumberFormat="1" applyFont="1" applyBorder="1" applyAlignment="1">
      <alignment horizontal="left"/>
    </xf>
    <xf numFmtId="173" fontId="10" fillId="0" borderId="17" xfId="1" applyNumberFormat="1" applyFont="1" applyBorder="1"/>
    <xf numFmtId="0" fontId="0" fillId="0" borderId="22" xfId="0" applyBorder="1"/>
    <xf numFmtId="165" fontId="10" fillId="0" borderId="15" xfId="0" applyNumberFormat="1" applyFont="1" applyBorder="1"/>
    <xf numFmtId="165" fontId="10" fillId="0" borderId="16" xfId="0" applyNumberFormat="1" applyFont="1" applyBorder="1"/>
    <xf numFmtId="173" fontId="10" fillId="0" borderId="8" xfId="1" applyNumberFormat="1" applyFont="1" applyBorder="1"/>
    <xf numFmtId="0" fontId="32" fillId="0" borderId="0" xfId="0" applyFont="1"/>
    <xf numFmtId="17" fontId="10" fillId="0" borderId="19" xfId="0" applyNumberFormat="1" applyFont="1" applyBorder="1" applyAlignment="1">
      <alignment horizontal="left"/>
    </xf>
    <xf numFmtId="17" fontId="10" fillId="0" borderId="40" xfId="0" applyNumberFormat="1" applyFont="1" applyBorder="1" applyAlignment="1">
      <alignment horizontal="left"/>
    </xf>
    <xf numFmtId="17" fontId="10" fillId="0" borderId="70" xfId="0" applyNumberFormat="1" applyFont="1" applyBorder="1" applyAlignment="1">
      <alignment horizontal="left"/>
    </xf>
    <xf numFmtId="173" fontId="10" fillId="0" borderId="16" xfId="0" applyNumberFormat="1" applyFont="1" applyBorder="1"/>
    <xf numFmtId="173" fontId="9" fillId="0" borderId="20" xfId="1" applyNumberFormat="1" applyFont="1" applyBorder="1"/>
    <xf numFmtId="173" fontId="10" fillId="0" borderId="20" xfId="0" applyNumberFormat="1" applyFont="1" applyBorder="1"/>
    <xf numFmtId="0" fontId="0" fillId="0" borderId="25" xfId="0" applyBorder="1"/>
    <xf numFmtId="0" fontId="32" fillId="0" borderId="32" xfId="0" applyFont="1" applyBorder="1"/>
    <xf numFmtId="173" fontId="4" fillId="0" borderId="32" xfId="0" applyNumberFormat="1" applyFont="1" applyBorder="1"/>
    <xf numFmtId="165" fontId="10" fillId="0" borderId="16" xfId="1" applyNumberFormat="1" applyFont="1" applyFill="1" applyBorder="1"/>
    <xf numFmtId="173" fontId="10" fillId="0" borderId="18" xfId="1" applyNumberFormat="1" applyFont="1" applyFill="1" applyBorder="1"/>
    <xf numFmtId="9" fontId="10" fillId="0" borderId="8" xfId="2" applyFont="1" applyBorder="1"/>
    <xf numFmtId="0" fontId="6" fillId="0" borderId="1" xfId="0" applyFont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" fontId="4" fillId="0" borderId="73" xfId="0" applyNumberFormat="1" applyFont="1" applyBorder="1" applyAlignment="1">
      <alignment horizontal="center"/>
    </xf>
    <xf numFmtId="17" fontId="4" fillId="0" borderId="13" xfId="0" applyNumberFormat="1" applyFont="1" applyBorder="1" applyAlignment="1">
      <alignment horizontal="center"/>
    </xf>
    <xf numFmtId="173" fontId="4" fillId="0" borderId="15" xfId="1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173" fontId="9" fillId="0" borderId="0" xfId="1" applyNumberFormat="1" applyFont="1" applyAlignment="1"/>
    <xf numFmtId="173" fontId="9" fillId="0" borderId="62" xfId="1" applyNumberFormat="1" applyFont="1" applyBorder="1" applyAlignment="1"/>
    <xf numFmtId="9" fontId="9" fillId="0" borderId="23" xfId="2" applyFont="1" applyBorder="1"/>
    <xf numFmtId="9" fontId="9" fillId="0" borderId="43" xfId="2" applyFont="1" applyFill="1" applyBorder="1"/>
    <xf numFmtId="165" fontId="9" fillId="0" borderId="7" xfId="0" applyNumberFormat="1" applyFont="1" applyBorder="1"/>
    <xf numFmtId="43" fontId="9" fillId="0" borderId="74" xfId="1" applyFont="1" applyBorder="1"/>
    <xf numFmtId="165" fontId="9" fillId="0" borderId="62" xfId="1" applyNumberFormat="1" applyFont="1" applyFill="1" applyBorder="1"/>
    <xf numFmtId="165" fontId="9" fillId="0" borderId="75" xfId="1" applyNumberFormat="1" applyFont="1" applyFill="1" applyBorder="1"/>
    <xf numFmtId="43" fontId="9" fillId="0" borderId="61" xfId="1" applyFont="1" applyBorder="1"/>
    <xf numFmtId="165" fontId="9" fillId="0" borderId="75" xfId="0" applyNumberFormat="1" applyFont="1" applyBorder="1"/>
    <xf numFmtId="9" fontId="4" fillId="17" borderId="4" xfId="2" applyFont="1" applyFill="1" applyBorder="1"/>
    <xf numFmtId="43" fontId="6" fillId="17" borderId="4" xfId="1" applyFont="1" applyFill="1" applyBorder="1"/>
    <xf numFmtId="43" fontId="6" fillId="17" borderId="10" xfId="1" applyFont="1" applyFill="1" applyBorder="1"/>
    <xf numFmtId="4" fontId="9" fillId="0" borderId="0" xfId="0" applyNumberFormat="1" applyFont="1" applyAlignment="1">
      <alignment horizontal="right" wrapText="1"/>
    </xf>
    <xf numFmtId="173" fontId="9" fillId="0" borderId="0" xfId="1" applyNumberFormat="1" applyFont="1" applyAlignment="1">
      <alignment horizontal="right"/>
    </xf>
    <xf numFmtId="43" fontId="6" fillId="17" borderId="4" xfId="1" applyFont="1" applyFill="1" applyBorder="1" applyAlignment="1"/>
    <xf numFmtId="165" fontId="6" fillId="17" borderId="4" xfId="1" applyNumberFormat="1" applyFont="1" applyFill="1" applyBorder="1"/>
    <xf numFmtId="43" fontId="6" fillId="0" borderId="5" xfId="1" applyFont="1" applyBorder="1" applyAlignment="1">
      <alignment wrapText="1"/>
    </xf>
    <xf numFmtId="173" fontId="9" fillId="0" borderId="0" xfId="1" applyNumberFormat="1" applyFont="1" applyFill="1"/>
    <xf numFmtId="165" fontId="6" fillId="17" borderId="9" xfId="1" applyNumberFormat="1" applyFont="1" applyFill="1" applyBorder="1"/>
    <xf numFmtId="0" fontId="2" fillId="0" borderId="73" xfId="0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165" fontId="4" fillId="0" borderId="5" xfId="1" applyNumberFormat="1" applyFont="1" applyFill="1" applyBorder="1"/>
    <xf numFmtId="9" fontId="4" fillId="17" borderId="5" xfId="2" applyFont="1" applyFill="1" applyBorder="1"/>
    <xf numFmtId="43" fontId="6" fillId="0" borderId="5" xfId="1" applyFont="1" applyFill="1" applyBorder="1"/>
    <xf numFmtId="165" fontId="6" fillId="17" borderId="5" xfId="1" applyNumberFormat="1" applyFont="1" applyFill="1" applyBorder="1"/>
    <xf numFmtId="43" fontId="6" fillId="17" borderId="5" xfId="1" applyFont="1" applyFill="1" applyBorder="1"/>
    <xf numFmtId="4" fontId="9" fillId="0" borderId="1" xfId="0" applyNumberFormat="1" applyFont="1" applyBorder="1" applyAlignment="1">
      <alignment horizontal="right" wrapText="1"/>
    </xf>
    <xf numFmtId="43" fontId="9" fillId="0" borderId="1" xfId="1" applyFont="1" applyBorder="1"/>
    <xf numFmtId="0" fontId="4" fillId="0" borderId="76" xfId="0" applyFont="1" applyBorder="1" applyAlignment="1">
      <alignment horizontal="right"/>
    </xf>
    <xf numFmtId="165" fontId="4" fillId="0" borderId="77" xfId="1" applyNumberFormat="1" applyFont="1" applyFill="1" applyBorder="1"/>
    <xf numFmtId="175" fontId="6" fillId="0" borderId="5" xfId="1" applyNumberFormat="1" applyFont="1" applyFill="1" applyBorder="1" applyAlignment="1">
      <alignment wrapText="1"/>
    </xf>
    <xf numFmtId="165" fontId="6" fillId="17" borderId="78" xfId="1" applyNumberFormat="1" applyFont="1" applyFill="1" applyBorder="1"/>
    <xf numFmtId="43" fontId="6" fillId="17" borderId="76" xfId="1" applyFont="1" applyFill="1" applyBorder="1"/>
    <xf numFmtId="165" fontId="9" fillId="0" borderId="50" xfId="0" applyNumberFormat="1" applyFont="1" applyBorder="1"/>
    <xf numFmtId="43" fontId="9" fillId="0" borderId="8" xfId="1" applyFont="1" applyBorder="1"/>
    <xf numFmtId="165" fontId="9" fillId="0" borderId="66" xfId="1" applyNumberFormat="1" applyFont="1" applyFill="1" applyBorder="1"/>
    <xf numFmtId="43" fontId="9" fillId="0" borderId="23" xfId="1" applyFont="1" applyFill="1" applyBorder="1" applyAlignment="1"/>
    <xf numFmtId="0" fontId="9" fillId="0" borderId="2" xfId="0" applyFont="1" applyBorder="1"/>
    <xf numFmtId="9" fontId="9" fillId="0" borderId="23" xfId="2" applyFont="1" applyFill="1" applyBorder="1"/>
    <xf numFmtId="9" fontId="9" fillId="0" borderId="43" xfId="2" applyFont="1" applyBorder="1"/>
    <xf numFmtId="165" fontId="9" fillId="0" borderId="23" xfId="1" applyNumberFormat="1" applyFont="1" applyFill="1" applyBorder="1"/>
    <xf numFmtId="43" fontId="9" fillId="0" borderId="50" xfId="1" applyFont="1" applyBorder="1"/>
    <xf numFmtId="165" fontId="9" fillId="0" borderId="7" xfId="1" applyNumberFormat="1" applyFont="1" applyFill="1" applyBorder="1" applyAlignment="1">
      <alignment wrapText="1"/>
    </xf>
    <xf numFmtId="173" fontId="5" fillId="0" borderId="32" xfId="1" applyNumberFormat="1" applyFont="1" applyBorder="1" applyAlignment="1"/>
    <xf numFmtId="173" fontId="9" fillId="0" borderId="0" xfId="1" applyNumberFormat="1" applyFont="1"/>
    <xf numFmtId="43" fontId="4" fillId="0" borderId="32" xfId="1" applyFont="1" applyBorder="1"/>
    <xf numFmtId="0" fontId="4" fillId="0" borderId="1" xfId="0" applyFont="1" applyBorder="1" applyAlignment="1">
      <alignment horizontal="center" vertical="center"/>
    </xf>
    <xf numFmtId="165" fontId="10" fillId="0" borderId="1" xfId="1" applyNumberFormat="1" applyFont="1" applyFill="1" applyBorder="1"/>
    <xf numFmtId="165" fontId="10" fillId="0" borderId="1" xfId="1" applyNumberFormat="1" applyFont="1" applyFill="1" applyBorder="1" applyAlignment="1">
      <alignment wrapText="1"/>
    </xf>
    <xf numFmtId="174" fontId="10" fillId="0" borderId="1" xfId="1" applyNumberFormat="1" applyFont="1" applyFill="1" applyBorder="1"/>
    <xf numFmtId="165" fontId="10" fillId="0" borderId="0" xfId="1" applyNumberFormat="1" applyFont="1" applyFill="1"/>
    <xf numFmtId="165" fontId="4" fillId="0" borderId="10" xfId="1" applyNumberFormat="1" applyFont="1" applyFill="1" applyBorder="1"/>
    <xf numFmtId="174" fontId="35" fillId="0" borderId="0" xfId="1" applyNumberFormat="1" applyFont="1" applyFill="1" applyBorder="1"/>
    <xf numFmtId="173" fontId="9" fillId="0" borderId="17" xfId="1" applyNumberFormat="1" applyFont="1" applyBorder="1" applyAlignment="1"/>
    <xf numFmtId="165" fontId="10" fillId="0" borderId="21" xfId="1" applyNumberFormat="1" applyFont="1" applyBorder="1"/>
    <xf numFmtId="17" fontId="4" fillId="0" borderId="35" xfId="0" applyNumberFormat="1" applyFont="1" applyBorder="1" applyAlignment="1">
      <alignment horizontal="center"/>
    </xf>
    <xf numFmtId="173" fontId="10" fillId="0" borderId="16" xfId="1" applyNumberFormat="1" applyFont="1" applyBorder="1" applyAlignment="1">
      <alignment wrapText="1"/>
    </xf>
    <xf numFmtId="173" fontId="10" fillId="0" borderId="21" xfId="1" applyNumberFormat="1" applyFont="1" applyBorder="1" applyAlignment="1">
      <alignment wrapText="1"/>
    </xf>
    <xf numFmtId="0" fontId="9" fillId="0" borderId="72" xfId="0" applyFont="1" applyBorder="1"/>
    <xf numFmtId="0" fontId="9" fillId="0" borderId="19" xfId="0" applyFont="1" applyBorder="1"/>
    <xf numFmtId="0" fontId="9" fillId="0" borderId="30" xfId="0" applyFont="1" applyBorder="1"/>
    <xf numFmtId="173" fontId="26" fillId="0" borderId="39" xfId="1" applyNumberFormat="1" applyFont="1" applyBorder="1"/>
    <xf numFmtId="173" fontId="26" fillId="0" borderId="36" xfId="1" applyNumberFormat="1" applyFont="1" applyBorder="1"/>
    <xf numFmtId="173" fontId="5" fillId="0" borderId="77" xfId="1" applyNumberFormat="1" applyFont="1" applyBorder="1" applyAlignment="1"/>
    <xf numFmtId="173" fontId="9" fillId="0" borderId="18" xfId="1" applyNumberFormat="1" applyFont="1" applyBorder="1"/>
    <xf numFmtId="173" fontId="9" fillId="0" borderId="26" xfId="1" applyNumberFormat="1" applyFont="1" applyBorder="1"/>
    <xf numFmtId="173" fontId="9" fillId="0" borderId="25" xfId="1" applyNumberFormat="1" applyFont="1" applyBorder="1"/>
    <xf numFmtId="173" fontId="9" fillId="0" borderId="79" xfId="1" applyNumberFormat="1" applyFont="1" applyBorder="1"/>
    <xf numFmtId="173" fontId="9" fillId="0" borderId="80" xfId="1" applyNumberFormat="1" applyFont="1" applyBorder="1"/>
    <xf numFmtId="173" fontId="9" fillId="0" borderId="39" xfId="1" applyNumberFormat="1" applyFont="1" applyFill="1" applyBorder="1" applyAlignment="1">
      <alignment horizontal="right"/>
    </xf>
    <xf numFmtId="0" fontId="36" fillId="0" borderId="1" xfId="0" applyFont="1" applyBorder="1" applyAlignment="1">
      <alignment horizontal="center" vertical="center"/>
    </xf>
    <xf numFmtId="165" fontId="22" fillId="0" borderId="1" xfId="1" applyNumberFormat="1" applyFont="1" applyFill="1" applyBorder="1" applyAlignment="1">
      <alignment wrapText="1"/>
    </xf>
    <xf numFmtId="165" fontId="36" fillId="0" borderId="0" xfId="1" applyNumberFormat="1" applyFont="1" applyFill="1" applyBorder="1"/>
    <xf numFmtId="165" fontId="22" fillId="0" borderId="0" xfId="1" applyNumberFormat="1" applyFont="1" applyFill="1"/>
    <xf numFmtId="165" fontId="36" fillId="0" borderId="10" xfId="1" applyNumberFormat="1" applyFont="1" applyFill="1" applyBorder="1"/>
    <xf numFmtId="0" fontId="38" fillId="0" borderId="0" xfId="0" applyFont="1"/>
    <xf numFmtId="174" fontId="39" fillId="0" borderId="0" xfId="1" applyNumberFormat="1" applyFont="1" applyFill="1" applyBorder="1"/>
    <xf numFmtId="165" fontId="40" fillId="0" borderId="0" xfId="0" applyNumberFormat="1" applyFont="1"/>
    <xf numFmtId="0" fontId="40" fillId="0" borderId="0" xfId="0" applyFont="1"/>
    <xf numFmtId="173" fontId="9" fillId="0" borderId="3" xfId="1" applyNumberFormat="1" applyFont="1" applyBorder="1" applyAlignment="1">
      <alignment horizontal="right" wrapText="1"/>
    </xf>
    <xf numFmtId="43" fontId="9" fillId="0" borderId="3" xfId="1" applyFont="1" applyFill="1" applyBorder="1" applyAlignment="1">
      <alignment wrapText="1"/>
    </xf>
    <xf numFmtId="165" fontId="22" fillId="0" borderId="3" xfId="1" applyNumberFormat="1" applyFont="1" applyFill="1" applyBorder="1" applyAlignment="1">
      <alignment wrapText="1"/>
    </xf>
    <xf numFmtId="165" fontId="36" fillId="0" borderId="4" xfId="1" applyNumberFormat="1" applyFont="1" applyFill="1" applyBorder="1"/>
    <xf numFmtId="173" fontId="9" fillId="0" borderId="81" xfId="1" applyNumberFormat="1" applyFont="1" applyFill="1" applyBorder="1" applyAlignment="1">
      <alignment horizontal="right"/>
    </xf>
    <xf numFmtId="165" fontId="3" fillId="0" borderId="6" xfId="1" applyNumberFormat="1" applyFont="1" applyFill="1" applyBorder="1"/>
    <xf numFmtId="10" fontId="6" fillId="0" borderId="6" xfId="2" applyNumberFormat="1" applyFont="1" applyFill="1" applyBorder="1"/>
    <xf numFmtId="173" fontId="10" fillId="0" borderId="62" xfId="1" applyNumberFormat="1" applyFont="1" applyBorder="1"/>
    <xf numFmtId="173" fontId="10" fillId="0" borderId="23" xfId="1" applyNumberFormat="1" applyFont="1" applyBorder="1"/>
    <xf numFmtId="173" fontId="22" fillId="0" borderId="1" xfId="1" applyNumberFormat="1" applyFont="1" applyFill="1" applyBorder="1" applyAlignment="1"/>
    <xf numFmtId="173" fontId="22" fillId="0" borderId="1" xfId="1" applyNumberFormat="1" applyFont="1" applyBorder="1" applyAlignment="1"/>
    <xf numFmtId="173" fontId="22" fillId="0" borderId="3" xfId="1" applyNumberFormat="1" applyFont="1" applyFill="1" applyBorder="1" applyAlignment="1"/>
    <xf numFmtId="173" fontId="10" fillId="0" borderId="0" xfId="1" applyNumberFormat="1" applyFont="1" applyBorder="1"/>
    <xf numFmtId="9" fontId="9" fillId="0" borderId="15" xfId="0" applyNumberFormat="1" applyFont="1" applyBorder="1"/>
    <xf numFmtId="173" fontId="9" fillId="0" borderId="0" xfId="0" applyNumberFormat="1" applyFont="1"/>
    <xf numFmtId="165" fontId="6" fillId="0" borderId="0" xfId="0" applyNumberFormat="1" applyFont="1"/>
    <xf numFmtId="9" fontId="10" fillId="0" borderId="11" xfId="2" applyFont="1" applyBorder="1"/>
    <xf numFmtId="9" fontId="10" fillId="0" borderId="32" xfId="2" applyFont="1" applyBorder="1"/>
    <xf numFmtId="173" fontId="9" fillId="0" borderId="80" xfId="1" applyNumberFormat="1" applyFont="1" applyFill="1" applyBorder="1"/>
    <xf numFmtId="173" fontId="4" fillId="0" borderId="38" xfId="1" applyNumberFormat="1" applyFont="1" applyBorder="1"/>
    <xf numFmtId="165" fontId="4" fillId="0" borderId="32" xfId="1" applyNumberFormat="1" applyFont="1" applyBorder="1" applyAlignment="1"/>
    <xf numFmtId="173" fontId="4" fillId="0" borderId="11" xfId="1" applyNumberFormat="1" applyFont="1" applyBorder="1"/>
    <xf numFmtId="173" fontId="10" fillId="0" borderId="0" xfId="1" applyNumberFormat="1" applyFont="1" applyFill="1"/>
    <xf numFmtId="165" fontId="9" fillId="0" borderId="61" xfId="1" applyNumberFormat="1" applyFont="1" applyFill="1" applyBorder="1"/>
    <xf numFmtId="165" fontId="9" fillId="0" borderId="83" xfId="1" applyNumberFormat="1" applyFont="1" applyFill="1" applyBorder="1"/>
    <xf numFmtId="165" fontId="9" fillId="0" borderId="82" xfId="1" applyNumberFormat="1" applyFont="1" applyFill="1" applyBorder="1"/>
    <xf numFmtId="9" fontId="9" fillId="0" borderId="84" xfId="2" applyFont="1" applyBorder="1"/>
    <xf numFmtId="165" fontId="9" fillId="0" borderId="84" xfId="1" applyNumberFormat="1" applyFont="1" applyFill="1" applyBorder="1"/>
    <xf numFmtId="43" fontId="9" fillId="0" borderId="3" xfId="1" applyFont="1" applyFill="1" applyBorder="1" applyAlignment="1"/>
    <xf numFmtId="43" fontId="9" fillId="0" borderId="3" xfId="1" applyFont="1" applyBorder="1"/>
    <xf numFmtId="175" fontId="6" fillId="0" borderId="4" xfId="1" applyNumberFormat="1" applyFont="1" applyBorder="1" applyAlignment="1">
      <alignment wrapText="1"/>
    </xf>
    <xf numFmtId="175" fontId="6" fillId="0" borderId="4" xfId="1" applyNumberFormat="1" applyFont="1" applyBorder="1"/>
    <xf numFmtId="0" fontId="32" fillId="2" borderId="0" xfId="0" applyFont="1" applyFill="1"/>
    <xf numFmtId="0" fontId="2" fillId="2" borderId="0" xfId="0" applyFont="1" applyFill="1"/>
    <xf numFmtId="165" fontId="36" fillId="0" borderId="5" xfId="1" applyNumberFormat="1" applyFont="1" applyFill="1" applyBorder="1"/>
    <xf numFmtId="165" fontId="10" fillId="0" borderId="3" xfId="1" applyNumberFormat="1" applyFont="1" applyBorder="1"/>
    <xf numFmtId="0" fontId="41" fillId="0" borderId="4" xfId="0" applyFont="1" applyBorder="1" applyAlignment="1">
      <alignment horizontal="right"/>
    </xf>
    <xf numFmtId="165" fontId="41" fillId="0" borderId="4" xfId="1" applyNumberFormat="1" applyFont="1" applyFill="1" applyBorder="1"/>
    <xf numFmtId="9" fontId="41" fillId="17" borderId="4" xfId="2" applyFont="1" applyFill="1" applyBorder="1"/>
    <xf numFmtId="165" fontId="42" fillId="0" borderId="4" xfId="0" applyNumberFormat="1" applyFont="1" applyBorder="1"/>
    <xf numFmtId="43" fontId="42" fillId="0" borderId="4" xfId="1" applyFont="1" applyFill="1" applyBorder="1"/>
    <xf numFmtId="165" fontId="43" fillId="0" borderId="4" xfId="1" applyNumberFormat="1" applyFont="1" applyFill="1" applyBorder="1"/>
    <xf numFmtId="165" fontId="42" fillId="17" borderId="4" xfId="1" applyNumberFormat="1" applyFont="1" applyFill="1" applyBorder="1"/>
    <xf numFmtId="43" fontId="42" fillId="17" borderId="4" xfId="1" applyFont="1" applyFill="1" applyBorder="1"/>
    <xf numFmtId="43" fontId="3" fillId="0" borderId="0" xfId="1" applyFont="1"/>
    <xf numFmtId="43" fontId="9" fillId="0" borderId="0" xfId="1" applyFont="1"/>
    <xf numFmtId="0" fontId="44" fillId="0" borderId="0" xfId="0" applyFont="1" applyAlignment="1">
      <alignment horizontal="left" wrapText="1"/>
    </xf>
    <xf numFmtId="43" fontId="11" fillId="0" borderId="0" xfId="1" applyFont="1"/>
    <xf numFmtId="164" fontId="30" fillId="0" borderId="0" xfId="0" applyNumberFormat="1" applyFont="1"/>
    <xf numFmtId="4" fontId="45" fillId="0" borderId="0" xfId="0" applyNumberFormat="1" applyFont="1" applyAlignment="1">
      <alignment horizontal="right" wrapText="1"/>
    </xf>
    <xf numFmtId="0" fontId="45" fillId="0" borderId="0" xfId="0" applyNumberFormat="1" applyFont="1" applyAlignment="1">
      <alignment horizontal="right" wrapText="1"/>
    </xf>
    <xf numFmtId="3" fontId="9" fillId="0" borderId="1" xfId="0" applyNumberFormat="1" applyFont="1" applyBorder="1" applyAlignment="1">
      <alignment horizontal="right" wrapText="1"/>
    </xf>
    <xf numFmtId="0" fontId="9" fillId="0" borderId="0" xfId="0" applyNumberFormat="1" applyFont="1" applyAlignment="1">
      <alignment horizontal="right" wrapText="1"/>
    </xf>
    <xf numFmtId="0" fontId="10" fillId="0" borderId="41" xfId="0" applyFont="1" applyBorder="1"/>
    <xf numFmtId="173" fontId="9" fillId="0" borderId="41" xfId="1" applyNumberFormat="1" applyFont="1" applyFill="1" applyBorder="1" applyAlignment="1"/>
    <xf numFmtId="173" fontId="10" fillId="0" borderId="41" xfId="1" applyNumberFormat="1" applyFont="1" applyBorder="1"/>
    <xf numFmtId="173" fontId="9" fillId="0" borderId="41" xfId="1" applyNumberFormat="1" applyFont="1" applyBorder="1" applyAlignment="1">
      <alignment horizontal="right" wrapText="1"/>
    </xf>
    <xf numFmtId="173" fontId="9" fillId="0" borderId="41" xfId="1" applyNumberFormat="1" applyFont="1" applyFill="1" applyBorder="1" applyAlignment="1">
      <alignment horizontal="right"/>
    </xf>
    <xf numFmtId="173" fontId="22" fillId="0" borderId="41" xfId="1" applyNumberFormat="1" applyFont="1" applyFill="1" applyBorder="1" applyAlignment="1"/>
    <xf numFmtId="166" fontId="9" fillId="0" borderId="41" xfId="1" applyNumberFormat="1" applyFont="1" applyFill="1" applyBorder="1" applyAlignment="1"/>
    <xf numFmtId="43" fontId="9" fillId="0" borderId="0" xfId="1" applyFont="1" applyBorder="1"/>
    <xf numFmtId="0" fontId="10" fillId="0" borderId="85" xfId="0" applyFont="1" applyBorder="1"/>
    <xf numFmtId="173" fontId="9" fillId="0" borderId="22" xfId="1" applyNumberFormat="1" applyFont="1" applyBorder="1" applyAlignment="1">
      <alignment wrapText="1"/>
    </xf>
    <xf numFmtId="0" fontId="10" fillId="0" borderId="0" xfId="0" applyFont="1" applyBorder="1"/>
    <xf numFmtId="173" fontId="26" fillId="0" borderId="17" xfId="1" applyNumberFormat="1" applyFont="1" applyBorder="1"/>
    <xf numFmtId="173" fontId="46" fillId="0" borderId="1" xfId="1" applyNumberFormat="1" applyFont="1" applyBorder="1"/>
    <xf numFmtId="173" fontId="46" fillId="0" borderId="1" xfId="1" applyNumberFormat="1" applyFont="1" applyFill="1" applyBorder="1" applyAlignment="1"/>
    <xf numFmtId="173" fontId="46" fillId="0" borderId="1" xfId="1" applyNumberFormat="1" applyFont="1" applyFill="1" applyBorder="1"/>
    <xf numFmtId="0" fontId="46" fillId="0" borderId="0" xfId="0" applyFont="1"/>
    <xf numFmtId="173" fontId="46" fillId="0" borderId="3" xfId="1" applyNumberFormat="1" applyFont="1" applyFill="1" applyBorder="1" applyAlignment="1"/>
    <xf numFmtId="43" fontId="10" fillId="0" borderId="1" xfId="1" applyFont="1" applyBorder="1"/>
    <xf numFmtId="0" fontId="4" fillId="0" borderId="1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wrapText="1"/>
    </xf>
    <xf numFmtId="0" fontId="20" fillId="0" borderId="26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27" xfId="0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9" fontId="9" fillId="0" borderId="44" xfId="2" applyFont="1" applyBorder="1" applyAlignment="1">
      <alignment horizontal="right" vertical="center"/>
    </xf>
    <xf numFmtId="9" fontId="9" fillId="0" borderId="51" xfId="2" applyFont="1" applyBorder="1" applyAlignment="1">
      <alignment horizontal="right" vertical="center"/>
    </xf>
    <xf numFmtId="43" fontId="9" fillId="0" borderId="44" xfId="1" applyFont="1" applyFill="1" applyBorder="1" applyAlignment="1">
      <alignment horizontal="center" vertical="center"/>
    </xf>
    <xf numFmtId="43" fontId="9" fillId="0" borderId="51" xfId="1" applyFont="1" applyFill="1" applyBorder="1" applyAlignment="1">
      <alignment horizontal="center" vertical="center"/>
    </xf>
    <xf numFmtId="9" fontId="9" fillId="0" borderId="44" xfId="2" applyFont="1" applyBorder="1" applyAlignment="1">
      <alignment vertical="center" wrapText="1"/>
    </xf>
    <xf numFmtId="9" fontId="9" fillId="0" borderId="58" xfId="2" applyFont="1" applyBorder="1" applyAlignment="1">
      <alignment vertical="center" wrapText="1"/>
    </xf>
    <xf numFmtId="9" fontId="9" fillId="0" borderId="51" xfId="2" applyFont="1" applyBorder="1" applyAlignment="1">
      <alignment vertical="center" wrapText="1"/>
    </xf>
    <xf numFmtId="43" fontId="9" fillId="0" borderId="58" xfId="1" applyFont="1" applyFill="1" applyBorder="1" applyAlignment="1">
      <alignment horizontal="center" vertical="center"/>
    </xf>
    <xf numFmtId="9" fontId="9" fillId="0" borderId="58" xfId="2" applyFont="1" applyBorder="1" applyAlignment="1">
      <alignment horizontal="righ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32" fillId="0" borderId="73" xfId="0" applyFont="1" applyBorder="1" applyAlignment="1">
      <alignment horizontal="center"/>
    </xf>
    <xf numFmtId="0" fontId="32" fillId="0" borderId="33" xfId="0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16" fillId="0" borderId="13" xfId="0" applyFont="1" applyBorder="1" applyAlignment="1">
      <alignment horizontal="center" wrapText="1"/>
    </xf>
    <xf numFmtId="172" fontId="16" fillId="0" borderId="13" xfId="0" applyNumberFormat="1" applyFont="1" applyBorder="1" applyAlignment="1">
      <alignment horizontal="center" wrapText="1"/>
    </xf>
    <xf numFmtId="172" fontId="16" fillId="0" borderId="14" xfId="0" applyNumberFormat="1" applyFont="1" applyBorder="1" applyAlignment="1">
      <alignment horizontal="center" wrapText="1"/>
    </xf>
    <xf numFmtId="0" fontId="16" fillId="0" borderId="7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wrapText="1"/>
    </xf>
    <xf numFmtId="0" fontId="4" fillId="0" borderId="1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wrapText="1"/>
    </xf>
    <xf numFmtId="0" fontId="2" fillId="0" borderId="33" xfId="0" applyFont="1" applyBorder="1" applyAlignment="1">
      <alignment horizontal="center" wrapText="1"/>
    </xf>
    <xf numFmtId="0" fontId="2" fillId="0" borderId="35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4" fillId="0" borderId="27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68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Bookman Old Style" panose="02050604050505020204" pitchFamily="18" charset="0"/>
              </a:rPr>
              <a:t>2024 SALES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00B0F0"/>
            </a:solidFill>
            <a:ln>
              <a:solidFill>
                <a:srgbClr val="00B050"/>
              </a:solidFill>
            </a:ln>
            <a:effectLst/>
            <a:sp3d>
              <a:contourClr>
                <a:srgbClr val="00B050"/>
              </a:contourClr>
            </a:sp3d>
          </c:spPr>
          <c:invertIfNegative val="0"/>
          <c:cat>
            <c:numRef>
              <c:f>'Comparative Sales'!$B$6:$B$17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'Comparative Sales'!$F$6:$F$17</c:f>
              <c:numCache>
                <c:formatCode>_(* #,##0_);_(* \(#,##0\);_(* "-"??_);_(@_)</c:formatCode>
                <c:ptCount val="12"/>
                <c:pt idx="0" formatCode="_-* #,##0_-;\-* #,##0_-;_-* &quot;-&quot;??_-;_-@_-">
                  <c:v>50550062.75</c:v>
                </c:pt>
                <c:pt idx="1">
                  <c:v>57904875.25</c:v>
                </c:pt>
                <c:pt idx="2">
                  <c:v>34186320.340000004</c:v>
                </c:pt>
                <c:pt idx="3">
                  <c:v>29507537.760000002</c:v>
                </c:pt>
                <c:pt idx="4">
                  <c:v>35707980.100000001</c:v>
                </c:pt>
                <c:pt idx="5">
                  <c:v>33069559.449999999</c:v>
                </c:pt>
                <c:pt idx="6">
                  <c:v>32555899.800000001</c:v>
                </c:pt>
                <c:pt idx="7">
                  <c:v>35516616.640000001</c:v>
                </c:pt>
                <c:pt idx="8">
                  <c:v>31550758.07</c:v>
                </c:pt>
                <c:pt idx="9">
                  <c:v>39549421.799999997</c:v>
                </c:pt>
                <c:pt idx="10">
                  <c:v>28057823.510000002</c:v>
                </c:pt>
                <c:pt idx="11">
                  <c:v>32914045.66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6-414E-82F7-08C224ECA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614976"/>
        <c:axId val="193629184"/>
        <c:axId val="0"/>
      </c:bar3DChart>
      <c:dateAx>
        <c:axId val="1936149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29184"/>
        <c:crosses val="autoZero"/>
        <c:auto val="1"/>
        <c:lblOffset val="100"/>
        <c:baseTimeUnit val="months"/>
      </c:dateAx>
      <c:valAx>
        <c:axId val="19362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1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  <a:latin typeface="Bookman Old Style" panose="02050604050505020204" pitchFamily="18" charset="0"/>
              </a:rPr>
              <a:t>2025 SALES</a:t>
            </a:r>
          </a:p>
        </c:rich>
      </c:tx>
      <c:layout>
        <c:manualLayout>
          <c:xMode val="edge"/>
          <c:yMode val="edge"/>
          <c:x val="0.45967185220161905"/>
          <c:y val="4.6981006072465796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00B0F0"/>
            </a:solidFill>
            <a:ln>
              <a:solidFill>
                <a:srgbClr val="00B050"/>
              </a:solidFill>
            </a:ln>
            <a:effectLst/>
            <a:sp3d>
              <a:contourClr>
                <a:srgbClr val="00B050"/>
              </a:contourClr>
            </a:sp3d>
          </c:spPr>
          <c:invertIfNegative val="0"/>
          <c:cat>
            <c:numRef>
              <c:f>'Comparative Sales'!$I$6:$I$17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'Comparative Sales'!$M$6:$M$17</c:f>
              <c:numCache>
                <c:formatCode>_-* #,##0_-;\-* #,##0_-;_-* "-"??_-;_-@_-</c:formatCode>
                <c:ptCount val="12"/>
                <c:pt idx="0">
                  <c:v>47118748.75</c:v>
                </c:pt>
                <c:pt idx="1">
                  <c:v>53998211.659999996</c:v>
                </c:pt>
                <c:pt idx="2">
                  <c:v>46124500.649999999</c:v>
                </c:pt>
                <c:pt idx="3">
                  <c:v>32835570.350000001</c:v>
                </c:pt>
                <c:pt idx="4">
                  <c:v>41902597.049999997</c:v>
                </c:pt>
                <c:pt idx="5">
                  <c:v>37972844.869999997</c:v>
                </c:pt>
                <c:pt idx="6">
                  <c:v>34132951.390000001</c:v>
                </c:pt>
                <c:pt idx="7">
                  <c:v>27594784.850000001</c:v>
                </c:pt>
                <c:pt idx="8">
                  <c:v>33255585.420000002</c:v>
                </c:pt>
                <c:pt idx="9">
                  <c:v>42803755.57</c:v>
                </c:pt>
                <c:pt idx="10">
                  <c:v>38447512.399999999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8-4D7B-92DC-A18521905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5320960"/>
        <c:axId val="225322496"/>
        <c:axId val="0"/>
      </c:bar3DChart>
      <c:dateAx>
        <c:axId val="2253209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22496"/>
        <c:crosses val="autoZero"/>
        <c:auto val="1"/>
        <c:lblOffset val="100"/>
        <c:baseTimeUnit val="months"/>
      </c:dateAx>
      <c:valAx>
        <c:axId val="225322496"/>
        <c:scaling>
          <c:orientation val="minMax"/>
          <c:max val="6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2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19</xdr:row>
      <xdr:rowOff>28574</xdr:rowOff>
    </xdr:from>
    <xdr:to>
      <xdr:col>5</xdr:col>
      <xdr:colOff>1200149</xdr:colOff>
      <xdr:row>35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0F76B-71BB-4D0B-89BE-5EF71ED56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19</xdr:row>
      <xdr:rowOff>19050</xdr:rowOff>
    </xdr:from>
    <xdr:to>
      <xdr:col>14</xdr:col>
      <xdr:colOff>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7B0806-828E-4413-B795-D2887EA3C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B1:P23"/>
  <sheetViews>
    <sheetView workbookViewId="0">
      <pane ySplit="5" topLeftCell="A24" activePane="bottomLeft" state="frozen"/>
      <selection pane="bottomLeft" activeCell="P24" sqref="P24"/>
    </sheetView>
  </sheetViews>
  <sheetFormatPr defaultRowHeight="15" x14ac:dyDescent="0.25"/>
  <cols>
    <col min="1" max="1" width="1.140625" customWidth="1"/>
    <col min="2" max="2" width="12.42578125" customWidth="1"/>
    <col min="3" max="3" width="18.42578125" customWidth="1"/>
    <col min="4" max="4" width="17.42578125" customWidth="1"/>
    <col min="5" max="5" width="15.5703125" customWidth="1"/>
    <col min="6" max="6" width="18.140625" customWidth="1"/>
    <col min="7" max="7" width="5.7109375" customWidth="1"/>
    <col min="8" max="8" width="1.5703125" customWidth="1"/>
    <col min="9" max="9" width="11.140625" customWidth="1"/>
    <col min="10" max="10" width="14.7109375" customWidth="1"/>
    <col min="11" max="11" width="15.42578125" customWidth="1"/>
    <col min="12" max="12" width="17.42578125" customWidth="1"/>
    <col min="13" max="13" width="17" customWidth="1"/>
    <col min="14" max="14" width="11.85546875" customWidth="1"/>
    <col min="15" max="15" width="4.140625" customWidth="1"/>
    <col min="16" max="16" width="15.28515625" bestFit="1" customWidth="1"/>
    <col min="18" max="18" width="11" bestFit="1" customWidth="1"/>
  </cols>
  <sheetData>
    <row r="1" spans="2:16" ht="14.25" customHeight="1" x14ac:dyDescent="0.25">
      <c r="B1" s="620" t="s">
        <v>0</v>
      </c>
      <c r="C1" s="620"/>
      <c r="D1" s="620"/>
      <c r="E1" s="620"/>
      <c r="F1" s="620"/>
      <c r="I1" s="620" t="s">
        <v>0</v>
      </c>
      <c r="J1" s="620"/>
      <c r="K1" s="620"/>
      <c r="L1" s="620"/>
      <c r="M1" s="620"/>
      <c r="N1" s="620"/>
    </row>
    <row r="2" spans="2:16" ht="14.25" customHeight="1" x14ac:dyDescent="0.25">
      <c r="B2" s="620" t="s">
        <v>82</v>
      </c>
      <c r="C2" s="620"/>
      <c r="D2" s="620"/>
      <c r="E2" s="620"/>
      <c r="F2" s="620"/>
      <c r="I2" s="620" t="s">
        <v>82</v>
      </c>
      <c r="J2" s="620"/>
      <c r="K2" s="620"/>
      <c r="L2" s="620"/>
      <c r="M2" s="620"/>
      <c r="N2" s="620"/>
    </row>
    <row r="3" spans="2:16" ht="14.25" customHeight="1" x14ac:dyDescent="0.25">
      <c r="B3" s="620" t="s">
        <v>89</v>
      </c>
      <c r="C3" s="620"/>
      <c r="D3" s="620"/>
      <c r="E3" s="620"/>
      <c r="F3" s="620"/>
      <c r="I3" s="621" t="s">
        <v>90</v>
      </c>
      <c r="J3" s="621"/>
      <c r="K3" s="621"/>
      <c r="L3" s="621"/>
      <c r="M3" s="621"/>
      <c r="N3" s="621"/>
    </row>
    <row r="4" spans="2:16" x14ac:dyDescent="0.25">
      <c r="B4" s="612" t="s">
        <v>71</v>
      </c>
      <c r="C4" s="115" t="s">
        <v>83</v>
      </c>
      <c r="D4" s="116" t="s">
        <v>84</v>
      </c>
      <c r="E4" s="115" t="s">
        <v>85</v>
      </c>
      <c r="F4" s="614" t="s">
        <v>86</v>
      </c>
      <c r="I4" s="612" t="s">
        <v>71</v>
      </c>
      <c r="J4" s="115" t="s">
        <v>83</v>
      </c>
      <c r="K4" s="116" t="s">
        <v>84</v>
      </c>
      <c r="L4" s="115" t="s">
        <v>85</v>
      </c>
      <c r="M4" s="616" t="s">
        <v>86</v>
      </c>
      <c r="N4" s="618" t="s">
        <v>87</v>
      </c>
    </row>
    <row r="5" spans="2:16" x14ac:dyDescent="0.25">
      <c r="B5" s="613"/>
      <c r="C5" s="117" t="s">
        <v>88</v>
      </c>
      <c r="D5" s="118" t="s">
        <v>88</v>
      </c>
      <c r="E5" s="119" t="s">
        <v>88</v>
      </c>
      <c r="F5" s="615"/>
      <c r="I5" s="613"/>
      <c r="J5" s="117" t="s">
        <v>88</v>
      </c>
      <c r="K5" s="118" t="s">
        <v>88</v>
      </c>
      <c r="L5" s="119" t="s">
        <v>88</v>
      </c>
      <c r="M5" s="617"/>
      <c r="N5" s="619"/>
    </row>
    <row r="6" spans="2:16" ht="13.5" customHeight="1" x14ac:dyDescent="0.25">
      <c r="B6" s="120">
        <v>45292</v>
      </c>
      <c r="C6" s="122">
        <v>119460.60000000008</v>
      </c>
      <c r="D6" s="121">
        <v>183797.94</v>
      </c>
      <c r="E6" s="123">
        <v>304905.18000000023</v>
      </c>
      <c r="F6" s="124">
        <v>50550062.75</v>
      </c>
      <c r="I6" s="120">
        <v>45292</v>
      </c>
      <c r="J6" s="403">
        <v>203820.02</v>
      </c>
      <c r="K6" s="121">
        <v>148686.79999999999</v>
      </c>
      <c r="L6" s="123">
        <v>538436.56000000006</v>
      </c>
      <c r="M6" s="124">
        <v>47118748.75</v>
      </c>
      <c r="N6" s="125">
        <f>M6/F6</f>
        <v>0.93212047990979008</v>
      </c>
    </row>
    <row r="7" spans="2:16" ht="13.5" customHeight="1" x14ac:dyDescent="0.25">
      <c r="B7" s="120">
        <v>45323</v>
      </c>
      <c r="C7" s="126">
        <v>153927.07</v>
      </c>
      <c r="D7" s="127">
        <v>203989.9</v>
      </c>
      <c r="E7" s="126">
        <v>788854.14</v>
      </c>
      <c r="F7" s="143">
        <v>57904875.25</v>
      </c>
      <c r="I7" s="120">
        <v>45323</v>
      </c>
      <c r="J7" s="404">
        <v>220503.29</v>
      </c>
      <c r="K7" s="127">
        <v>182866</v>
      </c>
      <c r="L7" s="126">
        <v>714508.72</v>
      </c>
      <c r="M7" s="128">
        <v>53998211.659999996</v>
      </c>
      <c r="N7" s="79">
        <f>M7/F7</f>
        <v>0.93253307993267798</v>
      </c>
    </row>
    <row r="8" spans="2:16" ht="13.5" customHeight="1" x14ac:dyDescent="0.25">
      <c r="B8" s="120">
        <v>45352</v>
      </c>
      <c r="C8" s="126">
        <v>89751.08</v>
      </c>
      <c r="D8" s="127">
        <v>145569.56</v>
      </c>
      <c r="E8" s="126">
        <v>575637.93000000005</v>
      </c>
      <c r="F8" s="144">
        <v>34186320.340000004</v>
      </c>
      <c r="I8" s="120">
        <v>45352</v>
      </c>
      <c r="J8" s="404">
        <v>172918.26</v>
      </c>
      <c r="K8" s="127">
        <v>168311.1</v>
      </c>
      <c r="L8" s="126">
        <v>343810.35</v>
      </c>
      <c r="M8" s="385">
        <v>46124500.649999999</v>
      </c>
      <c r="N8" s="79">
        <f t="shared" ref="N8:N17" si="0">M8/F8</f>
        <v>1.3492092799479101</v>
      </c>
      <c r="P8" s="130"/>
    </row>
    <row r="9" spans="2:16" ht="13.5" customHeight="1" x14ac:dyDescent="0.25">
      <c r="B9" s="120">
        <v>45383</v>
      </c>
      <c r="C9" s="126">
        <v>67407.700000000012</v>
      </c>
      <c r="D9" s="127">
        <v>146245.74999999983</v>
      </c>
      <c r="E9" s="126">
        <v>597310.34999999986</v>
      </c>
      <c r="F9" s="143">
        <v>29507537.760000002</v>
      </c>
      <c r="I9" s="120">
        <v>45383</v>
      </c>
      <c r="J9" s="126">
        <v>115088</v>
      </c>
      <c r="K9" s="127">
        <v>116906.58</v>
      </c>
      <c r="L9" s="126">
        <v>969767.52</v>
      </c>
      <c r="M9" s="128">
        <v>32835570.350000001</v>
      </c>
      <c r="N9" s="79">
        <f t="shared" si="0"/>
        <v>1.1127858453344566</v>
      </c>
      <c r="P9" s="130"/>
    </row>
    <row r="10" spans="2:16" ht="13.5" customHeight="1" x14ac:dyDescent="0.25">
      <c r="B10" s="120">
        <v>45413</v>
      </c>
      <c r="C10" s="126">
        <v>82739.649999999849</v>
      </c>
      <c r="D10" s="127">
        <v>180991.87000000005</v>
      </c>
      <c r="E10" s="126">
        <v>17525.86</v>
      </c>
      <c r="F10" s="143">
        <v>35707980.100000001</v>
      </c>
      <c r="I10" s="120">
        <v>45413</v>
      </c>
      <c r="J10" s="126">
        <v>128346.5</v>
      </c>
      <c r="K10" s="127">
        <v>170757.56</v>
      </c>
      <c r="L10" s="126">
        <v>1110034.6100000001</v>
      </c>
      <c r="M10" s="128">
        <v>41902597.049999997</v>
      </c>
      <c r="N10" s="79">
        <f t="shared" si="0"/>
        <v>1.1734799037260579</v>
      </c>
      <c r="P10" s="129"/>
    </row>
    <row r="11" spans="2:16" ht="13.5" customHeight="1" x14ac:dyDescent="0.25">
      <c r="B11" s="120">
        <v>45444</v>
      </c>
      <c r="C11" s="126">
        <v>71663</v>
      </c>
      <c r="D11" s="127">
        <v>179664.1</v>
      </c>
      <c r="E11" s="126">
        <v>0</v>
      </c>
      <c r="F11" s="143">
        <v>33069559.449999999</v>
      </c>
      <c r="I11" s="120">
        <v>45444</v>
      </c>
      <c r="J11" s="126">
        <v>88790.07</v>
      </c>
      <c r="K11" s="127">
        <f>187142.6+1004</f>
        <v>188146.6</v>
      </c>
      <c r="L11" s="126">
        <v>445112.18</v>
      </c>
      <c r="M11" s="128">
        <v>37972844.869999997</v>
      </c>
      <c r="N11" s="79">
        <f t="shared" si="0"/>
        <v>1.1482718700082351</v>
      </c>
      <c r="P11" s="130"/>
    </row>
    <row r="12" spans="2:16" ht="13.5" customHeight="1" x14ac:dyDescent="0.25">
      <c r="B12" s="120">
        <v>45474</v>
      </c>
      <c r="C12" s="126">
        <v>81255.28</v>
      </c>
      <c r="D12" s="127">
        <v>163487.32999999999</v>
      </c>
      <c r="E12" s="126">
        <v>176340</v>
      </c>
      <c r="F12" s="143">
        <v>32555899.800000001</v>
      </c>
      <c r="I12" s="120">
        <v>45474</v>
      </c>
      <c r="J12" s="126">
        <v>89077.119999999995</v>
      </c>
      <c r="K12" s="127">
        <v>152167.84</v>
      </c>
      <c r="L12" s="126">
        <v>991146.81</v>
      </c>
      <c r="M12" s="131">
        <v>34132951.390000001</v>
      </c>
      <c r="N12" s="79">
        <f t="shared" si="0"/>
        <v>1.0484413454915473</v>
      </c>
      <c r="P12" s="130"/>
    </row>
    <row r="13" spans="2:16" ht="13.5" customHeight="1" x14ac:dyDescent="0.25">
      <c r="B13" s="120">
        <v>45505</v>
      </c>
      <c r="C13" s="126">
        <v>94715.999999999898</v>
      </c>
      <c r="D13" s="127">
        <v>166878.37999999998</v>
      </c>
      <c r="E13" s="126">
        <v>573099.50000000081</v>
      </c>
      <c r="F13" s="143">
        <v>35516616.640000001</v>
      </c>
      <c r="I13" s="120">
        <v>45505</v>
      </c>
      <c r="J13" s="126">
        <v>67824.78</v>
      </c>
      <c r="K13" s="127">
        <v>133296.65</v>
      </c>
      <c r="L13" s="126">
        <v>214732.75</v>
      </c>
      <c r="M13" s="132">
        <v>27594784.850000001</v>
      </c>
      <c r="N13" s="79">
        <f t="shared" si="0"/>
        <v>0.77695421074883109</v>
      </c>
      <c r="P13" s="130"/>
    </row>
    <row r="14" spans="2:16" ht="13.5" customHeight="1" x14ac:dyDescent="0.25">
      <c r="B14" s="120">
        <v>45536</v>
      </c>
      <c r="C14" s="126">
        <v>91741.9</v>
      </c>
      <c r="D14" s="127">
        <v>139998.95000000001</v>
      </c>
      <c r="E14" s="126">
        <v>346318.62</v>
      </c>
      <c r="F14" s="143">
        <v>31550758.07</v>
      </c>
      <c r="I14" s="120">
        <v>45536</v>
      </c>
      <c r="J14" s="126">
        <v>86077.2</v>
      </c>
      <c r="K14" s="127">
        <v>153947.6</v>
      </c>
      <c r="L14" s="126">
        <v>331680.98</v>
      </c>
      <c r="M14" s="133">
        <v>33255585.420000002</v>
      </c>
      <c r="N14" s="79">
        <f t="shared" si="0"/>
        <v>1.0540344338547298</v>
      </c>
      <c r="P14" s="130"/>
    </row>
    <row r="15" spans="2:16" ht="13.5" customHeight="1" x14ac:dyDescent="0.25">
      <c r="B15" s="120">
        <v>45566</v>
      </c>
      <c r="C15" s="134">
        <v>105668.1</v>
      </c>
      <c r="D15" s="135">
        <v>188921.87</v>
      </c>
      <c r="E15" s="134">
        <v>361293.04</v>
      </c>
      <c r="F15" s="144">
        <v>39549421.799999997</v>
      </c>
      <c r="I15" s="120">
        <v>45566</v>
      </c>
      <c r="J15" s="134">
        <v>100271.4</v>
      </c>
      <c r="K15" s="135">
        <v>210098</v>
      </c>
      <c r="L15" s="134">
        <v>547720.71</v>
      </c>
      <c r="M15" s="128">
        <v>42803755.57</v>
      </c>
      <c r="N15" s="79">
        <f t="shared" si="0"/>
        <v>1.0822852426631431</v>
      </c>
      <c r="P15" s="129"/>
    </row>
    <row r="16" spans="2:16" ht="13.5" customHeight="1" x14ac:dyDescent="0.25">
      <c r="B16" s="120">
        <v>45597</v>
      </c>
      <c r="C16" s="134">
        <v>92000.8</v>
      </c>
      <c r="D16" s="135">
        <v>114018.93</v>
      </c>
      <c r="E16" s="134">
        <v>631234.98</v>
      </c>
      <c r="F16" s="145">
        <v>28057823.510000002</v>
      </c>
      <c r="I16" s="120">
        <v>45597</v>
      </c>
      <c r="J16" s="134">
        <v>89735</v>
      </c>
      <c r="K16" s="135">
        <v>189648.35</v>
      </c>
      <c r="L16" s="134">
        <v>496146.5</v>
      </c>
      <c r="M16" s="136">
        <v>38447512.399999999</v>
      </c>
      <c r="N16" s="79">
        <f t="shared" si="0"/>
        <v>1.3702956106448185</v>
      </c>
      <c r="P16" s="129"/>
    </row>
    <row r="17" spans="2:16" ht="15.75" customHeight="1" x14ac:dyDescent="0.25">
      <c r="B17" s="120">
        <v>45627</v>
      </c>
      <c r="C17" s="137">
        <v>118730.48</v>
      </c>
      <c r="D17" s="138">
        <v>121413.3</v>
      </c>
      <c r="E17" s="137">
        <v>1090420.04</v>
      </c>
      <c r="F17" s="144">
        <v>32914045.66</v>
      </c>
      <c r="H17" s="140"/>
      <c r="I17" s="120">
        <v>45627</v>
      </c>
      <c r="J17" s="137"/>
      <c r="K17" s="138"/>
      <c r="L17" s="137"/>
      <c r="M17" s="139"/>
      <c r="N17" s="79">
        <f t="shared" si="0"/>
        <v>0</v>
      </c>
    </row>
    <row r="18" spans="2:16" ht="15" customHeight="1" thickBot="1" x14ac:dyDescent="0.3">
      <c r="B18" s="146" t="s">
        <v>75</v>
      </c>
      <c r="C18" s="367">
        <f>SUM(C6:C17)</f>
        <v>1169061.6599999999</v>
      </c>
      <c r="D18" s="368">
        <f>SUM(D6:D17)</f>
        <v>1934977.8799999994</v>
      </c>
      <c r="E18" s="369">
        <f>SUM(E6:E17)</f>
        <v>5462939.6400000015</v>
      </c>
      <c r="F18" s="370">
        <f>SUM(F6:F17)</f>
        <v>441070901.13</v>
      </c>
      <c r="I18" s="371" t="s">
        <v>75</v>
      </c>
      <c r="J18" s="372">
        <f>SUM(J6:J17)</f>
        <v>1362451.64</v>
      </c>
      <c r="K18" s="373">
        <f>SUM(K6:K17)</f>
        <v>1814833.08</v>
      </c>
      <c r="L18" s="374">
        <f>SUM(L6:L17)</f>
        <v>6703097.6900000004</v>
      </c>
      <c r="M18" s="375">
        <f>SUM(M6:M17)</f>
        <v>436187062.95999998</v>
      </c>
      <c r="N18" s="376">
        <f>M18/F18</f>
        <v>0.98892731722385696</v>
      </c>
    </row>
    <row r="19" spans="2:16" ht="8.25" customHeight="1" thickTop="1" x14ac:dyDescent="0.25"/>
    <row r="20" spans="2:16" x14ac:dyDescent="0.25">
      <c r="P20" s="130"/>
    </row>
    <row r="21" spans="2:16" x14ac:dyDescent="0.25">
      <c r="C21" s="130"/>
      <c r="P21" s="129"/>
    </row>
    <row r="22" spans="2:16" x14ac:dyDescent="0.25">
      <c r="C22" s="130"/>
      <c r="P22" s="130"/>
    </row>
    <row r="23" spans="2:16" x14ac:dyDescent="0.25">
      <c r="C23" s="130"/>
    </row>
  </sheetData>
  <mergeCells count="11">
    <mergeCell ref="B1:F1"/>
    <mergeCell ref="I1:N1"/>
    <mergeCell ref="B2:F2"/>
    <mergeCell ref="I2:N2"/>
    <mergeCell ref="B3:F3"/>
    <mergeCell ref="I3:N3"/>
    <mergeCell ref="B4:B5"/>
    <mergeCell ref="F4:F5"/>
    <mergeCell ref="I4:I5"/>
    <mergeCell ref="M4:M5"/>
    <mergeCell ref="N4:N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</sheetPr>
  <dimension ref="A1:Q118"/>
  <sheetViews>
    <sheetView workbookViewId="0">
      <pane ySplit="4" topLeftCell="A44" activePane="bottomLeft" state="frozen"/>
      <selection pane="bottomLeft" activeCell="K22" sqref="K22"/>
    </sheetView>
  </sheetViews>
  <sheetFormatPr defaultColWidth="9.140625" defaultRowHeight="12" x14ac:dyDescent="0.2"/>
  <cols>
    <col min="1" max="1" width="2" style="1" customWidth="1"/>
    <col min="2" max="2" width="30.28515625" style="1" customWidth="1"/>
    <col min="3" max="3" width="10.5703125" style="44" customWidth="1"/>
    <col min="4" max="4" width="8.28515625" style="1" customWidth="1"/>
    <col min="5" max="5" width="11.140625" style="1" customWidth="1"/>
    <col min="6" max="6" width="9.85546875" style="44" customWidth="1"/>
    <col min="7" max="7" width="9.28515625" style="1" customWidth="1"/>
    <col min="8" max="8" width="10.7109375" style="1" customWidth="1"/>
    <col min="9" max="9" width="11.7109375" style="45" customWidth="1"/>
    <col min="10" max="11" width="10.7109375" style="45" customWidth="1"/>
    <col min="12" max="12" width="9.5703125" style="1" customWidth="1"/>
    <col min="13" max="14" width="10.7109375" style="1" customWidth="1"/>
    <col min="15" max="15" width="9.28515625" style="1" customWidth="1"/>
    <col min="16" max="16" width="10" style="47" customWidth="1"/>
    <col min="17" max="17" width="7.7109375" style="16" customWidth="1"/>
    <col min="18" max="18" width="5.42578125" style="1" customWidth="1"/>
    <col min="19" max="16384" width="9.140625" style="1"/>
  </cols>
  <sheetData>
    <row r="1" spans="2:17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7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7" ht="15" x14ac:dyDescent="0.25">
      <c r="B3" s="622">
        <v>45688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7" ht="34.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7" t="s">
        <v>15</v>
      </c>
      <c r="P4" s="8" t="s">
        <v>16</v>
      </c>
      <c r="Q4" s="9" t="s">
        <v>17</v>
      </c>
    </row>
    <row r="5" spans="2:17" ht="16.5" customHeight="1" x14ac:dyDescent="0.25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7" s="16" customFormat="1" ht="15.75" customHeight="1" x14ac:dyDescent="0.2">
      <c r="B6" s="10" t="s">
        <v>29</v>
      </c>
      <c r="C6" s="213">
        <v>50302</v>
      </c>
      <c r="D6" s="196">
        <v>1068</v>
      </c>
      <c r="E6" s="190">
        <f t="shared" ref="E6:E21" si="0">C6-D6</f>
        <v>49234</v>
      </c>
      <c r="F6" s="192">
        <v>51236</v>
      </c>
      <c r="G6" s="197">
        <v>4200</v>
      </c>
      <c r="H6" s="190">
        <f t="shared" ref="H6:H21" si="1">F6+G6</f>
        <v>55436</v>
      </c>
      <c r="I6" s="192">
        <v>891715.41</v>
      </c>
      <c r="J6" s="197">
        <v>12672.4</v>
      </c>
      <c r="K6" s="198">
        <f t="shared" ref="K6:K21" si="2">I6+J6</f>
        <v>904387.81</v>
      </c>
      <c r="L6" s="11">
        <f t="shared" ref="L6:L21" si="3">F6/E6</f>
        <v>1.0406629564934802</v>
      </c>
      <c r="M6" s="12">
        <f t="shared" ref="M6:M21" si="4">I6/F6</f>
        <v>17.404079358263722</v>
      </c>
      <c r="N6" s="13">
        <f t="shared" ref="N6:N21" si="5">M6/129.39</f>
        <v>0.13450868968439389</v>
      </c>
      <c r="O6" s="14">
        <v>2109.0461538461541</v>
      </c>
      <c r="P6" s="14">
        <f t="shared" ref="P6:P21" si="6">C6/O6*12</f>
        <v>286.20710784313724</v>
      </c>
      <c r="Q6" s="15">
        <f t="shared" ref="Q6:Q21" si="7">(K6*12/O6)/129.39</f>
        <v>39.769410116430841</v>
      </c>
    </row>
    <row r="7" spans="2:17" s="16" customFormat="1" ht="15.75" customHeight="1" x14ac:dyDescent="0.2">
      <c r="B7" s="10" t="s">
        <v>30</v>
      </c>
      <c r="C7" s="213">
        <v>142086</v>
      </c>
      <c r="D7" s="196">
        <v>510</v>
      </c>
      <c r="E7" s="190">
        <f t="shared" si="0"/>
        <v>141576</v>
      </c>
      <c r="F7" s="192">
        <v>96842</v>
      </c>
      <c r="G7" s="197">
        <v>40</v>
      </c>
      <c r="H7" s="190">
        <f t="shared" si="1"/>
        <v>96882</v>
      </c>
      <c r="I7" s="192">
        <v>2745792.44</v>
      </c>
      <c r="J7" s="197">
        <v>120.69</v>
      </c>
      <c r="K7" s="198">
        <f t="shared" si="2"/>
        <v>2745913.13</v>
      </c>
      <c r="L7" s="11">
        <f t="shared" si="3"/>
        <v>0.68402836638978359</v>
      </c>
      <c r="M7" s="12">
        <f t="shared" si="4"/>
        <v>28.353322318828607</v>
      </c>
      <c r="N7" s="13">
        <f t="shared" si="5"/>
        <v>0.21913070808276228</v>
      </c>
      <c r="O7" s="20">
        <v>8374.1538461538439</v>
      </c>
      <c r="P7" s="14">
        <f t="shared" si="6"/>
        <v>203.60648148148155</v>
      </c>
      <c r="Q7" s="15">
        <f t="shared" si="7"/>
        <v>30.410698227117265</v>
      </c>
    </row>
    <row r="8" spans="2:17" s="16" customFormat="1" ht="15.75" customHeight="1" x14ac:dyDescent="0.2">
      <c r="B8" s="10" t="s">
        <v>27</v>
      </c>
      <c r="C8" s="213">
        <v>198812</v>
      </c>
      <c r="D8" s="196">
        <v>1895</v>
      </c>
      <c r="E8" s="190">
        <f t="shared" si="0"/>
        <v>196917</v>
      </c>
      <c r="F8" s="192">
        <v>164114</v>
      </c>
      <c r="G8" s="197">
        <v>5560</v>
      </c>
      <c r="H8" s="190">
        <f t="shared" si="1"/>
        <v>169674</v>
      </c>
      <c r="I8" s="192">
        <v>2816064.4099999997</v>
      </c>
      <c r="J8" s="197">
        <v>16775.87</v>
      </c>
      <c r="K8" s="198">
        <f t="shared" si="2"/>
        <v>2832840.28</v>
      </c>
      <c r="L8" s="11">
        <f t="shared" si="3"/>
        <v>0.83341712498159126</v>
      </c>
      <c r="M8" s="12">
        <f t="shared" si="4"/>
        <v>17.159196716916288</v>
      </c>
      <c r="N8" s="13">
        <f t="shared" si="5"/>
        <v>0.13261609642875252</v>
      </c>
      <c r="O8" s="14">
        <v>8684.3076923076933</v>
      </c>
      <c r="P8" s="14">
        <f t="shared" si="6"/>
        <v>274.71896258503398</v>
      </c>
      <c r="Q8" s="15">
        <f t="shared" si="7"/>
        <v>30.252928412651094</v>
      </c>
    </row>
    <row r="9" spans="2:17" s="16" customFormat="1" ht="15.75" customHeight="1" x14ac:dyDescent="0.2">
      <c r="B9" s="10" t="s">
        <v>34</v>
      </c>
      <c r="C9" s="213">
        <v>92708</v>
      </c>
      <c r="D9" s="196">
        <v>838</v>
      </c>
      <c r="E9" s="190">
        <f t="shared" si="0"/>
        <v>91870</v>
      </c>
      <c r="F9" s="192">
        <v>95750</v>
      </c>
      <c r="G9" s="197">
        <v>8120</v>
      </c>
      <c r="H9" s="190">
        <f t="shared" si="1"/>
        <v>103870</v>
      </c>
      <c r="I9" s="192">
        <v>1555504.9700000002</v>
      </c>
      <c r="J9" s="197">
        <v>24500.01</v>
      </c>
      <c r="K9" s="198">
        <f t="shared" si="2"/>
        <v>1580004.9800000002</v>
      </c>
      <c r="L9" s="11">
        <f t="shared" si="3"/>
        <v>1.0422335909437248</v>
      </c>
      <c r="M9" s="12">
        <f t="shared" si="4"/>
        <v>16.245482715404702</v>
      </c>
      <c r="N9" s="13">
        <f t="shared" si="5"/>
        <v>0.12555439149396941</v>
      </c>
      <c r="O9" s="14">
        <v>5334.6461538461526</v>
      </c>
      <c r="P9" s="14">
        <f t="shared" si="6"/>
        <v>208.54166666666669</v>
      </c>
      <c r="Q9" s="15">
        <f t="shared" si="7"/>
        <v>27.468400499806712</v>
      </c>
    </row>
    <row r="10" spans="2:17" s="16" customFormat="1" ht="15.75" customHeight="1" x14ac:dyDescent="0.2">
      <c r="B10" s="10" t="s">
        <v>20</v>
      </c>
      <c r="C10" s="213">
        <v>228840</v>
      </c>
      <c r="D10" s="196">
        <v>1826</v>
      </c>
      <c r="E10" s="190">
        <f t="shared" si="0"/>
        <v>227014</v>
      </c>
      <c r="F10" s="192">
        <v>178402</v>
      </c>
      <c r="G10" s="197">
        <v>31740</v>
      </c>
      <c r="H10" s="190">
        <f t="shared" si="1"/>
        <v>210142</v>
      </c>
      <c r="I10" s="192">
        <v>2696254.4200000004</v>
      </c>
      <c r="J10" s="197">
        <v>94463.81</v>
      </c>
      <c r="K10" s="198">
        <f t="shared" si="2"/>
        <v>2790718.2300000004</v>
      </c>
      <c r="L10" s="11">
        <f t="shared" si="3"/>
        <v>0.78586342692521161</v>
      </c>
      <c r="M10" s="12">
        <f t="shared" si="4"/>
        <v>15.113364312059284</v>
      </c>
      <c r="N10" s="208">
        <f t="shared" si="5"/>
        <v>0.11680473229816281</v>
      </c>
      <c r="O10" s="14">
        <v>10545.230769230768</v>
      </c>
      <c r="P10" s="209">
        <f t="shared" si="6"/>
        <v>260.40966386554624</v>
      </c>
      <c r="Q10" s="15">
        <f t="shared" si="7"/>
        <v>24.543722633384455</v>
      </c>
    </row>
    <row r="11" spans="2:17" s="16" customFormat="1" ht="15.75" customHeight="1" x14ac:dyDescent="0.2">
      <c r="B11" s="10" t="s">
        <v>28</v>
      </c>
      <c r="C11" s="213">
        <v>137901</v>
      </c>
      <c r="D11" s="196">
        <v>1066</v>
      </c>
      <c r="E11" s="190">
        <f t="shared" si="0"/>
        <v>136835</v>
      </c>
      <c r="F11" s="192">
        <v>117074</v>
      </c>
      <c r="G11" s="197">
        <v>1620</v>
      </c>
      <c r="H11" s="190">
        <f t="shared" si="1"/>
        <v>118694</v>
      </c>
      <c r="I11" s="192">
        <v>2593477.8400000003</v>
      </c>
      <c r="J11" s="197">
        <v>4887.9399999999996</v>
      </c>
      <c r="K11" s="198">
        <f t="shared" si="2"/>
        <v>2598365.7800000003</v>
      </c>
      <c r="L11" s="11">
        <f t="shared" si="3"/>
        <v>0.85558519384660359</v>
      </c>
      <c r="M11" s="12">
        <f t="shared" si="4"/>
        <v>22.152466303363688</v>
      </c>
      <c r="N11" s="208">
        <f t="shared" si="5"/>
        <v>0.17120694260270261</v>
      </c>
      <c r="O11" s="14">
        <v>10048.984615384614</v>
      </c>
      <c r="P11" s="209">
        <f t="shared" si="6"/>
        <v>164.67454805996476</v>
      </c>
      <c r="Q11" s="15">
        <f t="shared" si="7"/>
        <v>23.980522409816178</v>
      </c>
    </row>
    <row r="12" spans="2:17" s="16" customFormat="1" ht="15.75" customHeight="1" x14ac:dyDescent="0.2">
      <c r="B12" s="10" t="s">
        <v>32</v>
      </c>
      <c r="C12" s="213">
        <v>76159</v>
      </c>
      <c r="D12" s="196">
        <v>3499</v>
      </c>
      <c r="E12" s="190">
        <f t="shared" si="0"/>
        <v>72660</v>
      </c>
      <c r="F12" s="192">
        <v>45430</v>
      </c>
      <c r="G12" s="197">
        <v>6840</v>
      </c>
      <c r="H12" s="190">
        <f t="shared" si="1"/>
        <v>52270</v>
      </c>
      <c r="I12" s="192">
        <v>1185824.9099999999</v>
      </c>
      <c r="J12" s="197">
        <v>20637.939999999999</v>
      </c>
      <c r="K12" s="198">
        <f t="shared" si="2"/>
        <v>1206462.8499999999</v>
      </c>
      <c r="L12" s="11">
        <f t="shared" si="3"/>
        <v>0.62524084778420042</v>
      </c>
      <c r="M12" s="12">
        <f t="shared" si="4"/>
        <v>26.102243231344925</v>
      </c>
      <c r="N12" s="208">
        <f t="shared" si="5"/>
        <v>0.20173308007840582</v>
      </c>
      <c r="O12" s="14">
        <v>4962.4615384615381</v>
      </c>
      <c r="P12" s="209">
        <f t="shared" si="6"/>
        <v>184.16424851190476</v>
      </c>
      <c r="Q12" s="15">
        <f t="shared" si="7"/>
        <v>22.54744482408757</v>
      </c>
    </row>
    <row r="13" spans="2:17" s="16" customFormat="1" ht="15.75" customHeight="1" x14ac:dyDescent="0.2">
      <c r="B13" s="10" t="s">
        <v>19</v>
      </c>
      <c r="C13" s="213">
        <v>65175</v>
      </c>
      <c r="D13" s="196">
        <v>1817</v>
      </c>
      <c r="E13" s="190">
        <f t="shared" si="0"/>
        <v>63358</v>
      </c>
      <c r="F13" s="192">
        <v>49200</v>
      </c>
      <c r="G13" s="197">
        <v>9460</v>
      </c>
      <c r="H13" s="190">
        <f t="shared" si="1"/>
        <v>58660</v>
      </c>
      <c r="I13" s="192">
        <v>717015.42999999993</v>
      </c>
      <c r="J13" s="197">
        <v>28543.11</v>
      </c>
      <c r="K13" s="198">
        <f t="shared" si="2"/>
        <v>745558.53999999992</v>
      </c>
      <c r="L13" s="11">
        <f t="shared" si="3"/>
        <v>0.77653966349947912</v>
      </c>
      <c r="M13" s="12">
        <f t="shared" si="4"/>
        <v>14.573484349593494</v>
      </c>
      <c r="N13" s="208">
        <f t="shared" si="5"/>
        <v>0.11263223084931985</v>
      </c>
      <c r="O13" s="14">
        <v>3349.6615384615388</v>
      </c>
      <c r="P13" s="209">
        <f t="shared" si="6"/>
        <v>233.48627645502643</v>
      </c>
      <c r="Q13" s="15">
        <f t="shared" si="7"/>
        <v>20.642455439395242</v>
      </c>
    </row>
    <row r="14" spans="2:17" s="16" customFormat="1" ht="15.75" customHeight="1" x14ac:dyDescent="0.2">
      <c r="B14" s="10" t="s">
        <v>25</v>
      </c>
      <c r="C14" s="213">
        <v>68091</v>
      </c>
      <c r="D14" s="196">
        <v>1089</v>
      </c>
      <c r="E14" s="190">
        <f t="shared" si="0"/>
        <v>67002</v>
      </c>
      <c r="F14" s="197">
        <v>61792</v>
      </c>
      <c r="G14" s="197">
        <v>10920</v>
      </c>
      <c r="H14" s="190">
        <f t="shared" si="1"/>
        <v>72712</v>
      </c>
      <c r="I14" s="197">
        <v>1021626.3</v>
      </c>
      <c r="J14" s="197">
        <v>32948.300000000003</v>
      </c>
      <c r="K14" s="198">
        <f t="shared" si="2"/>
        <v>1054574.6000000001</v>
      </c>
      <c r="L14" s="11">
        <f t="shared" si="3"/>
        <v>0.92224112713053341</v>
      </c>
      <c r="M14" s="12">
        <f t="shared" si="4"/>
        <v>16.533310137234594</v>
      </c>
      <c r="N14" s="208">
        <f t="shared" si="5"/>
        <v>0.12777888660046832</v>
      </c>
      <c r="O14" s="14">
        <v>4794.0923076923082</v>
      </c>
      <c r="P14" s="209">
        <f t="shared" si="6"/>
        <v>170.43726894639553</v>
      </c>
      <c r="Q14" s="15">
        <f t="shared" si="7"/>
        <v>20.400999640618998</v>
      </c>
    </row>
    <row r="15" spans="2:17" s="16" customFormat="1" ht="15.75" customHeight="1" x14ac:dyDescent="0.2">
      <c r="B15" s="10" t="s">
        <v>21</v>
      </c>
      <c r="C15" s="213">
        <v>65543</v>
      </c>
      <c r="D15" s="196">
        <v>1850</v>
      </c>
      <c r="E15" s="190">
        <f t="shared" si="0"/>
        <v>63693</v>
      </c>
      <c r="F15" s="192">
        <v>60588</v>
      </c>
      <c r="G15" s="197">
        <v>2900</v>
      </c>
      <c r="H15" s="190">
        <f t="shared" si="1"/>
        <v>63488</v>
      </c>
      <c r="I15" s="192">
        <v>1151658.47</v>
      </c>
      <c r="J15" s="197">
        <v>8750</v>
      </c>
      <c r="K15" s="198">
        <f t="shared" si="2"/>
        <v>1160408.47</v>
      </c>
      <c r="L15" s="11">
        <f t="shared" si="3"/>
        <v>0.9512505298855447</v>
      </c>
      <c r="M15" s="12">
        <f t="shared" si="4"/>
        <v>19.00802914768601</v>
      </c>
      <c r="N15" s="208">
        <f t="shared" si="5"/>
        <v>0.14690493197067789</v>
      </c>
      <c r="O15" s="14">
        <v>5371.8646153846139</v>
      </c>
      <c r="P15" s="209">
        <f t="shared" si="6"/>
        <v>146.41396541295506</v>
      </c>
      <c r="Q15" s="15">
        <f t="shared" si="7"/>
        <v>20.033939803059695</v>
      </c>
    </row>
    <row r="16" spans="2:17" s="16" customFormat="1" ht="15.75" customHeight="1" x14ac:dyDescent="0.2">
      <c r="B16" s="10" t="s">
        <v>33</v>
      </c>
      <c r="C16" s="213">
        <v>37140</v>
      </c>
      <c r="D16" s="196">
        <v>1054</v>
      </c>
      <c r="E16" s="190">
        <f t="shared" si="0"/>
        <v>36086</v>
      </c>
      <c r="F16" s="192">
        <v>28990</v>
      </c>
      <c r="G16" s="197">
        <v>4180</v>
      </c>
      <c r="H16" s="190">
        <f t="shared" si="1"/>
        <v>33170</v>
      </c>
      <c r="I16" s="192">
        <v>420489.24</v>
      </c>
      <c r="J16" s="197">
        <v>12612.08</v>
      </c>
      <c r="K16" s="198">
        <f t="shared" si="2"/>
        <v>433101.32</v>
      </c>
      <c r="L16" s="11">
        <f t="shared" si="3"/>
        <v>0.80335864324114614</v>
      </c>
      <c r="M16" s="12">
        <f t="shared" si="4"/>
        <v>14.504630562262848</v>
      </c>
      <c r="N16" s="13">
        <f t="shared" si="5"/>
        <v>0.11210008935978708</v>
      </c>
      <c r="O16" s="14">
        <v>2605.292307692308</v>
      </c>
      <c r="P16" s="14">
        <f t="shared" si="6"/>
        <v>171.06717687074828</v>
      </c>
      <c r="Q16" s="15">
        <f t="shared" si="7"/>
        <v>15.417486732179023</v>
      </c>
    </row>
    <row r="17" spans="2:17" s="16" customFormat="1" ht="15.75" customHeight="1" x14ac:dyDescent="0.2">
      <c r="B17" s="10" t="s">
        <v>31</v>
      </c>
      <c r="C17" s="213">
        <v>22288</v>
      </c>
      <c r="D17" s="196">
        <v>1165</v>
      </c>
      <c r="E17" s="190">
        <f t="shared" si="0"/>
        <v>21123</v>
      </c>
      <c r="F17" s="192">
        <v>29262</v>
      </c>
      <c r="G17" s="197">
        <v>1900</v>
      </c>
      <c r="H17" s="190">
        <f t="shared" si="1"/>
        <v>31162</v>
      </c>
      <c r="I17" s="192">
        <v>475634.8</v>
      </c>
      <c r="J17" s="197">
        <v>5732.76</v>
      </c>
      <c r="K17" s="198">
        <f t="shared" si="2"/>
        <v>481367.56</v>
      </c>
      <c r="L17" s="11">
        <f t="shared" si="3"/>
        <v>1.3853145859963074</v>
      </c>
      <c r="M17" s="12">
        <f t="shared" si="4"/>
        <v>16.254350351992343</v>
      </c>
      <c r="N17" s="208">
        <f t="shared" si="5"/>
        <v>0.12562292566653022</v>
      </c>
      <c r="O17" s="14">
        <v>2977.4769230769234</v>
      </c>
      <c r="P17" s="209">
        <f t="shared" si="6"/>
        <v>89.826388888888886</v>
      </c>
      <c r="Q17" s="15">
        <f t="shared" si="7"/>
        <v>14.993704529464875</v>
      </c>
    </row>
    <row r="18" spans="2:17" s="16" customFormat="1" ht="15.75" customHeight="1" x14ac:dyDescent="0.2">
      <c r="B18" s="10" t="s">
        <v>23</v>
      </c>
      <c r="C18" s="213">
        <v>66101</v>
      </c>
      <c r="D18" s="196">
        <v>2126</v>
      </c>
      <c r="E18" s="190">
        <f t="shared" si="0"/>
        <v>63975</v>
      </c>
      <c r="F18" s="192">
        <v>46515</v>
      </c>
      <c r="G18" s="197">
        <v>12780</v>
      </c>
      <c r="H18" s="190">
        <f t="shared" si="1"/>
        <v>59295</v>
      </c>
      <c r="I18" s="192">
        <v>735273</v>
      </c>
      <c r="J18" s="197">
        <v>38560.35</v>
      </c>
      <c r="K18" s="198">
        <f t="shared" si="2"/>
        <v>773833.35</v>
      </c>
      <c r="L18" s="11">
        <f t="shared" si="3"/>
        <v>0.7270808909730363</v>
      </c>
      <c r="M18" s="12">
        <f t="shared" si="4"/>
        <v>15.807223476297969</v>
      </c>
      <c r="N18" s="208">
        <f t="shared" si="5"/>
        <v>0.12216727317642763</v>
      </c>
      <c r="O18" s="210">
        <v>5173.3661538461538</v>
      </c>
      <c r="P18" s="209">
        <f t="shared" si="6"/>
        <v>153.32608912869705</v>
      </c>
      <c r="Q18" s="15">
        <f t="shared" si="7"/>
        <v>13.872500795362518</v>
      </c>
    </row>
    <row r="19" spans="2:17" s="16" customFormat="1" ht="15.75" customHeight="1" x14ac:dyDescent="0.2">
      <c r="B19" s="10" t="s">
        <v>24</v>
      </c>
      <c r="C19" s="213">
        <v>79831</v>
      </c>
      <c r="D19" s="196">
        <v>1144</v>
      </c>
      <c r="E19" s="190">
        <f t="shared" si="0"/>
        <v>78687</v>
      </c>
      <c r="F19" s="192">
        <v>57022</v>
      </c>
      <c r="G19" s="197">
        <v>6800</v>
      </c>
      <c r="H19" s="190">
        <f t="shared" si="1"/>
        <v>63822</v>
      </c>
      <c r="I19" s="192">
        <v>726413.39</v>
      </c>
      <c r="J19" s="197">
        <v>20517.25</v>
      </c>
      <c r="K19" s="198">
        <f t="shared" si="2"/>
        <v>746930.64</v>
      </c>
      <c r="L19" s="11">
        <f t="shared" si="3"/>
        <v>0.72466862378791919</v>
      </c>
      <c r="M19" s="12">
        <f t="shared" si="4"/>
        <v>12.73917768580548</v>
      </c>
      <c r="N19" s="208">
        <f t="shared" si="5"/>
        <v>9.8455658751105041E-2</v>
      </c>
      <c r="O19" s="14">
        <v>5302.1538461538457</v>
      </c>
      <c r="P19" s="209">
        <f t="shared" si="6"/>
        <v>180.67600974930363</v>
      </c>
      <c r="Q19" s="15">
        <f t="shared" si="7"/>
        <v>13.064971999532412</v>
      </c>
    </row>
    <row r="20" spans="2:17" s="16" customFormat="1" ht="15.75" customHeight="1" x14ac:dyDescent="0.25">
      <c r="B20" s="17" t="s">
        <v>22</v>
      </c>
      <c r="C20" s="213">
        <v>59098</v>
      </c>
      <c r="D20" s="206">
        <v>1970</v>
      </c>
      <c r="E20" s="190">
        <f t="shared" si="0"/>
        <v>57128</v>
      </c>
      <c r="F20" s="194">
        <v>37763</v>
      </c>
      <c r="G20" s="207">
        <v>22260</v>
      </c>
      <c r="H20" s="193">
        <f t="shared" si="1"/>
        <v>60023</v>
      </c>
      <c r="I20" s="194">
        <v>599283.26</v>
      </c>
      <c r="J20" s="207">
        <v>67163.789999999994</v>
      </c>
      <c r="K20" s="205">
        <f t="shared" si="2"/>
        <v>666447.05000000005</v>
      </c>
      <c r="L20" s="11">
        <f t="shared" si="3"/>
        <v>0.66102436633524719</v>
      </c>
      <c r="M20" s="18">
        <f t="shared" si="4"/>
        <v>15.869588221274793</v>
      </c>
      <c r="N20" s="195">
        <f t="shared" si="5"/>
        <v>0.12264926363146143</v>
      </c>
      <c r="O20" s="362">
        <v>4962.4615384615381</v>
      </c>
      <c r="P20" s="19">
        <f t="shared" si="6"/>
        <v>142.90811011904762</v>
      </c>
      <c r="Q20" s="204">
        <f t="shared" si="7"/>
        <v>12.455151924529574</v>
      </c>
    </row>
    <row r="21" spans="2:17" s="16" customFormat="1" ht="15.75" customHeight="1" x14ac:dyDescent="0.2">
      <c r="B21" s="10" t="s">
        <v>26</v>
      </c>
      <c r="C21" s="213">
        <v>40873</v>
      </c>
      <c r="D21" s="196">
        <v>1093</v>
      </c>
      <c r="E21" s="190">
        <f t="shared" si="0"/>
        <v>39780</v>
      </c>
      <c r="F21" s="192">
        <v>22400</v>
      </c>
      <c r="G21" s="197">
        <v>3440</v>
      </c>
      <c r="H21" s="190">
        <f t="shared" si="1"/>
        <v>25840</v>
      </c>
      <c r="I21" s="192">
        <v>301687.06</v>
      </c>
      <c r="J21" s="197">
        <v>10446.91</v>
      </c>
      <c r="K21" s="198">
        <f t="shared" si="2"/>
        <v>312133.96999999997</v>
      </c>
      <c r="L21" s="11">
        <f t="shared" si="3"/>
        <v>0.56309703368526898</v>
      </c>
      <c r="M21" s="12">
        <f t="shared" si="4"/>
        <v>13.468172321428572</v>
      </c>
      <c r="N21" s="13">
        <f t="shared" si="5"/>
        <v>0.10408974666843321</v>
      </c>
      <c r="O21" s="14">
        <v>2357.1692307692306</v>
      </c>
      <c r="P21" s="14">
        <f t="shared" si="6"/>
        <v>208.07839912280701</v>
      </c>
      <c r="Q21" s="15">
        <f t="shared" si="7"/>
        <v>12.28091727429905</v>
      </c>
    </row>
    <row r="22" spans="2:17" ht="15.75" customHeight="1" thickBot="1" x14ac:dyDescent="0.25">
      <c r="B22" s="21" t="s">
        <v>35</v>
      </c>
      <c r="C22" s="39">
        <f t="shared" ref="C22:K22" si="8">SUM(C6:C21)</f>
        <v>1430948</v>
      </c>
      <c r="D22" s="39">
        <f t="shared" si="8"/>
        <v>24010</v>
      </c>
      <c r="E22" s="39">
        <f t="shared" si="8"/>
        <v>1406938</v>
      </c>
      <c r="F22" s="39">
        <f t="shared" si="8"/>
        <v>1142380</v>
      </c>
      <c r="G22" s="39">
        <f t="shared" si="8"/>
        <v>132760</v>
      </c>
      <c r="H22" s="39">
        <f t="shared" si="8"/>
        <v>1275140</v>
      </c>
      <c r="I22" s="39">
        <f t="shared" si="8"/>
        <v>20633715.350000001</v>
      </c>
      <c r="J22" s="39">
        <f t="shared" si="8"/>
        <v>399333.2099999999</v>
      </c>
      <c r="K22" s="39">
        <f t="shared" si="8"/>
        <v>21033048.559999999</v>
      </c>
      <c r="L22" s="22">
        <f t="shared" ref="L22" si="9">F22/E22</f>
        <v>0.81196186328040043</v>
      </c>
      <c r="M22" s="23">
        <f t="shared" ref="M22" si="10">I22/F22</f>
        <v>18.062041833715579</v>
      </c>
      <c r="N22" s="24">
        <f t="shared" ref="N22" si="11">M22/129.39</f>
        <v>0.13959380039968761</v>
      </c>
      <c r="O22" s="39">
        <f>SUM(O6:O21)</f>
        <v>86952.369230769225</v>
      </c>
      <c r="P22" s="25">
        <f t="shared" ref="P22" si="12">C22/O22*12</f>
        <v>197.48025444168906</v>
      </c>
      <c r="Q22" s="24">
        <f t="shared" ref="Q22" si="13">(K22*12/O22)/129.39</f>
        <v>22.433722206790197</v>
      </c>
    </row>
    <row r="23" spans="2:17" ht="17.25" customHeight="1" thickTop="1" thickBot="1" x14ac:dyDescent="0.25">
      <c r="B23" s="26" t="s">
        <v>36</v>
      </c>
      <c r="C23" s="27"/>
      <c r="D23" s="28">
        <f>D22/C22</f>
        <v>1.6779086312011339E-2</v>
      </c>
      <c r="E23" s="29">
        <f>E22/C22</f>
        <v>0.9832209136879887</v>
      </c>
      <c r="F23" s="30"/>
      <c r="G23" s="31"/>
      <c r="H23" s="30"/>
      <c r="I23" s="30"/>
      <c r="J23" s="30"/>
      <c r="K23" s="30"/>
      <c r="L23" s="32"/>
      <c r="M23" s="30"/>
      <c r="N23" s="33"/>
      <c r="O23" s="34"/>
      <c r="P23" s="34"/>
      <c r="Q23" s="35"/>
    </row>
    <row r="24" spans="2:17" ht="21" customHeight="1" thickTop="1" x14ac:dyDescent="0.25">
      <c r="B24" s="624" t="s">
        <v>37</v>
      </c>
      <c r="C24" s="625"/>
      <c r="D24" s="625"/>
      <c r="E24" s="625"/>
      <c r="F24" s="625"/>
      <c r="G24" s="625"/>
      <c r="H24" s="625"/>
      <c r="I24" s="625"/>
      <c r="J24" s="625"/>
      <c r="K24" s="625"/>
      <c r="L24" s="625"/>
      <c r="M24" s="625"/>
      <c r="N24" s="625"/>
      <c r="O24" s="625"/>
      <c r="P24" s="625"/>
      <c r="Q24" s="625"/>
    </row>
    <row r="25" spans="2:17" ht="14.25" customHeight="1" x14ac:dyDescent="0.2">
      <c r="B25" s="13" t="s">
        <v>58</v>
      </c>
      <c r="C25" s="213">
        <v>52420</v>
      </c>
      <c r="D25" s="199">
        <v>705</v>
      </c>
      <c r="E25" s="200">
        <f t="shared" ref="E25:E53" si="14">C25-D25</f>
        <v>51715</v>
      </c>
      <c r="F25" s="201">
        <v>61000</v>
      </c>
      <c r="G25" s="191">
        <v>480</v>
      </c>
      <c r="H25" s="202">
        <f t="shared" ref="H25:H53" si="15">F25+G25</f>
        <v>61480</v>
      </c>
      <c r="I25" s="201">
        <v>2321796.35</v>
      </c>
      <c r="J25" s="191">
        <v>1655.16</v>
      </c>
      <c r="K25" s="200">
        <f t="shared" ref="K25:K53" si="16">I25+J25</f>
        <v>2323451.5100000002</v>
      </c>
      <c r="L25" s="36">
        <f t="shared" ref="L25:L53" si="17">F25/E25</f>
        <v>1.1795417190370299</v>
      </c>
      <c r="M25" s="20">
        <f t="shared" ref="M25:M53" si="18">I25/F25</f>
        <v>38.06223524590164</v>
      </c>
      <c r="N25" s="37">
        <f t="shared" ref="N25:N53" si="19">M25/129.39</f>
        <v>0.29416674585286068</v>
      </c>
      <c r="O25" s="20">
        <v>5210.584615384616</v>
      </c>
      <c r="P25" s="190">
        <f t="shared" ref="P25:P53" si="20">C25/O25*12</f>
        <v>120.72349773242628</v>
      </c>
      <c r="Q25" s="15">
        <f t="shared" ref="Q25:Q53" si="21">(K25*12/O25)/129.39</f>
        <v>41.354968426656292</v>
      </c>
    </row>
    <row r="26" spans="2:17" ht="14.25" customHeight="1" x14ac:dyDescent="0.2">
      <c r="B26" s="13" t="s">
        <v>51</v>
      </c>
      <c r="C26" s="213">
        <v>71685</v>
      </c>
      <c r="D26" s="199">
        <v>1026</v>
      </c>
      <c r="E26" s="200">
        <f t="shared" si="14"/>
        <v>70659</v>
      </c>
      <c r="F26" s="201">
        <v>62050</v>
      </c>
      <c r="G26" s="191">
        <v>120</v>
      </c>
      <c r="H26" s="202">
        <f t="shared" si="15"/>
        <v>62170</v>
      </c>
      <c r="I26" s="201">
        <v>2958005.96</v>
      </c>
      <c r="J26" s="191">
        <v>413.79</v>
      </c>
      <c r="K26" s="200">
        <f t="shared" si="16"/>
        <v>2958419.75</v>
      </c>
      <c r="L26" s="36">
        <f t="shared" si="17"/>
        <v>0.87816130995343833</v>
      </c>
      <c r="M26" s="20">
        <f t="shared" si="18"/>
        <v>47.671328928283643</v>
      </c>
      <c r="N26" s="37">
        <f t="shared" si="19"/>
        <v>0.36843132335020984</v>
      </c>
      <c r="O26" s="20">
        <v>8436.1846153846163</v>
      </c>
      <c r="P26" s="190">
        <f t="shared" si="20"/>
        <v>101.96789653361344</v>
      </c>
      <c r="Q26" s="15">
        <f t="shared" si="21"/>
        <v>32.523273487702916</v>
      </c>
    </row>
    <row r="27" spans="2:17" ht="14.25" customHeight="1" x14ac:dyDescent="0.2">
      <c r="B27" s="13" t="s">
        <v>49</v>
      </c>
      <c r="C27" s="213">
        <v>46727</v>
      </c>
      <c r="D27" s="199">
        <v>371</v>
      </c>
      <c r="E27" s="200">
        <f t="shared" si="14"/>
        <v>46356</v>
      </c>
      <c r="F27" s="201">
        <v>47480</v>
      </c>
      <c r="G27" s="191">
        <v>600</v>
      </c>
      <c r="H27" s="202">
        <f t="shared" si="15"/>
        <v>48080</v>
      </c>
      <c r="I27" s="201">
        <v>1756333.3299999998</v>
      </c>
      <c r="J27" s="191">
        <v>2068.96</v>
      </c>
      <c r="K27" s="200">
        <f t="shared" si="16"/>
        <v>1758402.2899999998</v>
      </c>
      <c r="L27" s="36">
        <f t="shared" si="17"/>
        <v>1.0242471308999914</v>
      </c>
      <c r="M27" s="20">
        <f t="shared" si="18"/>
        <v>36.991013689974722</v>
      </c>
      <c r="N27" s="37">
        <f t="shared" si="19"/>
        <v>0.28588773235933784</v>
      </c>
      <c r="O27" s="20">
        <v>5024.4923076923069</v>
      </c>
      <c r="P27" s="190">
        <f t="shared" si="20"/>
        <v>111.59814079952972</v>
      </c>
      <c r="Q27" s="15">
        <f t="shared" si="21"/>
        <v>32.456866423800477</v>
      </c>
    </row>
    <row r="28" spans="2:17" ht="14.25" customHeight="1" x14ac:dyDescent="0.2">
      <c r="B28" s="13" t="s">
        <v>50</v>
      </c>
      <c r="C28" s="213">
        <v>19767</v>
      </c>
      <c r="D28" s="199">
        <v>328</v>
      </c>
      <c r="E28" s="200">
        <f t="shared" si="14"/>
        <v>19439</v>
      </c>
      <c r="F28" s="201">
        <v>27430</v>
      </c>
      <c r="G28" s="191">
        <v>240</v>
      </c>
      <c r="H28" s="202">
        <f t="shared" si="15"/>
        <v>27670</v>
      </c>
      <c r="I28" s="201">
        <v>924502.37</v>
      </c>
      <c r="J28" s="191">
        <v>827.58</v>
      </c>
      <c r="K28" s="200">
        <f t="shared" si="16"/>
        <v>925329.95</v>
      </c>
      <c r="L28" s="36">
        <f t="shared" si="17"/>
        <v>1.4110808169144504</v>
      </c>
      <c r="M28" s="20">
        <f t="shared" si="18"/>
        <v>33.704060153117027</v>
      </c>
      <c r="N28" s="37">
        <f t="shared" si="19"/>
        <v>0.26048427353827214</v>
      </c>
      <c r="O28" s="20">
        <v>2667.3230769230763</v>
      </c>
      <c r="P28" s="190">
        <f t="shared" si="20"/>
        <v>88.929609634551511</v>
      </c>
      <c r="Q28" s="15">
        <f t="shared" si="21"/>
        <v>32.173738668932693</v>
      </c>
    </row>
    <row r="29" spans="2:17" ht="14.25" customHeight="1" x14ac:dyDescent="0.2">
      <c r="B29" s="13" t="s">
        <v>53</v>
      </c>
      <c r="C29" s="213">
        <v>72219</v>
      </c>
      <c r="D29" s="199">
        <v>417</v>
      </c>
      <c r="E29" s="200">
        <f t="shared" si="14"/>
        <v>71802</v>
      </c>
      <c r="F29" s="201">
        <v>71700</v>
      </c>
      <c r="G29" s="191">
        <v>580</v>
      </c>
      <c r="H29" s="202">
        <f t="shared" si="15"/>
        <v>72280</v>
      </c>
      <c r="I29" s="201">
        <v>2534161.5699999998</v>
      </c>
      <c r="J29" s="191">
        <v>2000</v>
      </c>
      <c r="K29" s="200">
        <f t="shared" si="16"/>
        <v>2536161.5699999998</v>
      </c>
      <c r="L29" s="36">
        <f t="shared" si="17"/>
        <v>0.9985794267569148</v>
      </c>
      <c r="M29" s="20">
        <f t="shared" si="18"/>
        <v>35.343954951185495</v>
      </c>
      <c r="N29" s="37">
        <f t="shared" si="19"/>
        <v>0.273158319431065</v>
      </c>
      <c r="O29" s="20">
        <v>7381.6615384615379</v>
      </c>
      <c r="P29" s="190">
        <f t="shared" si="20"/>
        <v>117.40283613445379</v>
      </c>
      <c r="Q29" s="15">
        <f t="shared" si="21"/>
        <v>31.864222242340016</v>
      </c>
    </row>
    <row r="30" spans="2:17" ht="14.25" customHeight="1" x14ac:dyDescent="0.2">
      <c r="B30" s="13" t="s">
        <v>52</v>
      </c>
      <c r="C30" s="213">
        <v>50790</v>
      </c>
      <c r="D30" s="199">
        <v>667</v>
      </c>
      <c r="E30" s="200">
        <f t="shared" si="14"/>
        <v>50123</v>
      </c>
      <c r="F30" s="201">
        <v>41330</v>
      </c>
      <c r="G30" s="191">
        <v>9980</v>
      </c>
      <c r="H30" s="202">
        <f t="shared" si="15"/>
        <v>51310</v>
      </c>
      <c r="I30" s="201">
        <v>1603800.84</v>
      </c>
      <c r="J30" s="191">
        <v>34413.78</v>
      </c>
      <c r="K30" s="200">
        <f t="shared" si="16"/>
        <v>1638214.62</v>
      </c>
      <c r="L30" s="36">
        <f t="shared" si="17"/>
        <v>0.82457155397721604</v>
      </c>
      <c r="M30" s="20">
        <f t="shared" si="18"/>
        <v>38.80476264214856</v>
      </c>
      <c r="N30" s="37">
        <f t="shared" si="19"/>
        <v>0.29990542269223713</v>
      </c>
      <c r="O30" s="20">
        <v>5024.4923076923069</v>
      </c>
      <c r="P30" s="190">
        <f t="shared" si="20"/>
        <v>121.3018077601411</v>
      </c>
      <c r="Q30" s="15">
        <f t="shared" si="21"/>
        <v>30.238423480929995</v>
      </c>
    </row>
    <row r="31" spans="2:17" ht="14.25" customHeight="1" x14ac:dyDescent="0.2">
      <c r="B31" s="13" t="s">
        <v>43</v>
      </c>
      <c r="C31" s="213">
        <v>26052</v>
      </c>
      <c r="D31" s="199">
        <v>217</v>
      </c>
      <c r="E31" s="200">
        <f t="shared" si="14"/>
        <v>25835</v>
      </c>
      <c r="F31" s="201">
        <v>24240</v>
      </c>
      <c r="G31" s="191">
        <v>360</v>
      </c>
      <c r="H31" s="202">
        <f t="shared" si="15"/>
        <v>24600</v>
      </c>
      <c r="I31" s="201">
        <v>839574.91000000015</v>
      </c>
      <c r="J31" s="191">
        <v>1241.3800000000001</v>
      </c>
      <c r="K31" s="200">
        <f t="shared" si="16"/>
        <v>840816.29000000015</v>
      </c>
      <c r="L31" s="36">
        <f t="shared" si="17"/>
        <v>0.93826204760983167</v>
      </c>
      <c r="M31" s="20">
        <f t="shared" si="18"/>
        <v>34.63592863036304</v>
      </c>
      <c r="N31" s="37">
        <f t="shared" si="19"/>
        <v>0.26768628665556105</v>
      </c>
      <c r="O31" s="20">
        <v>2605.292307692308</v>
      </c>
      <c r="P31" s="190">
        <f t="shared" si="20"/>
        <v>119.9957482993197</v>
      </c>
      <c r="Q31" s="15">
        <f t="shared" si="21"/>
        <v>29.931273345634214</v>
      </c>
    </row>
    <row r="32" spans="2:17" ht="14.25" customHeight="1" x14ac:dyDescent="0.2">
      <c r="B32" s="13" t="s">
        <v>39</v>
      </c>
      <c r="C32" s="213">
        <v>44074</v>
      </c>
      <c r="D32" s="199">
        <v>374</v>
      </c>
      <c r="E32" s="200">
        <f t="shared" si="14"/>
        <v>43700</v>
      </c>
      <c r="F32" s="201">
        <v>41225</v>
      </c>
      <c r="G32" s="191">
        <v>240</v>
      </c>
      <c r="H32" s="202">
        <f t="shared" si="15"/>
        <v>41465</v>
      </c>
      <c r="I32" s="201">
        <v>1394878.71</v>
      </c>
      <c r="J32" s="191">
        <v>827.58</v>
      </c>
      <c r="K32" s="200">
        <f t="shared" si="16"/>
        <v>1395706.29</v>
      </c>
      <c r="L32" s="36">
        <f t="shared" si="17"/>
        <v>0.94336384439359267</v>
      </c>
      <c r="M32" s="20">
        <f t="shared" si="18"/>
        <v>33.835747968465739</v>
      </c>
      <c r="N32" s="37">
        <f t="shared" si="19"/>
        <v>0.26150203237086128</v>
      </c>
      <c r="O32" s="20">
        <v>5148.5538461538454</v>
      </c>
      <c r="P32" s="190">
        <f t="shared" si="20"/>
        <v>102.72554503729204</v>
      </c>
      <c r="Q32" s="15">
        <f t="shared" si="21"/>
        <v>25.141391432711078</v>
      </c>
    </row>
    <row r="33" spans="2:17" ht="14.25" customHeight="1" x14ac:dyDescent="0.2">
      <c r="B33" s="13" t="s">
        <v>60</v>
      </c>
      <c r="C33" s="213">
        <v>19077</v>
      </c>
      <c r="D33" s="199">
        <v>610</v>
      </c>
      <c r="E33" s="200">
        <f t="shared" si="14"/>
        <v>18467</v>
      </c>
      <c r="F33" s="201">
        <v>19340</v>
      </c>
      <c r="G33" s="203">
        <v>0</v>
      </c>
      <c r="H33" s="202">
        <f t="shared" si="15"/>
        <v>19340</v>
      </c>
      <c r="I33" s="201">
        <v>679930.28</v>
      </c>
      <c r="J33" s="203">
        <v>0</v>
      </c>
      <c r="K33" s="200">
        <f t="shared" si="16"/>
        <v>679930.28</v>
      </c>
      <c r="L33" s="36">
        <f t="shared" si="17"/>
        <v>1.0472735149185033</v>
      </c>
      <c r="M33" s="20">
        <f t="shared" si="18"/>
        <v>35.156684591520168</v>
      </c>
      <c r="N33" s="37">
        <f t="shared" si="19"/>
        <v>0.27171098687317546</v>
      </c>
      <c r="O33" s="20">
        <v>2605.292307692308</v>
      </c>
      <c r="P33" s="190">
        <f t="shared" si="20"/>
        <v>87.8688350340136</v>
      </c>
      <c r="Q33" s="15">
        <f t="shared" si="21"/>
        <v>24.204073242507711</v>
      </c>
    </row>
    <row r="34" spans="2:17" ht="14.25" customHeight="1" x14ac:dyDescent="0.2">
      <c r="B34" s="13" t="s">
        <v>46</v>
      </c>
      <c r="C34" s="213">
        <v>33823</v>
      </c>
      <c r="D34" s="199">
        <v>1220</v>
      </c>
      <c r="E34" s="200">
        <f t="shared" si="14"/>
        <v>32603</v>
      </c>
      <c r="F34" s="201">
        <v>34850</v>
      </c>
      <c r="G34" s="191">
        <v>240</v>
      </c>
      <c r="H34" s="202">
        <f t="shared" si="15"/>
        <v>35090</v>
      </c>
      <c r="I34" s="201">
        <v>1306134.0399999998</v>
      </c>
      <c r="J34" s="191">
        <v>827.58</v>
      </c>
      <c r="K34" s="200">
        <f t="shared" si="16"/>
        <v>1306961.6199999999</v>
      </c>
      <c r="L34" s="36">
        <f t="shared" si="17"/>
        <v>1.0689200380333099</v>
      </c>
      <c r="M34" s="20">
        <f t="shared" si="18"/>
        <v>37.478738593974171</v>
      </c>
      <c r="N34" s="37">
        <f t="shared" si="19"/>
        <v>0.28965714965587891</v>
      </c>
      <c r="O34" s="20">
        <v>5027.4461538461537</v>
      </c>
      <c r="P34" s="190">
        <f t="shared" si="20"/>
        <v>80.732043184488845</v>
      </c>
      <c r="Q34" s="15">
        <f t="shared" si="21"/>
        <v>24.109929459520306</v>
      </c>
    </row>
    <row r="35" spans="2:17" ht="14.25" customHeight="1" x14ac:dyDescent="0.2">
      <c r="B35" s="13" t="s">
        <v>62</v>
      </c>
      <c r="C35" s="213">
        <v>23215</v>
      </c>
      <c r="D35" s="199">
        <v>334</v>
      </c>
      <c r="E35" s="200">
        <f t="shared" si="14"/>
        <v>22881</v>
      </c>
      <c r="F35" s="201">
        <v>17720</v>
      </c>
      <c r="G35" s="191">
        <v>1080</v>
      </c>
      <c r="H35" s="202">
        <f t="shared" si="15"/>
        <v>18800</v>
      </c>
      <c r="I35" s="201">
        <v>650216.71</v>
      </c>
      <c r="J35" s="191">
        <v>3724.14</v>
      </c>
      <c r="K35" s="200">
        <f t="shared" si="16"/>
        <v>653940.85</v>
      </c>
      <c r="L35" s="36">
        <f t="shared" si="17"/>
        <v>0.77444167650015294</v>
      </c>
      <c r="M35" s="20">
        <f t="shared" si="18"/>
        <v>36.693945259593676</v>
      </c>
      <c r="N35" s="37">
        <f t="shared" si="19"/>
        <v>0.28359181744797651</v>
      </c>
      <c r="O35" s="20">
        <v>2667.3230769230763</v>
      </c>
      <c r="P35" s="190">
        <f t="shared" si="20"/>
        <v>104.4417912513843</v>
      </c>
      <c r="Q35" s="15">
        <f t="shared" si="21"/>
        <v>22.737534879141993</v>
      </c>
    </row>
    <row r="36" spans="2:17" ht="14.25" customHeight="1" x14ac:dyDescent="0.2">
      <c r="B36" s="13" t="s">
        <v>44</v>
      </c>
      <c r="C36" s="213">
        <v>18672</v>
      </c>
      <c r="D36" s="199">
        <v>132</v>
      </c>
      <c r="E36" s="200">
        <f t="shared" si="14"/>
        <v>18540</v>
      </c>
      <c r="F36" s="201">
        <v>15710</v>
      </c>
      <c r="G36" s="191">
        <v>120</v>
      </c>
      <c r="H36" s="202">
        <f t="shared" si="15"/>
        <v>15830</v>
      </c>
      <c r="I36" s="201">
        <v>568844.45000000007</v>
      </c>
      <c r="J36" s="191">
        <v>413.79</v>
      </c>
      <c r="K36" s="200">
        <f t="shared" si="16"/>
        <v>569258.24000000011</v>
      </c>
      <c r="L36" s="36">
        <f t="shared" si="17"/>
        <v>0.84735706580366776</v>
      </c>
      <c r="M36" s="20">
        <f t="shared" si="18"/>
        <v>36.209067472947169</v>
      </c>
      <c r="N36" s="37">
        <f t="shared" si="19"/>
        <v>0.2798444043044066</v>
      </c>
      <c r="O36" s="20">
        <v>2357.1692307692306</v>
      </c>
      <c r="P36" s="190">
        <f t="shared" si="20"/>
        <v>95.056390977443613</v>
      </c>
      <c r="Q36" s="15">
        <f t="shared" si="21"/>
        <v>22.39747680508173</v>
      </c>
    </row>
    <row r="37" spans="2:17" ht="14.25" customHeight="1" x14ac:dyDescent="0.2">
      <c r="B37" s="13" t="s">
        <v>42</v>
      </c>
      <c r="C37" s="213">
        <v>13815</v>
      </c>
      <c r="D37" s="199">
        <v>190</v>
      </c>
      <c r="E37" s="200">
        <f t="shared" si="14"/>
        <v>13625</v>
      </c>
      <c r="F37" s="201">
        <v>11595</v>
      </c>
      <c r="G37" s="191">
        <v>120</v>
      </c>
      <c r="H37" s="202">
        <f t="shared" si="15"/>
        <v>11715</v>
      </c>
      <c r="I37" s="201">
        <v>568608.05000000005</v>
      </c>
      <c r="J37" s="191">
        <v>413.79</v>
      </c>
      <c r="K37" s="200">
        <f t="shared" si="16"/>
        <v>569021.84000000008</v>
      </c>
      <c r="L37" s="36">
        <f t="shared" si="17"/>
        <v>0.85100917431192658</v>
      </c>
      <c r="M37" s="20">
        <f t="shared" si="18"/>
        <v>49.039072876239764</v>
      </c>
      <c r="N37" s="37">
        <f t="shared" si="19"/>
        <v>0.37900203165808616</v>
      </c>
      <c r="O37" s="20">
        <v>2357.1692307692306</v>
      </c>
      <c r="P37" s="190">
        <f t="shared" si="20"/>
        <v>70.330122180451141</v>
      </c>
      <c r="Q37" s="15">
        <f t="shared" si="21"/>
        <v>22.388175642367383</v>
      </c>
    </row>
    <row r="38" spans="2:17" ht="14.25" customHeight="1" x14ac:dyDescent="0.2">
      <c r="B38" s="13" t="s">
        <v>45</v>
      </c>
      <c r="C38" s="213">
        <v>16232</v>
      </c>
      <c r="D38" s="199">
        <v>257</v>
      </c>
      <c r="E38" s="200">
        <f t="shared" si="14"/>
        <v>15975</v>
      </c>
      <c r="F38" s="201">
        <v>15020</v>
      </c>
      <c r="G38" s="203">
        <v>0</v>
      </c>
      <c r="H38" s="202">
        <f t="shared" si="15"/>
        <v>15020</v>
      </c>
      <c r="I38" s="201">
        <v>588697.82999999996</v>
      </c>
      <c r="J38" s="203">
        <v>0</v>
      </c>
      <c r="K38" s="200">
        <f t="shared" si="16"/>
        <v>588697.82999999996</v>
      </c>
      <c r="L38" s="36">
        <f t="shared" si="17"/>
        <v>0.94021909233176837</v>
      </c>
      <c r="M38" s="20">
        <f t="shared" si="18"/>
        <v>39.194262982689743</v>
      </c>
      <c r="N38" s="37">
        <f t="shared" si="19"/>
        <v>0.30291570432560283</v>
      </c>
      <c r="O38" s="20">
        <v>2481.2307692307691</v>
      </c>
      <c r="P38" s="190">
        <f t="shared" si="20"/>
        <v>78.50297619047619</v>
      </c>
      <c r="Q38" s="15">
        <f t="shared" si="21"/>
        <v>22.004211468235567</v>
      </c>
    </row>
    <row r="39" spans="2:17" ht="14.25" customHeight="1" x14ac:dyDescent="0.2">
      <c r="B39" s="13" t="s">
        <v>55</v>
      </c>
      <c r="C39" s="213">
        <v>41838</v>
      </c>
      <c r="D39" s="199">
        <v>310</v>
      </c>
      <c r="E39" s="200">
        <f t="shared" si="14"/>
        <v>41528</v>
      </c>
      <c r="F39" s="201">
        <v>32750</v>
      </c>
      <c r="G39" s="191">
        <v>720</v>
      </c>
      <c r="H39" s="202">
        <f t="shared" si="15"/>
        <v>33470</v>
      </c>
      <c r="I39" s="201">
        <v>1191871.1300000001</v>
      </c>
      <c r="J39" s="191">
        <v>2482.75</v>
      </c>
      <c r="K39" s="200">
        <f t="shared" si="16"/>
        <v>1194353.8800000001</v>
      </c>
      <c r="L39" s="36">
        <f t="shared" si="17"/>
        <v>0.78862454247736469</v>
      </c>
      <c r="M39" s="20">
        <f t="shared" si="18"/>
        <v>36.393011603053438</v>
      </c>
      <c r="N39" s="37">
        <f t="shared" si="19"/>
        <v>0.28126602985588872</v>
      </c>
      <c r="O39" s="20">
        <v>5055.5076923076922</v>
      </c>
      <c r="P39" s="190">
        <f t="shared" si="20"/>
        <v>99.308720420683613</v>
      </c>
      <c r="Q39" s="15">
        <f t="shared" si="21"/>
        <v>21.910323124099005</v>
      </c>
    </row>
    <row r="40" spans="2:17" ht="14.25" customHeight="1" x14ac:dyDescent="0.2">
      <c r="B40" s="13" t="s">
        <v>48</v>
      </c>
      <c r="C40" s="213">
        <v>11207</v>
      </c>
      <c r="D40" s="199">
        <v>144</v>
      </c>
      <c r="E40" s="200">
        <f t="shared" si="14"/>
        <v>11063</v>
      </c>
      <c r="F40" s="201">
        <v>11390</v>
      </c>
      <c r="G40" s="203">
        <v>0</v>
      </c>
      <c r="H40" s="202">
        <f t="shared" si="15"/>
        <v>11390</v>
      </c>
      <c r="I40" s="201">
        <v>385336.66000000003</v>
      </c>
      <c r="J40" s="203">
        <v>0</v>
      </c>
      <c r="K40" s="200">
        <f t="shared" si="16"/>
        <v>385336.66000000003</v>
      </c>
      <c r="L40" s="36">
        <f t="shared" si="17"/>
        <v>1.0295579860797253</v>
      </c>
      <c r="M40" s="20">
        <f t="shared" si="18"/>
        <v>33.831137840210715</v>
      </c>
      <c r="N40" s="37">
        <f t="shared" si="19"/>
        <v>0.2614664026602575</v>
      </c>
      <c r="O40" s="20">
        <v>1736.8615384615382</v>
      </c>
      <c r="P40" s="190">
        <f t="shared" si="20"/>
        <v>77.429315476190482</v>
      </c>
      <c r="Q40" s="15">
        <f t="shared" si="21"/>
        <v>20.575749490807997</v>
      </c>
    </row>
    <row r="41" spans="2:17" ht="14.25" customHeight="1" x14ac:dyDescent="0.2">
      <c r="B41" s="13" t="s">
        <v>41</v>
      </c>
      <c r="C41" s="213">
        <v>17268</v>
      </c>
      <c r="D41" s="199">
        <v>421</v>
      </c>
      <c r="E41" s="200">
        <f t="shared" si="14"/>
        <v>16847</v>
      </c>
      <c r="F41" s="201">
        <v>19940</v>
      </c>
      <c r="G41" s="191">
        <v>120</v>
      </c>
      <c r="H41" s="202">
        <f t="shared" si="15"/>
        <v>20060</v>
      </c>
      <c r="I41" s="201">
        <v>709630.65999999992</v>
      </c>
      <c r="J41" s="191">
        <v>413.79</v>
      </c>
      <c r="K41" s="200">
        <f t="shared" si="16"/>
        <v>710044.45</v>
      </c>
      <c r="L41" s="36">
        <f t="shared" si="17"/>
        <v>1.1835935181337924</v>
      </c>
      <c r="M41" s="20">
        <f t="shared" si="18"/>
        <v>35.588297893681037</v>
      </c>
      <c r="N41" s="37">
        <f t="shared" si="19"/>
        <v>0.27504674158498371</v>
      </c>
      <c r="O41" s="20">
        <v>3225.5999999999995</v>
      </c>
      <c r="P41" s="190">
        <f t="shared" si="20"/>
        <v>64.241071428571431</v>
      </c>
      <c r="Q41" s="15">
        <f t="shared" si="21"/>
        <v>20.415290302205587</v>
      </c>
    </row>
    <row r="42" spans="2:17" ht="14.25" customHeight="1" x14ac:dyDescent="0.2">
      <c r="B42" s="13" t="s">
        <v>40</v>
      </c>
      <c r="C42" s="213">
        <v>13905</v>
      </c>
      <c r="D42" s="199">
        <v>133</v>
      </c>
      <c r="E42" s="200">
        <f t="shared" si="14"/>
        <v>13772</v>
      </c>
      <c r="F42" s="201">
        <v>13190</v>
      </c>
      <c r="G42" s="203">
        <v>0</v>
      </c>
      <c r="H42" s="202">
        <f t="shared" si="15"/>
        <v>13190</v>
      </c>
      <c r="I42" s="201">
        <v>519767</v>
      </c>
      <c r="J42" s="203">
        <v>0</v>
      </c>
      <c r="K42" s="200">
        <f t="shared" si="16"/>
        <v>519767</v>
      </c>
      <c r="L42" s="36">
        <f t="shared" si="17"/>
        <v>0.95774034272436825</v>
      </c>
      <c r="M42" s="20">
        <f t="shared" si="18"/>
        <v>39.40614101592115</v>
      </c>
      <c r="N42" s="37">
        <f t="shared" si="19"/>
        <v>0.30455321907350763</v>
      </c>
      <c r="O42" s="20">
        <v>2481.2307692307691</v>
      </c>
      <c r="P42" s="190">
        <f t="shared" si="20"/>
        <v>67.248883928571445</v>
      </c>
      <c r="Q42" s="15">
        <f t="shared" si="21"/>
        <v>19.427730831299986</v>
      </c>
    </row>
    <row r="43" spans="2:17" ht="14.25" customHeight="1" x14ac:dyDescent="0.2">
      <c r="B43" s="13" t="s">
        <v>56</v>
      </c>
      <c r="C43" s="213">
        <v>16742</v>
      </c>
      <c r="D43" s="199">
        <v>241</v>
      </c>
      <c r="E43" s="200">
        <f t="shared" si="14"/>
        <v>16501</v>
      </c>
      <c r="F43" s="201">
        <v>14610</v>
      </c>
      <c r="G43" s="203">
        <v>0</v>
      </c>
      <c r="H43" s="202">
        <f t="shared" si="15"/>
        <v>14610</v>
      </c>
      <c r="I43" s="201">
        <v>505945.88999999996</v>
      </c>
      <c r="J43" s="203">
        <v>0</v>
      </c>
      <c r="K43" s="200">
        <f t="shared" si="16"/>
        <v>505945.88999999996</v>
      </c>
      <c r="L43" s="36">
        <f t="shared" si="17"/>
        <v>0.8854008847948609</v>
      </c>
      <c r="M43" s="20">
        <f t="shared" si="18"/>
        <v>34.630108829568783</v>
      </c>
      <c r="N43" s="37">
        <f t="shared" si="19"/>
        <v>0.26764130790299706</v>
      </c>
      <c r="O43" s="20">
        <v>2481.2307692307691</v>
      </c>
      <c r="P43" s="190">
        <f t="shared" si="20"/>
        <v>80.969494047619051</v>
      </c>
      <c r="Q43" s="15">
        <f t="shared" si="21"/>
        <v>18.911128575154848</v>
      </c>
    </row>
    <row r="44" spans="2:17" ht="14.25" customHeight="1" x14ac:dyDescent="0.2">
      <c r="B44" s="13" t="s">
        <v>54</v>
      </c>
      <c r="C44" s="213">
        <v>32560</v>
      </c>
      <c r="D44" s="199">
        <v>243</v>
      </c>
      <c r="E44" s="200">
        <f t="shared" si="14"/>
        <v>32317</v>
      </c>
      <c r="F44" s="201">
        <v>21090</v>
      </c>
      <c r="G44" s="191">
        <v>6920</v>
      </c>
      <c r="H44" s="202">
        <f t="shared" si="15"/>
        <v>28010</v>
      </c>
      <c r="I44" s="201">
        <v>839447.71000000008</v>
      </c>
      <c r="J44" s="191">
        <v>23862.06</v>
      </c>
      <c r="K44" s="200">
        <f t="shared" si="16"/>
        <v>863309.77000000014</v>
      </c>
      <c r="L44" s="36">
        <f t="shared" si="17"/>
        <v>0.65259770399480155</v>
      </c>
      <c r="M44" s="20">
        <f t="shared" si="18"/>
        <v>39.803115694642017</v>
      </c>
      <c r="N44" s="37">
        <f t="shared" si="19"/>
        <v>0.30762126667162859</v>
      </c>
      <c r="O44" s="20">
        <v>4652.3076923076915</v>
      </c>
      <c r="P44" s="190">
        <f t="shared" si="20"/>
        <v>83.984126984127002</v>
      </c>
      <c r="Q44" s="15">
        <f t="shared" si="21"/>
        <v>17.209916325934767</v>
      </c>
    </row>
    <row r="45" spans="2:17" ht="14.25" customHeight="1" x14ac:dyDescent="0.2">
      <c r="B45" s="13" t="s">
        <v>65</v>
      </c>
      <c r="C45" s="213">
        <v>16394</v>
      </c>
      <c r="D45" s="199">
        <v>253</v>
      </c>
      <c r="E45" s="200">
        <f t="shared" si="14"/>
        <v>16141</v>
      </c>
      <c r="F45" s="201">
        <v>14800</v>
      </c>
      <c r="G45" s="191">
        <v>120</v>
      </c>
      <c r="H45" s="202">
        <f t="shared" si="15"/>
        <v>14920</v>
      </c>
      <c r="I45" s="201">
        <v>495182.4</v>
      </c>
      <c r="J45" s="191">
        <v>413.79</v>
      </c>
      <c r="K45" s="200">
        <f t="shared" si="16"/>
        <v>495596.19</v>
      </c>
      <c r="L45" s="36">
        <f t="shared" si="17"/>
        <v>0.91691964562294781</v>
      </c>
      <c r="M45" s="20">
        <f t="shared" si="18"/>
        <v>33.458270270270269</v>
      </c>
      <c r="N45" s="37">
        <f t="shared" si="19"/>
        <v>0.25858466860089863</v>
      </c>
      <c r="O45" s="20">
        <v>2788.4307692307689</v>
      </c>
      <c r="P45" s="190">
        <f t="shared" si="20"/>
        <v>70.551509533898312</v>
      </c>
      <c r="Q45" s="15">
        <f t="shared" si="21"/>
        <v>16.483469384659902</v>
      </c>
    </row>
    <row r="46" spans="2:17" ht="14.25" customHeight="1" x14ac:dyDescent="0.2">
      <c r="B46" s="13" t="s">
        <v>38</v>
      </c>
      <c r="C46" s="213">
        <v>18581</v>
      </c>
      <c r="D46" s="199">
        <v>704</v>
      </c>
      <c r="E46" s="200">
        <f t="shared" si="14"/>
        <v>17877</v>
      </c>
      <c r="F46" s="201">
        <v>13520</v>
      </c>
      <c r="G46" s="191">
        <v>240</v>
      </c>
      <c r="H46" s="202">
        <f t="shared" si="15"/>
        <v>13760</v>
      </c>
      <c r="I46" s="201">
        <v>471782.16</v>
      </c>
      <c r="J46" s="191">
        <v>827.58</v>
      </c>
      <c r="K46" s="200">
        <f t="shared" si="16"/>
        <v>472609.74</v>
      </c>
      <c r="L46" s="36">
        <f t="shared" si="17"/>
        <v>0.75627901773228168</v>
      </c>
      <c r="M46" s="20">
        <f t="shared" si="18"/>
        <v>34.895130177514794</v>
      </c>
      <c r="N46" s="37">
        <f t="shared" si="19"/>
        <v>0.2696895446132993</v>
      </c>
      <c r="O46" s="20">
        <v>3039.5076923076917</v>
      </c>
      <c r="P46" s="190">
        <f t="shared" si="20"/>
        <v>73.357932458697775</v>
      </c>
      <c r="Q46" s="15">
        <f t="shared" si="21"/>
        <v>14.420487888110102</v>
      </c>
    </row>
    <row r="47" spans="2:17" ht="14.25" customHeight="1" x14ac:dyDescent="0.2">
      <c r="B47" s="13" t="s">
        <v>66</v>
      </c>
      <c r="C47" s="213">
        <v>12932</v>
      </c>
      <c r="D47" s="199">
        <v>213</v>
      </c>
      <c r="E47" s="200">
        <f t="shared" si="14"/>
        <v>12719</v>
      </c>
      <c r="F47" s="201">
        <v>12900</v>
      </c>
      <c r="G47" s="191">
        <v>600</v>
      </c>
      <c r="H47" s="202">
        <f t="shared" si="15"/>
        <v>13500</v>
      </c>
      <c r="I47" s="201">
        <v>394463.91000000003</v>
      </c>
      <c r="J47" s="191">
        <v>2068.9699999999998</v>
      </c>
      <c r="K47" s="200">
        <f t="shared" si="16"/>
        <v>396532.88</v>
      </c>
      <c r="L47" s="36">
        <f t="shared" si="17"/>
        <v>1.0142306785124617</v>
      </c>
      <c r="M47" s="20">
        <f t="shared" si="18"/>
        <v>30.578597674418607</v>
      </c>
      <c r="N47" s="37">
        <f t="shared" si="19"/>
        <v>0.23632891007356527</v>
      </c>
      <c r="O47" s="20">
        <v>2605.292307692308</v>
      </c>
      <c r="P47" s="190">
        <f t="shared" si="20"/>
        <v>59.564909297052154</v>
      </c>
      <c r="Q47" s="15">
        <f t="shared" si="21"/>
        <v>14.115727969318446</v>
      </c>
    </row>
    <row r="48" spans="2:17" ht="14.25" customHeight="1" x14ac:dyDescent="0.2">
      <c r="B48" s="13" t="s">
        <v>59</v>
      </c>
      <c r="C48" s="213">
        <v>20267</v>
      </c>
      <c r="D48" s="199">
        <v>232</v>
      </c>
      <c r="E48" s="200">
        <f t="shared" si="14"/>
        <v>20035</v>
      </c>
      <c r="F48" s="201">
        <v>7960</v>
      </c>
      <c r="G48" s="191">
        <v>4420</v>
      </c>
      <c r="H48" s="202">
        <f t="shared" si="15"/>
        <v>12380</v>
      </c>
      <c r="I48" s="201">
        <v>299619.7</v>
      </c>
      <c r="J48" s="191">
        <v>15241.37</v>
      </c>
      <c r="K48" s="200">
        <f t="shared" si="16"/>
        <v>314861.07</v>
      </c>
      <c r="L48" s="36">
        <f t="shared" si="17"/>
        <v>0.39730471674569501</v>
      </c>
      <c r="M48" s="20">
        <f t="shared" si="18"/>
        <v>37.640665829145732</v>
      </c>
      <c r="N48" s="37">
        <f t="shared" si="19"/>
        <v>0.29090861603791435</v>
      </c>
      <c r="O48" s="20">
        <v>2481.2307692307691</v>
      </c>
      <c r="P48" s="190">
        <f t="shared" si="20"/>
        <v>98.017485119047635</v>
      </c>
      <c r="Q48" s="15">
        <f t="shared" si="21"/>
        <v>11.768804324274344</v>
      </c>
    </row>
    <row r="49" spans="1:17" ht="14.25" customHeight="1" x14ac:dyDescent="0.2">
      <c r="B49" s="13" t="s">
        <v>57</v>
      </c>
      <c r="C49" s="213">
        <v>17868</v>
      </c>
      <c r="D49" s="199">
        <v>472</v>
      </c>
      <c r="E49" s="200">
        <f t="shared" si="14"/>
        <v>17396</v>
      </c>
      <c r="F49" s="201">
        <v>9000</v>
      </c>
      <c r="G49" s="191">
        <v>360</v>
      </c>
      <c r="H49" s="202">
        <f t="shared" si="15"/>
        <v>9360</v>
      </c>
      <c r="I49" s="201">
        <v>296144.5</v>
      </c>
      <c r="J49" s="191">
        <v>1241.3800000000001</v>
      </c>
      <c r="K49" s="200">
        <f t="shared" si="16"/>
        <v>297385.88</v>
      </c>
      <c r="L49" s="36">
        <f t="shared" si="17"/>
        <v>0.51736031271556682</v>
      </c>
      <c r="M49" s="20">
        <f t="shared" si="18"/>
        <v>32.904944444444446</v>
      </c>
      <c r="N49" s="37">
        <f t="shared" si="19"/>
        <v>0.25430824982181349</v>
      </c>
      <c r="O49" s="20">
        <v>2481.2307692307691</v>
      </c>
      <c r="P49" s="190">
        <f t="shared" si="20"/>
        <v>86.415178571428584</v>
      </c>
      <c r="Q49" s="15">
        <f t="shared" si="21"/>
        <v>11.115620710182212</v>
      </c>
    </row>
    <row r="50" spans="1:17" ht="14.25" customHeight="1" x14ac:dyDescent="0.2">
      <c r="B50" s="13" t="s">
        <v>63</v>
      </c>
      <c r="C50" s="213">
        <v>17803</v>
      </c>
      <c r="D50" s="199">
        <v>156</v>
      </c>
      <c r="E50" s="200">
        <f t="shared" si="14"/>
        <v>17647</v>
      </c>
      <c r="F50" s="201">
        <v>4940</v>
      </c>
      <c r="G50" s="191">
        <v>10620</v>
      </c>
      <c r="H50" s="202">
        <f t="shared" si="15"/>
        <v>15560</v>
      </c>
      <c r="I50" s="201">
        <v>224165.62</v>
      </c>
      <c r="J50" s="191">
        <v>36620.69</v>
      </c>
      <c r="K50" s="200">
        <f t="shared" si="16"/>
        <v>260786.31</v>
      </c>
      <c r="L50" s="36">
        <f t="shared" si="17"/>
        <v>0.27993426644755481</v>
      </c>
      <c r="M50" s="20">
        <f t="shared" si="18"/>
        <v>45.377655870445345</v>
      </c>
      <c r="N50" s="37">
        <f t="shared" si="19"/>
        <v>0.35070450475651405</v>
      </c>
      <c r="O50" s="20">
        <v>2481.2307692307691</v>
      </c>
      <c r="P50" s="190">
        <f t="shared" si="20"/>
        <v>86.100818452380963</v>
      </c>
      <c r="Q50" s="15">
        <f t="shared" si="21"/>
        <v>9.7476104392313392</v>
      </c>
    </row>
    <row r="51" spans="1:17" ht="14.25" customHeight="1" x14ac:dyDescent="0.2">
      <c r="B51" s="13" t="s">
        <v>61</v>
      </c>
      <c r="C51" s="213">
        <v>18335</v>
      </c>
      <c r="D51" s="199">
        <v>201</v>
      </c>
      <c r="E51" s="200">
        <f t="shared" si="14"/>
        <v>18134</v>
      </c>
      <c r="F51" s="201">
        <v>5930</v>
      </c>
      <c r="G51" s="203">
        <v>0</v>
      </c>
      <c r="H51" s="202">
        <f t="shared" si="15"/>
        <v>5930</v>
      </c>
      <c r="I51" s="201">
        <v>204432.55000000002</v>
      </c>
      <c r="J51" s="203">
        <v>0</v>
      </c>
      <c r="K51" s="200">
        <f t="shared" si="16"/>
        <v>204432.55000000002</v>
      </c>
      <c r="L51" s="36">
        <f t="shared" si="17"/>
        <v>0.32701003639572074</v>
      </c>
      <c r="M51" s="20">
        <f t="shared" si="18"/>
        <v>34.474291736930866</v>
      </c>
      <c r="N51" s="37">
        <f t="shared" si="19"/>
        <v>0.26643706420071772</v>
      </c>
      <c r="O51" s="20">
        <v>2481.2307692307695</v>
      </c>
      <c r="P51" s="190">
        <f t="shared" si="20"/>
        <v>88.673735119047606</v>
      </c>
      <c r="Q51" s="15">
        <f t="shared" si="21"/>
        <v>7.6412326187623982</v>
      </c>
    </row>
    <row r="52" spans="1:17" ht="14.25" customHeight="1" x14ac:dyDescent="0.2">
      <c r="B52" s="13" t="s">
        <v>47</v>
      </c>
      <c r="C52" s="213">
        <v>25543</v>
      </c>
      <c r="D52" s="199">
        <v>490</v>
      </c>
      <c r="E52" s="200">
        <f t="shared" si="14"/>
        <v>25053</v>
      </c>
      <c r="F52" s="201">
        <v>10780</v>
      </c>
      <c r="G52" s="191">
        <v>600</v>
      </c>
      <c r="H52" s="202">
        <f t="shared" si="15"/>
        <v>11380</v>
      </c>
      <c r="I52" s="201">
        <v>348793.17</v>
      </c>
      <c r="J52" s="191">
        <v>2068.96</v>
      </c>
      <c r="K52" s="200">
        <f t="shared" si="16"/>
        <v>350862.13</v>
      </c>
      <c r="L52" s="36">
        <f t="shared" si="17"/>
        <v>0.43028778988544286</v>
      </c>
      <c r="M52" s="20">
        <f t="shared" si="18"/>
        <v>32.355581632653063</v>
      </c>
      <c r="N52" s="37">
        <f t="shared" si="19"/>
        <v>0.25006245948414146</v>
      </c>
      <c r="O52" s="20">
        <v>4993.4769230769225</v>
      </c>
      <c r="P52" s="190">
        <f t="shared" si="20"/>
        <v>61.383281573498977</v>
      </c>
      <c r="Q52" s="15">
        <f t="shared" si="21"/>
        <v>6.5164937275696264</v>
      </c>
    </row>
    <row r="53" spans="1:17" ht="14.25" customHeight="1" x14ac:dyDescent="0.2">
      <c r="B53" s="13" t="s">
        <v>64</v>
      </c>
      <c r="C53" s="213">
        <v>23429</v>
      </c>
      <c r="D53" s="199">
        <v>618</v>
      </c>
      <c r="E53" s="200">
        <f t="shared" si="14"/>
        <v>22811</v>
      </c>
      <c r="F53" s="201">
        <f>9690+1080</f>
        <v>10770</v>
      </c>
      <c r="G53" s="191">
        <v>1040</v>
      </c>
      <c r="H53" s="202">
        <f t="shared" si="15"/>
        <v>11810</v>
      </c>
      <c r="I53" s="201">
        <v>331993.67</v>
      </c>
      <c r="J53" s="191">
        <v>3586.2</v>
      </c>
      <c r="K53" s="200">
        <f t="shared" si="16"/>
        <v>335579.87</v>
      </c>
      <c r="L53" s="36">
        <f t="shared" si="17"/>
        <v>0.47214063390469513</v>
      </c>
      <c r="M53" s="20">
        <f t="shared" si="18"/>
        <v>30.825781801299904</v>
      </c>
      <c r="N53" s="37">
        <f t="shared" si="19"/>
        <v>0.23823929052708792</v>
      </c>
      <c r="O53" s="20">
        <v>5009.7230769230764</v>
      </c>
      <c r="P53" s="190">
        <f t="shared" si="20"/>
        <v>56.120467275943398</v>
      </c>
      <c r="Q53" s="15">
        <f t="shared" si="21"/>
        <v>6.2124472573911778</v>
      </c>
    </row>
    <row r="54" spans="1:17" ht="17.25" customHeight="1" thickBot="1" x14ac:dyDescent="0.25">
      <c r="B54" s="21" t="s">
        <v>35</v>
      </c>
      <c r="C54" s="39">
        <f t="shared" ref="C54:K54" si="22">SUM(C25:C53)</f>
        <v>813240</v>
      </c>
      <c r="D54" s="39">
        <f t="shared" si="22"/>
        <v>11679</v>
      </c>
      <c r="E54" s="39">
        <f t="shared" si="22"/>
        <v>801561</v>
      </c>
      <c r="F54" s="39">
        <f t="shared" si="22"/>
        <v>694260</v>
      </c>
      <c r="G54" s="39">
        <f t="shared" si="22"/>
        <v>39920</v>
      </c>
      <c r="H54" s="39">
        <f t="shared" si="22"/>
        <v>734180</v>
      </c>
      <c r="I54" s="39">
        <f t="shared" si="22"/>
        <v>25914062.129999999</v>
      </c>
      <c r="J54" s="39">
        <f t="shared" si="22"/>
        <v>137655.07</v>
      </c>
      <c r="K54" s="39">
        <f t="shared" si="22"/>
        <v>26051717.199999996</v>
      </c>
      <c r="L54" s="22">
        <f t="shared" ref="L54" si="23">F54/E54</f>
        <v>0.86613495417067443</v>
      </c>
      <c r="M54" s="39">
        <f t="shared" ref="M54" si="24">I54/F54</f>
        <v>37.326163296171458</v>
      </c>
      <c r="N54" s="212">
        <f t="shared" ref="N54" si="25">M54/129.39</f>
        <v>0.28847796040011953</v>
      </c>
      <c r="O54" s="39">
        <f>SUM(O25:O53)</f>
        <v>106988.30769230764</v>
      </c>
      <c r="P54" s="40">
        <f>(C54/O54)*12</f>
        <v>91.214453340695798</v>
      </c>
      <c r="Q54" s="41">
        <f t="shared" ref="Q54" si="26">(K54*12/O54)/129.39</f>
        <v>22.582944658897048</v>
      </c>
    </row>
    <row r="55" spans="1:17" ht="17.25" customHeight="1" thickTop="1" thickBot="1" x14ac:dyDescent="0.25">
      <c r="B55" s="26" t="s">
        <v>36</v>
      </c>
      <c r="C55" s="42"/>
      <c r="D55" s="28">
        <f>D54/C54</f>
        <v>1.436107422163199E-2</v>
      </c>
      <c r="E55" s="28">
        <f>E54/C54</f>
        <v>0.98563892577836798</v>
      </c>
      <c r="F55" s="30"/>
      <c r="G55" s="30"/>
      <c r="H55" s="30"/>
      <c r="I55" s="30"/>
      <c r="J55" s="30"/>
      <c r="K55" s="30"/>
      <c r="L55" s="32"/>
      <c r="M55" s="30"/>
      <c r="N55" s="43"/>
      <c r="O55" s="34"/>
      <c r="P55" s="34"/>
      <c r="Q55" s="34"/>
    </row>
    <row r="56" spans="1:17" ht="18.75" customHeight="1" thickTop="1" x14ac:dyDescent="0.2">
      <c r="M56" s="45"/>
      <c r="N56" s="46"/>
      <c r="O56" s="47"/>
    </row>
    <row r="57" spans="1:17" s="48" customFormat="1" ht="15" customHeight="1" thickBot="1" x14ac:dyDescent="0.25">
      <c r="B57" s="49" t="s">
        <v>68</v>
      </c>
      <c r="C57" s="50">
        <f t="shared" ref="C57:K57" si="27">C22+C54</f>
        <v>2244188</v>
      </c>
      <c r="D57" s="51">
        <f t="shared" si="27"/>
        <v>35689</v>
      </c>
      <c r="E57" s="51">
        <f t="shared" si="27"/>
        <v>2208499</v>
      </c>
      <c r="F57" s="52">
        <f t="shared" si="27"/>
        <v>1836640</v>
      </c>
      <c r="G57" s="52">
        <f t="shared" si="27"/>
        <v>172680</v>
      </c>
      <c r="H57" s="52">
        <f t="shared" si="27"/>
        <v>2009320</v>
      </c>
      <c r="I57" s="52">
        <f t="shared" si="27"/>
        <v>46547777.480000004</v>
      </c>
      <c r="J57" s="52">
        <f t="shared" si="27"/>
        <v>536988.27999999991</v>
      </c>
      <c r="K57" s="52">
        <f t="shared" si="27"/>
        <v>47084765.75999999</v>
      </c>
      <c r="L57" s="22">
        <f>F57/(E57)</f>
        <v>0.83162365027106644</v>
      </c>
      <c r="M57" s="53">
        <f>I57/F57</f>
        <v>25.3439854734733</v>
      </c>
      <c r="N57" s="212">
        <f>M57/129.39</f>
        <v>0.19587282999824795</v>
      </c>
      <c r="O57" s="52">
        <f>O54+O22</f>
        <v>193940.67692307686</v>
      </c>
      <c r="P57" s="25">
        <f>(C57/O57)*12</f>
        <v>138.85821389950809</v>
      </c>
      <c r="Q57" s="41">
        <f>(K57*12/O57)/129.39</f>
        <v>22.516041490572736</v>
      </c>
    </row>
    <row r="58" spans="1:17" ht="16.5" customHeight="1" thickTop="1" thickBot="1" x14ac:dyDescent="0.25">
      <c r="B58" s="26" t="s">
        <v>36</v>
      </c>
      <c r="C58" s="54"/>
      <c r="D58" s="55">
        <f>D57/C57</f>
        <v>1.5902856623420142E-2</v>
      </c>
      <c r="E58" s="55">
        <f>E57/C57</f>
        <v>0.98409714337657983</v>
      </c>
      <c r="G58" s="56"/>
      <c r="N58" s="46"/>
    </row>
    <row r="59" spans="1:17" ht="16.5" customHeight="1" thickTop="1" x14ac:dyDescent="0.2">
      <c r="G59" s="57"/>
      <c r="H59" s="45"/>
      <c r="O59" s="211"/>
    </row>
    <row r="60" spans="1:17" s="16" customFormat="1" ht="15" customHeight="1" x14ac:dyDescent="0.25">
      <c r="B60" s="48" t="s">
        <v>69</v>
      </c>
      <c r="C60" s="47"/>
      <c r="F60" s="47"/>
      <c r="G60" s="58"/>
      <c r="I60" s="59"/>
      <c r="J60" s="59"/>
      <c r="K60" s="59"/>
      <c r="L60" s="38"/>
      <c r="M60" s="60"/>
      <c r="N60"/>
      <c r="O60" s="129"/>
      <c r="P60"/>
      <c r="Q60" s="61"/>
    </row>
    <row r="61" spans="1:17" ht="16.5" customHeight="1" x14ac:dyDescent="0.25">
      <c r="A61" s="16">
        <v>1</v>
      </c>
      <c r="B61" s="16" t="s">
        <v>70</v>
      </c>
      <c r="E61" s="16"/>
      <c r="N61"/>
      <c r="O61"/>
      <c r="P61"/>
      <c r="Q61" s="62"/>
    </row>
    <row r="62" spans="1:17" ht="16.5" customHeight="1" x14ac:dyDescent="0.25">
      <c r="A62" s="16">
        <v>2</v>
      </c>
      <c r="B62" s="16" t="s">
        <v>115</v>
      </c>
      <c r="C62" s="47"/>
      <c r="E62" s="16"/>
      <c r="N62"/>
      <c r="O62"/>
      <c r="P62"/>
    </row>
    <row r="63" spans="1:17" ht="16.5" customHeight="1" x14ac:dyDescent="0.2">
      <c r="A63" s="16">
        <v>3</v>
      </c>
      <c r="B63" s="16" t="s">
        <v>104</v>
      </c>
      <c r="C63" s="47"/>
      <c r="E63" s="16"/>
    </row>
    <row r="64" spans="1:17" ht="16.5" customHeight="1" x14ac:dyDescent="0.2">
      <c r="A64" s="16">
        <v>4</v>
      </c>
      <c r="B64" s="16" t="s">
        <v>116</v>
      </c>
      <c r="C64" s="47"/>
      <c r="E64" s="16"/>
    </row>
    <row r="65" spans="1:5" ht="16.5" customHeight="1" x14ac:dyDescent="0.2">
      <c r="A65" s="16">
        <v>5</v>
      </c>
      <c r="B65" s="16" t="s">
        <v>117</v>
      </c>
      <c r="C65" s="47"/>
      <c r="E65" s="16"/>
    </row>
    <row r="66" spans="1:5" ht="16.5" customHeight="1" x14ac:dyDescent="0.2">
      <c r="A66" s="16">
        <v>6</v>
      </c>
      <c r="B66" s="16" t="s">
        <v>105</v>
      </c>
      <c r="C66" s="47"/>
      <c r="E66" s="16"/>
    </row>
    <row r="67" spans="1:5" ht="16.5" customHeight="1" x14ac:dyDescent="0.2">
      <c r="A67" s="1">
        <v>7</v>
      </c>
      <c r="B67" s="16" t="s">
        <v>102</v>
      </c>
    </row>
    <row r="68" spans="1:5" ht="16.5" customHeight="1" x14ac:dyDescent="0.2"/>
    <row r="69" spans="1:5" ht="16.5" customHeight="1" x14ac:dyDescent="0.2">
      <c r="B69" s="216" t="s">
        <v>108</v>
      </c>
      <c r="C69" s="217" t="s">
        <v>93</v>
      </c>
    </row>
    <row r="70" spans="1:5" ht="16.5" customHeight="1" x14ac:dyDescent="0.2">
      <c r="B70" s="10" t="s">
        <v>103</v>
      </c>
      <c r="C70" s="14">
        <f>O22</f>
        <v>86952.369230769225</v>
      </c>
    </row>
    <row r="71" spans="1:5" ht="16.5" customHeight="1" x14ac:dyDescent="0.2">
      <c r="B71" s="10" t="s">
        <v>106</v>
      </c>
      <c r="C71" s="14">
        <f>O54</f>
        <v>106988.30769230764</v>
      </c>
    </row>
    <row r="72" spans="1:5" ht="16.5" customHeight="1" x14ac:dyDescent="0.2">
      <c r="B72" s="188" t="s">
        <v>67</v>
      </c>
      <c r="C72" s="213">
        <v>1612.8</v>
      </c>
    </row>
    <row r="73" spans="1:5" ht="16.5" customHeight="1" x14ac:dyDescent="0.2">
      <c r="B73" s="188" t="s">
        <v>107</v>
      </c>
      <c r="C73" s="214">
        <v>2171.0769230769229</v>
      </c>
    </row>
    <row r="74" spans="1:5" ht="16.5" customHeight="1" thickBot="1" x14ac:dyDescent="0.25">
      <c r="B74" s="189" t="s">
        <v>101</v>
      </c>
      <c r="C74" s="215">
        <f>SUM(C70:C73)</f>
        <v>197724.55384615378</v>
      </c>
    </row>
    <row r="75" spans="1:5" ht="16.5" customHeight="1" thickTop="1" x14ac:dyDescent="0.2"/>
    <row r="76" spans="1:5" ht="16.5" customHeight="1" x14ac:dyDescent="0.2"/>
    <row r="77" spans="1:5" ht="16.5" customHeight="1" x14ac:dyDescent="0.2"/>
    <row r="78" spans="1:5" ht="16.5" customHeight="1" x14ac:dyDescent="0.2"/>
    <row r="79" spans="1:5" ht="16.5" customHeight="1" x14ac:dyDescent="0.2"/>
    <row r="80" spans="1:5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</sheetData>
  <mergeCells count="5">
    <mergeCell ref="B1:Q1"/>
    <mergeCell ref="B2:Q2"/>
    <mergeCell ref="B3:Q3"/>
    <mergeCell ref="B5:Q5"/>
    <mergeCell ref="B24:Q24"/>
  </mergeCells>
  <conditionalFormatting sqref="P6:P21">
    <cfRule type="cellIs" dxfId="67" priority="2" operator="between">
      <formula>0</formula>
      <formula>140</formula>
    </cfRule>
  </conditionalFormatting>
  <conditionalFormatting sqref="P25:P53">
    <cfRule type="cellIs" dxfId="66" priority="1" operator="between">
      <formula>0</formula>
      <formula>80</formula>
    </cfRule>
  </conditionalFormatting>
  <conditionalFormatting sqref="P54">
    <cfRule type="cellIs" dxfId="65" priority="7" operator="between">
      <formula>0</formula>
      <formula>79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A1:S109"/>
  <sheetViews>
    <sheetView workbookViewId="0">
      <pane ySplit="4" topLeftCell="A41" activePane="bottomLeft" state="frozen"/>
      <selection pane="bottomLeft" activeCell="S52" sqref="S52"/>
    </sheetView>
  </sheetViews>
  <sheetFormatPr defaultColWidth="9.140625" defaultRowHeight="12" x14ac:dyDescent="0.2"/>
  <cols>
    <col min="1" max="1" width="2" style="1" customWidth="1"/>
    <col min="2" max="2" width="31.42578125" style="1" customWidth="1"/>
    <col min="3" max="3" width="10.5703125" style="44" customWidth="1"/>
    <col min="4" max="4" width="8.7109375" style="1" customWidth="1"/>
    <col min="5" max="5" width="10.140625" style="1" customWidth="1"/>
    <col min="6" max="6" width="10" style="44" customWidth="1"/>
    <col min="7" max="7" width="9.28515625" style="1" customWidth="1"/>
    <col min="8" max="8" width="9.85546875" style="1" customWidth="1"/>
    <col min="9" max="9" width="11.7109375" style="45" customWidth="1"/>
    <col min="10" max="10" width="10" style="45" customWidth="1"/>
    <col min="11" max="11" width="11.140625" style="45" customWidth="1"/>
    <col min="12" max="12" width="7.7109375" style="1" customWidth="1"/>
    <col min="13" max="13" width="8.85546875" style="1" customWidth="1"/>
    <col min="14" max="14" width="9.7109375" style="1" customWidth="1"/>
    <col min="15" max="15" width="9.5703125" style="1" customWidth="1"/>
    <col min="16" max="16" width="9.7109375" style="47" customWidth="1"/>
    <col min="17" max="17" width="9.85546875" style="16" customWidth="1"/>
    <col min="18" max="16384" width="9.140625" style="1"/>
  </cols>
  <sheetData>
    <row r="1" spans="2:19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9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9" ht="15" x14ac:dyDescent="0.25">
      <c r="B3" s="622">
        <v>45658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9" ht="35.2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7" t="s">
        <v>15</v>
      </c>
      <c r="P4" s="8" t="s">
        <v>16</v>
      </c>
      <c r="Q4" s="9" t="s">
        <v>17</v>
      </c>
    </row>
    <row r="5" spans="2:19" ht="16.5" customHeight="1" thickBot="1" x14ac:dyDescent="0.3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9" s="16" customFormat="1" ht="15" customHeight="1" x14ac:dyDescent="0.2">
      <c r="B6" s="240" t="s">
        <v>27</v>
      </c>
      <c r="C6" s="229">
        <f>'Jan 2025-Prodn &amp; Sales Analysis'!C8</f>
        <v>198812</v>
      </c>
      <c r="D6" s="229">
        <f>'Jan 2025-Prodn &amp; Sales Analysis'!D8</f>
        <v>1895</v>
      </c>
      <c r="E6" s="229">
        <f>'Jan 2025-Prodn &amp; Sales Analysis'!E8</f>
        <v>196917</v>
      </c>
      <c r="F6" s="229">
        <f>'Jan 2025-Prodn &amp; Sales Analysis'!F8</f>
        <v>164114</v>
      </c>
      <c r="G6" s="229">
        <f>'Jan 2025-Prodn &amp; Sales Analysis'!G8</f>
        <v>5560</v>
      </c>
      <c r="H6" s="229">
        <f>'Jan 2025-Prodn &amp; Sales Analysis'!H8</f>
        <v>169674</v>
      </c>
      <c r="I6" s="229">
        <f>'Jan 2025-Prodn &amp; Sales Analysis'!I8</f>
        <v>2816064.4099999997</v>
      </c>
      <c r="J6" s="229">
        <f>'Jan 2025-Prodn &amp; Sales Analysis'!J8</f>
        <v>16775.87</v>
      </c>
      <c r="K6" s="229">
        <f>'Jan 2025-Prodn &amp; Sales Analysis'!K8</f>
        <v>2832840.28</v>
      </c>
      <c r="L6" s="626">
        <f>(F6+F7)/(E6+E7)</f>
        <v>0.89984659974306325</v>
      </c>
      <c r="M6" s="230">
        <f t="shared" ref="M6:M12" si="0">I6/F6</f>
        <v>17.159196716916288</v>
      </c>
      <c r="N6" s="231">
        <f t="shared" ref="N6:N22" si="1">M6/129.39</f>
        <v>0.13261609642875252</v>
      </c>
      <c r="O6" s="232">
        <f>'Jan 2025-Prodn &amp; Sales Analysis'!O8</f>
        <v>8684.3076923076933</v>
      </c>
      <c r="P6" s="233">
        <f t="shared" ref="P6:P12" si="2">C6/O6*12</f>
        <v>274.71896258503398</v>
      </c>
      <c r="Q6" s="628">
        <f>(K6+K7)*12/(O6+O7)/129.39</f>
        <v>29.193329295374024</v>
      </c>
    </row>
    <row r="7" spans="2:19" s="16" customFormat="1" ht="15" customHeight="1" thickBot="1" x14ac:dyDescent="0.25">
      <c r="B7" s="241" t="s">
        <v>34</v>
      </c>
      <c r="C7" s="242">
        <f>'Jan 2025-Prodn &amp; Sales Analysis'!C9</f>
        <v>92708</v>
      </c>
      <c r="D7" s="242">
        <f>'Jan 2025-Prodn &amp; Sales Analysis'!D9</f>
        <v>838</v>
      </c>
      <c r="E7" s="242">
        <f>'Jan 2025-Prodn &amp; Sales Analysis'!E9</f>
        <v>91870</v>
      </c>
      <c r="F7" s="242">
        <f>'Jan 2025-Prodn &amp; Sales Analysis'!F9</f>
        <v>95750</v>
      </c>
      <c r="G7" s="242">
        <f>'Jan 2025-Prodn &amp; Sales Analysis'!G9</f>
        <v>8120</v>
      </c>
      <c r="H7" s="242">
        <f>'Jan 2025-Prodn &amp; Sales Analysis'!H9</f>
        <v>103870</v>
      </c>
      <c r="I7" s="242">
        <f>'Jan 2025-Prodn &amp; Sales Analysis'!I9</f>
        <v>1555504.9700000002</v>
      </c>
      <c r="J7" s="242">
        <f>'Jan 2025-Prodn &amp; Sales Analysis'!J9</f>
        <v>24500.01</v>
      </c>
      <c r="K7" s="242">
        <f>'Jan 2025-Prodn &amp; Sales Analysis'!K9</f>
        <v>1580004.9800000002</v>
      </c>
      <c r="L7" s="627"/>
      <c r="M7" s="243">
        <f t="shared" si="0"/>
        <v>16.245482715404702</v>
      </c>
      <c r="N7" s="237">
        <f t="shared" si="1"/>
        <v>0.12555439149396941</v>
      </c>
      <c r="O7" s="238">
        <f>'Jan 2025-Prodn &amp; Sales Analysis'!O9</f>
        <v>5334.6461538461526</v>
      </c>
      <c r="P7" s="239">
        <f t="shared" si="2"/>
        <v>208.54166666666669</v>
      </c>
      <c r="Q7" s="629"/>
    </row>
    <row r="8" spans="2:19" s="16" customFormat="1" ht="15" customHeight="1" x14ac:dyDescent="0.2">
      <c r="B8" s="228" t="s">
        <v>29</v>
      </c>
      <c r="C8" s="229">
        <f>'Jan 2025-Prodn &amp; Sales Analysis'!C6</f>
        <v>50302</v>
      </c>
      <c r="D8" s="229">
        <f>'Jan 2025-Prodn &amp; Sales Analysis'!D6</f>
        <v>1068</v>
      </c>
      <c r="E8" s="229">
        <f>'Jan 2025-Prodn &amp; Sales Analysis'!E6</f>
        <v>49234</v>
      </c>
      <c r="F8" s="229">
        <f>'Jan 2025-Prodn &amp; Sales Analysis'!F6</f>
        <v>51236</v>
      </c>
      <c r="G8" s="229">
        <f>'Jan 2025-Prodn &amp; Sales Analysis'!G6</f>
        <v>4200</v>
      </c>
      <c r="H8" s="229">
        <f>'Jan 2025-Prodn &amp; Sales Analysis'!H6</f>
        <v>55436</v>
      </c>
      <c r="I8" s="229">
        <f>'Jan 2025-Prodn &amp; Sales Analysis'!I6</f>
        <v>891715.41</v>
      </c>
      <c r="J8" s="229">
        <f>'Jan 2025-Prodn &amp; Sales Analysis'!J6</f>
        <v>12672.4</v>
      </c>
      <c r="K8" s="229">
        <f>'Jan 2025-Prodn &amp; Sales Analysis'!K6</f>
        <v>904387.81</v>
      </c>
      <c r="L8" s="626">
        <f>(F8+F9)/(E8+E9)</f>
        <v>0.89203495807872668</v>
      </c>
      <c r="M8" s="230">
        <f t="shared" si="0"/>
        <v>17.404079358263722</v>
      </c>
      <c r="N8" s="231">
        <f t="shared" si="1"/>
        <v>0.13450868968439389</v>
      </c>
      <c r="O8" s="232">
        <f>'Jan 2025-Prodn &amp; Sales Analysis'!O6</f>
        <v>2109.0461538461541</v>
      </c>
      <c r="P8" s="233">
        <f t="shared" si="2"/>
        <v>286.20710784313724</v>
      </c>
      <c r="Q8" s="628">
        <f>(K8+K9)*12/(O8+O9)/129.39</f>
        <v>28.032415200977184</v>
      </c>
    </row>
    <row r="9" spans="2:19" s="16" customFormat="1" ht="15" customHeight="1" thickBot="1" x14ac:dyDescent="0.25">
      <c r="B9" s="234" t="s">
        <v>19</v>
      </c>
      <c r="C9" s="235">
        <f>'Jan 2025-Prodn &amp; Sales Analysis'!C13</f>
        <v>65175</v>
      </c>
      <c r="D9" s="235">
        <f>'Jan 2025-Prodn &amp; Sales Analysis'!D13</f>
        <v>1817</v>
      </c>
      <c r="E9" s="235">
        <f>'Jan 2025-Prodn &amp; Sales Analysis'!E13</f>
        <v>63358</v>
      </c>
      <c r="F9" s="235">
        <f>'Jan 2025-Prodn &amp; Sales Analysis'!F13</f>
        <v>49200</v>
      </c>
      <c r="G9" s="235">
        <f>'Jan 2025-Prodn &amp; Sales Analysis'!G13</f>
        <v>9460</v>
      </c>
      <c r="H9" s="235">
        <f>'Jan 2025-Prodn &amp; Sales Analysis'!H13</f>
        <v>58660</v>
      </c>
      <c r="I9" s="235">
        <f>'Jan 2025-Prodn &amp; Sales Analysis'!I13</f>
        <v>717015.42999999993</v>
      </c>
      <c r="J9" s="235">
        <f>'Jan 2025-Prodn &amp; Sales Analysis'!J13</f>
        <v>28543.11</v>
      </c>
      <c r="K9" s="235">
        <f>'Jan 2025-Prodn &amp; Sales Analysis'!K13</f>
        <v>745558.53999999992</v>
      </c>
      <c r="L9" s="627"/>
      <c r="M9" s="236">
        <f t="shared" si="0"/>
        <v>14.573484349593494</v>
      </c>
      <c r="N9" s="237">
        <f t="shared" si="1"/>
        <v>0.11263223084931985</v>
      </c>
      <c r="O9" s="238">
        <f>'Jan 2025-Prodn &amp; Sales Analysis'!O13</f>
        <v>3349.6615384615388</v>
      </c>
      <c r="P9" s="239">
        <f t="shared" si="2"/>
        <v>233.48627645502643</v>
      </c>
      <c r="Q9" s="629"/>
    </row>
    <row r="10" spans="2:19" s="16" customFormat="1" ht="15" customHeight="1" x14ac:dyDescent="0.2">
      <c r="B10" s="254" t="s">
        <v>28</v>
      </c>
      <c r="C10" s="229">
        <f>'Jan 2025-Prodn &amp; Sales Analysis'!C11</f>
        <v>137901</v>
      </c>
      <c r="D10" s="229">
        <f>'Jan 2025-Prodn &amp; Sales Analysis'!D11</f>
        <v>1066</v>
      </c>
      <c r="E10" s="229">
        <f>'Jan 2025-Prodn &amp; Sales Analysis'!E11</f>
        <v>136835</v>
      </c>
      <c r="F10" s="229">
        <f>'Jan 2025-Prodn &amp; Sales Analysis'!F11</f>
        <v>117074</v>
      </c>
      <c r="G10" s="229">
        <f>'Jan 2025-Prodn &amp; Sales Analysis'!G11</f>
        <v>1620</v>
      </c>
      <c r="H10" s="229">
        <f>'Jan 2025-Prodn &amp; Sales Analysis'!H11</f>
        <v>118694</v>
      </c>
      <c r="I10" s="229">
        <f>'Jan 2025-Prodn &amp; Sales Analysis'!I11</f>
        <v>2593477.8400000003</v>
      </c>
      <c r="J10" s="229">
        <f>'Jan 2025-Prodn &amp; Sales Analysis'!J11</f>
        <v>4887.9399999999996</v>
      </c>
      <c r="K10" s="229">
        <f>'Jan 2025-Prodn &amp; Sales Analysis'!K11</f>
        <v>2598365.7800000003</v>
      </c>
      <c r="L10" s="626">
        <f>(F10+F11)/(C10+C11)</f>
        <v>0.76402118669795382</v>
      </c>
      <c r="M10" s="230">
        <f t="shared" si="0"/>
        <v>22.152466303363688</v>
      </c>
      <c r="N10" s="255">
        <f t="shared" si="1"/>
        <v>0.17120694260270261</v>
      </c>
      <c r="O10" s="232">
        <f>'Jan 2025-Prodn &amp; Sales Analysis'!O11</f>
        <v>10048.984615384614</v>
      </c>
      <c r="P10" s="233">
        <f t="shared" si="2"/>
        <v>164.67454805996476</v>
      </c>
      <c r="Q10" s="628">
        <f>(K10+K11)*12/(O10+O11)/129.39</f>
        <v>26.903329599498488</v>
      </c>
    </row>
    <row r="11" spans="2:19" s="16" customFormat="1" ht="15" customHeight="1" thickBot="1" x14ac:dyDescent="0.25">
      <c r="B11" s="341" t="s">
        <v>30</v>
      </c>
      <c r="C11" s="242">
        <f>'Jan 2025-Prodn &amp; Sales Analysis'!C7</f>
        <v>142086</v>
      </c>
      <c r="D11" s="242">
        <f>'Jan 2025-Prodn &amp; Sales Analysis'!D7</f>
        <v>510</v>
      </c>
      <c r="E11" s="242">
        <f>'Jan 2025-Prodn &amp; Sales Analysis'!E7</f>
        <v>141576</v>
      </c>
      <c r="F11" s="242">
        <f>'Jan 2025-Prodn &amp; Sales Analysis'!F7</f>
        <v>96842</v>
      </c>
      <c r="G11" s="242">
        <f>'Jan 2025-Prodn &amp; Sales Analysis'!G7</f>
        <v>40</v>
      </c>
      <c r="H11" s="242">
        <f>'Jan 2025-Prodn &amp; Sales Analysis'!H7</f>
        <v>96882</v>
      </c>
      <c r="I11" s="242">
        <f>'Jan 2025-Prodn &amp; Sales Analysis'!I7</f>
        <v>2745792.44</v>
      </c>
      <c r="J11" s="242">
        <f>'Jan 2025-Prodn &amp; Sales Analysis'!J7</f>
        <v>120.69</v>
      </c>
      <c r="K11" s="242">
        <f>'Jan 2025-Prodn &amp; Sales Analysis'!K7</f>
        <v>2745913.13</v>
      </c>
      <c r="L11" s="627"/>
      <c r="M11" s="243">
        <f t="shared" si="0"/>
        <v>28.353322318828607</v>
      </c>
      <c r="N11" s="237">
        <f t="shared" si="1"/>
        <v>0.21913070808276228</v>
      </c>
      <c r="O11" s="257">
        <f>'Jan 2025-Prodn &amp; Sales Analysis'!O7</f>
        <v>8374.1538461538439</v>
      </c>
      <c r="P11" s="239">
        <f t="shared" si="2"/>
        <v>203.60648148148155</v>
      </c>
      <c r="Q11" s="629"/>
      <c r="S11" s="58"/>
    </row>
    <row r="12" spans="2:19" s="16" customFormat="1" ht="15" customHeight="1" x14ac:dyDescent="0.2">
      <c r="B12" s="17" t="s">
        <v>20</v>
      </c>
      <c r="C12" s="244">
        <f>'Jan 2025-Prodn &amp; Sales Analysis'!C10</f>
        <v>228840</v>
      </c>
      <c r="D12" s="244">
        <f>'Jan 2025-Prodn &amp; Sales Analysis'!D10</f>
        <v>1826</v>
      </c>
      <c r="E12" s="244">
        <f>'Jan 2025-Prodn &amp; Sales Analysis'!E10</f>
        <v>227014</v>
      </c>
      <c r="F12" s="244">
        <f>'Jan 2025-Prodn &amp; Sales Analysis'!F10</f>
        <v>178402</v>
      </c>
      <c r="G12" s="244">
        <f>'Jan 2025-Prodn &amp; Sales Analysis'!G10</f>
        <v>31740</v>
      </c>
      <c r="H12" s="244">
        <f>'Jan 2025-Prodn &amp; Sales Analysis'!H10</f>
        <v>210142</v>
      </c>
      <c r="I12" s="244">
        <f>'Jan 2025-Prodn &amp; Sales Analysis'!I10</f>
        <v>2696254.4200000004</v>
      </c>
      <c r="J12" s="244">
        <f>'Jan 2025-Prodn &amp; Sales Analysis'!J10</f>
        <v>94463.81</v>
      </c>
      <c r="K12" s="244">
        <f>'Jan 2025-Prodn &amp; Sales Analysis'!K10</f>
        <v>2790718.2300000004</v>
      </c>
      <c r="L12" s="245">
        <f>F12/E12</f>
        <v>0.78586342692521161</v>
      </c>
      <c r="M12" s="18">
        <f t="shared" si="0"/>
        <v>15.113364312059284</v>
      </c>
      <c r="N12" s="227">
        <f t="shared" si="1"/>
        <v>0.11680473229816281</v>
      </c>
      <c r="O12" s="19">
        <f>'Jan 2025-Prodn &amp; Sales Analysis'!O10</f>
        <v>10545.230769230768</v>
      </c>
      <c r="P12" s="19">
        <f t="shared" si="2"/>
        <v>260.40966386554624</v>
      </c>
      <c r="Q12" s="218">
        <f>(K12*12/O12)/129.39</f>
        <v>24.543722633384455</v>
      </c>
    </row>
    <row r="13" spans="2:19" s="16" customFormat="1" ht="15" customHeight="1" x14ac:dyDescent="0.2">
      <c r="B13" s="10" t="s">
        <v>32</v>
      </c>
      <c r="C13" s="20">
        <f>'Jan 2025-Prodn &amp; Sales Analysis'!C12</f>
        <v>76159</v>
      </c>
      <c r="D13" s="20">
        <f>'Jan 2025-Prodn &amp; Sales Analysis'!D12</f>
        <v>3499</v>
      </c>
      <c r="E13" s="20">
        <f>'Jan 2025-Prodn &amp; Sales Analysis'!E12</f>
        <v>72660</v>
      </c>
      <c r="F13" s="20">
        <f>'Jan 2025-Prodn &amp; Sales Analysis'!F12</f>
        <v>45430</v>
      </c>
      <c r="G13" s="20">
        <f>'Jan 2025-Prodn &amp; Sales Analysis'!G12</f>
        <v>6840</v>
      </c>
      <c r="H13" s="20">
        <f>'Jan 2025-Prodn &amp; Sales Analysis'!H12</f>
        <v>52270</v>
      </c>
      <c r="I13" s="20">
        <f>'Jan 2025-Prodn &amp; Sales Analysis'!I12</f>
        <v>1185824.9099999999</v>
      </c>
      <c r="J13" s="20">
        <f>'Jan 2025-Prodn &amp; Sales Analysis'!J12</f>
        <v>20637.939999999999</v>
      </c>
      <c r="K13" s="20">
        <f>'Jan 2025-Prodn &amp; Sales Analysis'!K12</f>
        <v>1206462.8499999999</v>
      </c>
      <c r="L13" s="226">
        <f>F13/E13</f>
        <v>0.62524084778420042</v>
      </c>
      <c r="M13" s="12">
        <f t="shared" ref="M13:M16" si="3">I13/F13</f>
        <v>26.102243231344925</v>
      </c>
      <c r="N13" s="227">
        <f t="shared" si="1"/>
        <v>0.20173308007840582</v>
      </c>
      <c r="O13" s="14">
        <f>'Jan 2025-Prodn &amp; Sales Analysis'!O12</f>
        <v>4962.4615384615381</v>
      </c>
      <c r="P13" s="14">
        <f t="shared" ref="P13:P16" si="4">C13/O13*12</f>
        <v>184.16424851190476</v>
      </c>
      <c r="Q13" s="218">
        <f>(K13*12/O13)/129.39</f>
        <v>22.54744482408757</v>
      </c>
    </row>
    <row r="14" spans="2:19" s="16" customFormat="1" ht="15" customHeight="1" thickBot="1" x14ac:dyDescent="0.25">
      <c r="B14" s="249" t="s">
        <v>21</v>
      </c>
      <c r="C14" s="250">
        <f>'Jan 2025-Prodn &amp; Sales Analysis'!C14</f>
        <v>68091</v>
      </c>
      <c r="D14" s="250">
        <f>'Jan 2025-Prodn &amp; Sales Analysis'!D14</f>
        <v>1089</v>
      </c>
      <c r="E14" s="250">
        <f>'Jan 2025-Prodn &amp; Sales Analysis'!E14</f>
        <v>67002</v>
      </c>
      <c r="F14" s="250">
        <f>'Jan 2025-Prodn &amp; Sales Analysis'!F14</f>
        <v>61792</v>
      </c>
      <c r="G14" s="250">
        <f>'Jan 2025-Prodn &amp; Sales Analysis'!G14</f>
        <v>10920</v>
      </c>
      <c r="H14" s="250">
        <f>'Jan 2025-Prodn &amp; Sales Analysis'!H14</f>
        <v>72712</v>
      </c>
      <c r="I14" s="250">
        <f>'Jan 2025-Prodn &amp; Sales Analysis'!I14</f>
        <v>1021626.3</v>
      </c>
      <c r="J14" s="250">
        <f>'Jan 2025-Prodn &amp; Sales Analysis'!J14</f>
        <v>32948.300000000003</v>
      </c>
      <c r="K14" s="250">
        <f>'Jan 2025-Prodn &amp; Sales Analysis'!K14</f>
        <v>1054574.6000000001</v>
      </c>
      <c r="L14" s="251">
        <f>F14/E14</f>
        <v>0.92224112713053341</v>
      </c>
      <c r="M14" s="252">
        <f t="shared" ref="M14" si="5">I14/F14</f>
        <v>16.533310137234594</v>
      </c>
      <c r="N14" s="227">
        <f t="shared" si="1"/>
        <v>0.12777888660046832</v>
      </c>
      <c r="O14" s="253">
        <f>'Jan 2025-Prodn &amp; Sales Analysis'!O14</f>
        <v>4794.0923076923082</v>
      </c>
      <c r="P14" s="253">
        <f>C14/O14*12</f>
        <v>170.43726894639553</v>
      </c>
      <c r="Q14" s="339">
        <f>(K14*12/O14)/129.39</f>
        <v>20.400999640618998</v>
      </c>
    </row>
    <row r="15" spans="2:19" s="16" customFormat="1" ht="15" customHeight="1" x14ac:dyDescent="0.2">
      <c r="B15" s="246" t="s">
        <v>25</v>
      </c>
      <c r="C15" s="229">
        <f>'Jan 2025-Prodn &amp; Sales Analysis'!C15</f>
        <v>65543</v>
      </c>
      <c r="D15" s="229">
        <f>'Jan 2025-Prodn &amp; Sales Analysis'!D15</f>
        <v>1850</v>
      </c>
      <c r="E15" s="229">
        <f>'Jan 2025-Prodn &amp; Sales Analysis'!E15</f>
        <v>63693</v>
      </c>
      <c r="F15" s="229">
        <f>'Jan 2025-Prodn &amp; Sales Analysis'!F15</f>
        <v>60588</v>
      </c>
      <c r="G15" s="229">
        <f>'Jan 2025-Prodn &amp; Sales Analysis'!G15</f>
        <v>2900</v>
      </c>
      <c r="H15" s="229">
        <f>'Jan 2025-Prodn &amp; Sales Analysis'!H15</f>
        <v>63488</v>
      </c>
      <c r="I15" s="229">
        <f>'Jan 2025-Prodn &amp; Sales Analysis'!I15</f>
        <v>1151658.47</v>
      </c>
      <c r="J15" s="229">
        <f>'Jan 2025-Prodn &amp; Sales Analysis'!J15</f>
        <v>8750</v>
      </c>
      <c r="K15" s="229">
        <f>'Jan 2025-Prodn &amp; Sales Analysis'!K15</f>
        <v>1160408.47</v>
      </c>
      <c r="L15" s="626">
        <f>(F15+F16)/(C15+C16)</f>
        <v>1.0229873279366055</v>
      </c>
      <c r="M15" s="230">
        <f t="shared" si="3"/>
        <v>19.00802914768601</v>
      </c>
      <c r="N15" s="231">
        <f t="shared" si="1"/>
        <v>0.14690493197067789</v>
      </c>
      <c r="O15" s="232">
        <f>'Jan 2025-Prodn &amp; Sales Analysis'!O15</f>
        <v>5371.8646153846139</v>
      </c>
      <c r="P15" s="233">
        <f t="shared" si="4"/>
        <v>146.41396541295506</v>
      </c>
      <c r="Q15" s="628">
        <f>(K15+K16)*12/(O15+O16)/129.39</f>
        <v>18.236530493011024</v>
      </c>
    </row>
    <row r="16" spans="2:19" s="16" customFormat="1" ht="15" customHeight="1" thickBot="1" x14ac:dyDescent="0.25">
      <c r="B16" s="340" t="s">
        <v>31</v>
      </c>
      <c r="C16" s="242">
        <f>'Jan 2025-Prodn &amp; Sales Analysis'!C17</f>
        <v>22288</v>
      </c>
      <c r="D16" s="242">
        <f>'Jan 2025-Prodn &amp; Sales Analysis'!D17</f>
        <v>1165</v>
      </c>
      <c r="E16" s="242">
        <f>'Jan 2025-Prodn &amp; Sales Analysis'!E17</f>
        <v>21123</v>
      </c>
      <c r="F16" s="242">
        <f>'Jan 2025-Prodn &amp; Sales Analysis'!F17</f>
        <v>29262</v>
      </c>
      <c r="G16" s="242">
        <f>'Jan 2025-Prodn &amp; Sales Analysis'!G17</f>
        <v>1900</v>
      </c>
      <c r="H16" s="242">
        <f>'Jan 2025-Prodn &amp; Sales Analysis'!H17</f>
        <v>31162</v>
      </c>
      <c r="I16" s="242">
        <f>'Jan 2025-Prodn &amp; Sales Analysis'!I17</f>
        <v>475634.8</v>
      </c>
      <c r="J16" s="242">
        <f>'Jan 2025-Prodn &amp; Sales Analysis'!J17</f>
        <v>5732.76</v>
      </c>
      <c r="K16" s="242">
        <f>'Jan 2025-Prodn &amp; Sales Analysis'!K17</f>
        <v>481367.56</v>
      </c>
      <c r="L16" s="627"/>
      <c r="M16" s="236">
        <f t="shared" si="3"/>
        <v>16.254350351992343</v>
      </c>
      <c r="N16" s="237">
        <f t="shared" si="1"/>
        <v>0.12562292566653022</v>
      </c>
      <c r="O16" s="238">
        <f>'Jan 2025-Prodn &amp; Sales Analysis'!O17</f>
        <v>2977.4769230769234</v>
      </c>
      <c r="P16" s="239">
        <f t="shared" si="4"/>
        <v>89.826388888888886</v>
      </c>
      <c r="Q16" s="629"/>
    </row>
    <row r="17" spans="2:18" s="16" customFormat="1" ht="15" customHeight="1" thickBot="1" x14ac:dyDescent="0.25">
      <c r="B17" s="266" t="s">
        <v>33</v>
      </c>
      <c r="C17" s="267">
        <f>'Jan 2025-Prodn &amp; Sales Analysis'!C16</f>
        <v>37140</v>
      </c>
      <c r="D17" s="267">
        <f>'Jan 2025-Prodn &amp; Sales Analysis'!D16</f>
        <v>1054</v>
      </c>
      <c r="E17" s="267">
        <f>'Jan 2025-Prodn &amp; Sales Analysis'!E16</f>
        <v>36086</v>
      </c>
      <c r="F17" s="267">
        <f>'Jan 2025-Prodn &amp; Sales Analysis'!F16</f>
        <v>28990</v>
      </c>
      <c r="G17" s="267">
        <f>'Jan 2025-Prodn &amp; Sales Analysis'!G16</f>
        <v>4180</v>
      </c>
      <c r="H17" s="267">
        <f>'Jan 2025-Prodn &amp; Sales Analysis'!H16</f>
        <v>33170</v>
      </c>
      <c r="I17" s="267">
        <f>'Jan 2025-Prodn &amp; Sales Analysis'!I16</f>
        <v>420489.24</v>
      </c>
      <c r="J17" s="267">
        <f>'Jan 2025-Prodn &amp; Sales Analysis'!J16</f>
        <v>12612.08</v>
      </c>
      <c r="K17" s="267">
        <f>'Jan 2025-Prodn &amp; Sales Analysis'!K16</f>
        <v>433101.32</v>
      </c>
      <c r="L17" s="268">
        <f>F17/E17</f>
        <v>0.80335864324114614</v>
      </c>
      <c r="M17" s="269">
        <f>I17/F17</f>
        <v>14.504630562262848</v>
      </c>
      <c r="N17" s="342">
        <f t="shared" si="1"/>
        <v>0.11210008935978708</v>
      </c>
      <c r="O17" s="14">
        <f>'Jan 2025-Prodn &amp; Sales Analysis'!O16</f>
        <v>2605.292307692308</v>
      </c>
      <c r="P17" s="14">
        <f>C17/O17*12</f>
        <v>171.06717687074828</v>
      </c>
      <c r="Q17" s="218">
        <f>(K17*12/O17)/129.39</f>
        <v>15.417486732179023</v>
      </c>
    </row>
    <row r="18" spans="2:18" s="16" customFormat="1" ht="15" customHeight="1" x14ac:dyDescent="0.2">
      <c r="B18" s="258" t="s">
        <v>24</v>
      </c>
      <c r="C18" s="259">
        <f>'Jan 2025-Prodn &amp; Sales Analysis'!C19</f>
        <v>79831</v>
      </c>
      <c r="D18" s="259">
        <f>'Jan 2025-Prodn &amp; Sales Analysis'!D19</f>
        <v>1144</v>
      </c>
      <c r="E18" s="259">
        <f>'Jan 2025-Prodn &amp; Sales Analysis'!E19</f>
        <v>78687</v>
      </c>
      <c r="F18" s="259">
        <f>'Jan 2025-Prodn &amp; Sales Analysis'!F19</f>
        <v>57022</v>
      </c>
      <c r="G18" s="259">
        <f>'Jan 2025-Prodn &amp; Sales Analysis'!G19</f>
        <v>6800</v>
      </c>
      <c r="H18" s="259">
        <f>'Jan 2025-Prodn &amp; Sales Analysis'!H19</f>
        <v>63822</v>
      </c>
      <c r="I18" s="259">
        <f>'Jan 2025-Prodn &amp; Sales Analysis'!I19</f>
        <v>726413.39</v>
      </c>
      <c r="J18" s="259">
        <f>'Jan 2025-Prodn &amp; Sales Analysis'!J19</f>
        <v>20517.25</v>
      </c>
      <c r="K18" s="259">
        <f>'Jan 2025-Prodn &amp; Sales Analysis'!K19</f>
        <v>746930.64</v>
      </c>
      <c r="L18" s="626">
        <f>(F18+F19+F20)/(C18+C19+C20)</f>
        <v>0.68916743891137877</v>
      </c>
      <c r="M18" s="230">
        <f>I18/F18</f>
        <v>12.73917768580548</v>
      </c>
      <c r="N18" s="255">
        <f t="shared" si="1"/>
        <v>9.8455658751105041E-2</v>
      </c>
      <c r="O18" s="232">
        <f>'Jan 2025-Prodn &amp; Sales Analysis'!O19</f>
        <v>5302.1538461538457</v>
      </c>
      <c r="P18" s="233">
        <f>C18/O18*12</f>
        <v>180.67600974930363</v>
      </c>
      <c r="Q18" s="628">
        <f>(K18+K19+K20)*12/(O18+O19+O20)/129.39</f>
        <v>13.13955645671366</v>
      </c>
    </row>
    <row r="19" spans="2:18" s="16" customFormat="1" ht="15" customHeight="1" x14ac:dyDescent="0.2">
      <c r="B19" s="260" t="s">
        <v>23</v>
      </c>
      <c r="C19" s="20">
        <f>'Jan 2025-Prodn &amp; Sales Analysis'!C18</f>
        <v>66101</v>
      </c>
      <c r="D19" s="20">
        <f>'Jan 2025-Prodn &amp; Sales Analysis'!D18</f>
        <v>2126</v>
      </c>
      <c r="E19" s="20">
        <f>'Jan 2025-Prodn &amp; Sales Analysis'!E18</f>
        <v>63975</v>
      </c>
      <c r="F19" s="20">
        <f>'Jan 2025-Prodn &amp; Sales Analysis'!F18</f>
        <v>46515</v>
      </c>
      <c r="G19" s="20">
        <f>'Jan 2025-Prodn &amp; Sales Analysis'!G18</f>
        <v>12780</v>
      </c>
      <c r="H19" s="20">
        <f>'Jan 2025-Prodn &amp; Sales Analysis'!H18</f>
        <v>59295</v>
      </c>
      <c r="I19" s="20">
        <f>'Jan 2025-Prodn &amp; Sales Analysis'!I18</f>
        <v>735273</v>
      </c>
      <c r="J19" s="20">
        <f>'Jan 2025-Prodn &amp; Sales Analysis'!J18</f>
        <v>38560.35</v>
      </c>
      <c r="K19" s="20">
        <f>'Jan 2025-Prodn &amp; Sales Analysis'!K18</f>
        <v>773833.35</v>
      </c>
      <c r="L19" s="634"/>
      <c r="M19" s="256">
        <f t="shared" ref="M19" si="6">I19/F19</f>
        <v>15.807223476297969</v>
      </c>
      <c r="N19" s="247">
        <f t="shared" si="1"/>
        <v>0.12216727317642763</v>
      </c>
      <c r="O19" s="209">
        <f>'Jan 2025-Prodn &amp; Sales Analysis'!O18</f>
        <v>5173.3661538461538</v>
      </c>
      <c r="P19" s="248">
        <f t="shared" ref="P19" si="7">C19/O19*12</f>
        <v>153.32608912869705</v>
      </c>
      <c r="Q19" s="633"/>
    </row>
    <row r="20" spans="2:18" s="16" customFormat="1" ht="15" customHeight="1" thickBot="1" x14ac:dyDescent="0.25">
      <c r="B20" s="261" t="s">
        <v>22</v>
      </c>
      <c r="C20" s="242">
        <f>'Jan 2025-Prodn &amp; Sales Analysis'!C20</f>
        <v>59098</v>
      </c>
      <c r="D20" s="242">
        <f>'Jan 2025-Prodn &amp; Sales Analysis'!D20</f>
        <v>1970</v>
      </c>
      <c r="E20" s="242">
        <f>'Jan 2025-Prodn &amp; Sales Analysis'!E20</f>
        <v>57128</v>
      </c>
      <c r="F20" s="242">
        <f>'Jan 2025-Prodn &amp; Sales Analysis'!F20</f>
        <v>37763</v>
      </c>
      <c r="G20" s="242">
        <f>'Jan 2025-Prodn &amp; Sales Analysis'!G20</f>
        <v>22260</v>
      </c>
      <c r="H20" s="242">
        <f>'Jan 2025-Prodn &amp; Sales Analysis'!H20</f>
        <v>60023</v>
      </c>
      <c r="I20" s="242">
        <f>'Jan 2025-Prodn &amp; Sales Analysis'!I20</f>
        <v>599283.26</v>
      </c>
      <c r="J20" s="242">
        <f>'Jan 2025-Prodn &amp; Sales Analysis'!J20</f>
        <v>67163.789999999994</v>
      </c>
      <c r="K20" s="242">
        <f>'Jan 2025-Prodn &amp; Sales Analysis'!K20</f>
        <v>666447.05000000005</v>
      </c>
      <c r="L20" s="627"/>
      <c r="M20" s="243">
        <f>I20/F20</f>
        <v>15.869588221274793</v>
      </c>
      <c r="N20" s="237">
        <f t="shared" si="1"/>
        <v>0.12264926363146143</v>
      </c>
      <c r="O20" s="238">
        <f>'Jan 2025-Prodn &amp; Sales Analysis'!O20</f>
        <v>4962.4615384615381</v>
      </c>
      <c r="P20" s="239">
        <f>C20/O20*12</f>
        <v>142.90811011904762</v>
      </c>
      <c r="Q20" s="629"/>
    </row>
    <row r="21" spans="2:18" s="16" customFormat="1" ht="15" customHeight="1" thickBot="1" x14ac:dyDescent="0.25">
      <c r="B21" s="262" t="s">
        <v>26</v>
      </c>
      <c r="C21" s="263">
        <f>'Jan 2025-Prodn &amp; Sales Analysis'!C21</f>
        <v>40873</v>
      </c>
      <c r="D21" s="263">
        <f>'Jan 2025-Prodn &amp; Sales Analysis'!D21</f>
        <v>1093</v>
      </c>
      <c r="E21" s="263">
        <f>'Jan 2025-Prodn &amp; Sales Analysis'!E21</f>
        <v>39780</v>
      </c>
      <c r="F21" s="263">
        <f>'Jan 2025-Prodn &amp; Sales Analysis'!F21</f>
        <v>22400</v>
      </c>
      <c r="G21" s="263">
        <f>'Jan 2025-Prodn &amp; Sales Analysis'!G21</f>
        <v>3440</v>
      </c>
      <c r="H21" s="263">
        <f>'Jan 2025-Prodn &amp; Sales Analysis'!H21</f>
        <v>25840</v>
      </c>
      <c r="I21" s="263">
        <f>'Jan 2025-Prodn &amp; Sales Analysis'!I21</f>
        <v>301687.06</v>
      </c>
      <c r="J21" s="263">
        <f>'Jan 2025-Prodn &amp; Sales Analysis'!J21</f>
        <v>10446.91</v>
      </c>
      <c r="K21" s="263">
        <f>'Jan 2025-Prodn &amp; Sales Analysis'!K21</f>
        <v>312133.96999999997</v>
      </c>
      <c r="L21" s="264">
        <f t="shared" ref="L21" si="8">F21/E21</f>
        <v>0.56309703368526898</v>
      </c>
      <c r="M21" s="265">
        <f t="shared" ref="M21" si="9">I21/F21</f>
        <v>13.468172321428572</v>
      </c>
      <c r="N21" s="227">
        <f t="shared" si="1"/>
        <v>0.10408974666843321</v>
      </c>
      <c r="O21" s="253">
        <f>'Jan 2025-Prodn &amp; Sales Analysis'!O21</f>
        <v>2357.1692307692306</v>
      </c>
      <c r="P21" s="253">
        <f t="shared" ref="P21" si="10">C21/O21*12</f>
        <v>208.07839912280701</v>
      </c>
      <c r="Q21" s="218">
        <f>(K21*12/O21)/129.39</f>
        <v>12.28091727429905</v>
      </c>
    </row>
    <row r="22" spans="2:18" ht="17.25" customHeight="1" thickBot="1" x14ac:dyDescent="0.25">
      <c r="B22" s="270" t="s">
        <v>35</v>
      </c>
      <c r="C22" s="271">
        <f>SUM(C6:C21)</f>
        <v>1430948</v>
      </c>
      <c r="D22" s="271">
        <f t="shared" ref="D22:K22" si="11">SUM(D6:D21)</f>
        <v>24010</v>
      </c>
      <c r="E22" s="271">
        <f t="shared" si="11"/>
        <v>1406938</v>
      </c>
      <c r="F22" s="271">
        <f t="shared" si="11"/>
        <v>1142380</v>
      </c>
      <c r="G22" s="271">
        <f t="shared" si="11"/>
        <v>132760</v>
      </c>
      <c r="H22" s="271">
        <f t="shared" si="11"/>
        <v>1275140</v>
      </c>
      <c r="I22" s="271">
        <f t="shared" si="11"/>
        <v>20633715.350000001</v>
      </c>
      <c r="J22" s="271">
        <f t="shared" si="11"/>
        <v>399333.20999999996</v>
      </c>
      <c r="K22" s="271">
        <f t="shared" si="11"/>
        <v>21033048.559999999</v>
      </c>
      <c r="L22" s="272">
        <f>F22/E22</f>
        <v>0.81196186328040043</v>
      </c>
      <c r="M22" s="23">
        <f>I22/F22</f>
        <v>18.062041833715579</v>
      </c>
      <c r="N22" s="273">
        <f t="shared" si="1"/>
        <v>0.13959380039968761</v>
      </c>
      <c r="O22" s="52">
        <f>SUM(O6:O21)</f>
        <v>86952.369230769211</v>
      </c>
      <c r="P22" s="25">
        <f>C22/O22*12</f>
        <v>197.48025444168906</v>
      </c>
      <c r="Q22" s="274">
        <f>(K22*12/O22)/129.39</f>
        <v>22.4337222067902</v>
      </c>
    </row>
    <row r="23" spans="2:18" ht="17.25" customHeight="1" thickTop="1" thickBot="1" x14ac:dyDescent="0.25">
      <c r="B23" s="26" t="s">
        <v>36</v>
      </c>
      <c r="C23" s="27"/>
      <c r="D23" s="275">
        <f>D22/C22</f>
        <v>1.6779086312011339E-2</v>
      </c>
      <c r="E23" s="276">
        <f>E22/C22</f>
        <v>0.9832209136879887</v>
      </c>
      <c r="F23" s="30"/>
      <c r="G23" s="31"/>
      <c r="H23" s="30"/>
      <c r="I23" s="30"/>
      <c r="J23" s="30"/>
      <c r="K23" s="30"/>
      <c r="L23" s="32"/>
      <c r="M23" s="30"/>
      <c r="N23" s="33"/>
      <c r="O23" s="34"/>
      <c r="P23" s="34"/>
      <c r="Q23" s="35"/>
    </row>
    <row r="24" spans="2:18" ht="21" customHeight="1" thickTop="1" thickBot="1" x14ac:dyDescent="0.3">
      <c r="B24" s="623" t="s">
        <v>37</v>
      </c>
      <c r="C24" s="620"/>
      <c r="D24" s="620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0"/>
      <c r="P24" s="620"/>
      <c r="Q24" s="620"/>
    </row>
    <row r="25" spans="2:18" ht="15.75" customHeight="1" x14ac:dyDescent="0.2">
      <c r="B25" s="316" t="s">
        <v>51</v>
      </c>
      <c r="C25" s="304">
        <f>'Jan 2025-Prodn &amp; Sales Analysis'!C26</f>
        <v>71685</v>
      </c>
      <c r="D25" s="304">
        <f>'Jan 2025-Prodn &amp; Sales Analysis'!D26</f>
        <v>1026</v>
      </c>
      <c r="E25" s="304">
        <f>'Jan 2025-Prodn &amp; Sales Analysis'!E26</f>
        <v>70659</v>
      </c>
      <c r="F25" s="304">
        <f>'Jan 2025-Prodn &amp; Sales Analysis'!F26</f>
        <v>62050</v>
      </c>
      <c r="G25" s="304">
        <f>'Jan 2025-Prodn &amp; Sales Analysis'!G26</f>
        <v>120</v>
      </c>
      <c r="H25" s="304">
        <f>'Jan 2025-Prodn &amp; Sales Analysis'!H26</f>
        <v>62170</v>
      </c>
      <c r="I25" s="304">
        <f>'Jan 2025-Prodn &amp; Sales Analysis'!I26</f>
        <v>2958005.96</v>
      </c>
      <c r="J25" s="304">
        <f>'Jan 2025-Prodn &amp; Sales Analysis'!J26</f>
        <v>413.79</v>
      </c>
      <c r="K25" s="304">
        <f>'Jan 2025-Prodn &amp; Sales Analysis'!K26</f>
        <v>2958419.75</v>
      </c>
      <c r="L25" s="626">
        <f>(F25+F26)/(E25+E26)</f>
        <v>0.8737720089222154</v>
      </c>
      <c r="M25" s="279">
        <f>I25/F25</f>
        <v>47.671328928283643</v>
      </c>
      <c r="N25" s="280">
        <f t="shared" ref="N25:N54" si="12">M25/129.39</f>
        <v>0.36843132335020984</v>
      </c>
      <c r="O25" s="281">
        <f>'Jan 2025-Prodn &amp; Sales Analysis'!O26</f>
        <v>8436.1846153846163</v>
      </c>
      <c r="P25" s="229">
        <f>C25/O25*12</f>
        <v>101.96789653361344</v>
      </c>
      <c r="Q25" s="628">
        <f>(K25+K26)*12/(O25+O26)/129.39</f>
        <v>30.309861314583657</v>
      </c>
    </row>
    <row r="26" spans="2:18" ht="15.75" customHeight="1" thickBot="1" x14ac:dyDescent="0.25">
      <c r="B26" s="317" t="s">
        <v>42</v>
      </c>
      <c r="C26" s="296">
        <f>'Jan 2025-Prodn &amp; Sales Analysis'!C37</f>
        <v>13815</v>
      </c>
      <c r="D26" s="296">
        <f>'Jan 2025-Prodn &amp; Sales Analysis'!D37</f>
        <v>190</v>
      </c>
      <c r="E26" s="296">
        <f>'Jan 2025-Prodn &amp; Sales Analysis'!E37</f>
        <v>13625</v>
      </c>
      <c r="F26" s="296">
        <f>'Jan 2025-Prodn &amp; Sales Analysis'!F37</f>
        <v>11595</v>
      </c>
      <c r="G26" s="296">
        <f>'Jan 2025-Prodn &amp; Sales Analysis'!G37</f>
        <v>120</v>
      </c>
      <c r="H26" s="296">
        <f>'Jan 2025-Prodn &amp; Sales Analysis'!H37</f>
        <v>11715</v>
      </c>
      <c r="I26" s="296">
        <f>'Jan 2025-Prodn &amp; Sales Analysis'!I37</f>
        <v>568608.05000000005</v>
      </c>
      <c r="J26" s="296">
        <f>'Jan 2025-Prodn &amp; Sales Analysis'!J37</f>
        <v>413.79</v>
      </c>
      <c r="K26" s="296">
        <f>'Jan 2025-Prodn &amp; Sales Analysis'!K37</f>
        <v>569021.84000000008</v>
      </c>
      <c r="L26" s="627"/>
      <c r="M26" s="306">
        <f>I26/F26</f>
        <v>49.039072876239764</v>
      </c>
      <c r="N26" s="298">
        <f t="shared" si="12"/>
        <v>0.37900203165808616</v>
      </c>
      <c r="O26" s="299">
        <f>'Jan 2025-Prodn &amp; Sales Analysis'!O37</f>
        <v>2357.1692307692306</v>
      </c>
      <c r="P26" s="20">
        <f>C26/O26*12</f>
        <v>70.330122180451141</v>
      </c>
      <c r="Q26" s="633"/>
      <c r="R26" s="16"/>
    </row>
    <row r="27" spans="2:18" ht="15.75" customHeight="1" x14ac:dyDescent="0.2">
      <c r="B27" s="286" t="s">
        <v>43</v>
      </c>
      <c r="C27" s="278">
        <f>'Jan 2025-Prodn &amp; Sales Analysis'!C31</f>
        <v>26052</v>
      </c>
      <c r="D27" s="278">
        <f>'Jan 2025-Prodn &amp; Sales Analysis'!D31</f>
        <v>217</v>
      </c>
      <c r="E27" s="278">
        <f>'Jan 2025-Prodn &amp; Sales Analysis'!E31</f>
        <v>25835</v>
      </c>
      <c r="F27" s="278">
        <f>'Jan 2025-Prodn &amp; Sales Analysis'!F31</f>
        <v>24240</v>
      </c>
      <c r="G27" s="278">
        <f>'Jan 2025-Prodn &amp; Sales Analysis'!G31</f>
        <v>360</v>
      </c>
      <c r="H27" s="278">
        <f>'Jan 2025-Prodn &amp; Sales Analysis'!H31</f>
        <v>24600</v>
      </c>
      <c r="I27" s="278">
        <f>'Jan 2025-Prodn &amp; Sales Analysis'!I31</f>
        <v>839574.91000000015</v>
      </c>
      <c r="J27" s="278">
        <f>'Jan 2025-Prodn &amp; Sales Analysis'!J31</f>
        <v>1241.3800000000001</v>
      </c>
      <c r="K27" s="278">
        <f>'Jan 2025-Prodn &amp; Sales Analysis'!K31</f>
        <v>840816.29000000015</v>
      </c>
      <c r="L27" s="626">
        <f>(F27+F28)/(E27+E28)</f>
        <v>0.86324021169593723</v>
      </c>
      <c r="M27" s="287">
        <f>I27/F27</f>
        <v>34.63592863036304</v>
      </c>
      <c r="N27" s="280">
        <f t="shared" si="12"/>
        <v>0.26768628665556105</v>
      </c>
      <c r="O27" s="281">
        <f>'Jan 2025-Prodn &amp; Sales Analysis'!O31</f>
        <v>2605.292307692308</v>
      </c>
      <c r="P27" s="288">
        <f>C27/O27*12</f>
        <v>119.9957482993197</v>
      </c>
      <c r="Q27" s="628">
        <f>(K27+K28)*12/(O27+O28)/129.39</f>
        <v>30.133542946926557</v>
      </c>
    </row>
    <row r="28" spans="2:18" ht="15.75" customHeight="1" thickBot="1" x14ac:dyDescent="0.25">
      <c r="B28" s="289" t="s">
        <v>52</v>
      </c>
      <c r="C28" s="283">
        <f>'Jan 2025-Prodn &amp; Sales Analysis'!C30</f>
        <v>50790</v>
      </c>
      <c r="D28" s="283">
        <f>'Jan 2025-Prodn &amp; Sales Analysis'!D30</f>
        <v>667</v>
      </c>
      <c r="E28" s="283">
        <f>'Jan 2025-Prodn &amp; Sales Analysis'!E30</f>
        <v>50123</v>
      </c>
      <c r="F28" s="283">
        <f>'Jan 2025-Prodn &amp; Sales Analysis'!F30</f>
        <v>41330</v>
      </c>
      <c r="G28" s="283">
        <f>'Jan 2025-Prodn &amp; Sales Analysis'!G30</f>
        <v>9980</v>
      </c>
      <c r="H28" s="283">
        <f>'Jan 2025-Prodn &amp; Sales Analysis'!H30</f>
        <v>51310</v>
      </c>
      <c r="I28" s="283">
        <f>'Jan 2025-Prodn &amp; Sales Analysis'!I30</f>
        <v>1603800.84</v>
      </c>
      <c r="J28" s="283">
        <f>'Jan 2025-Prodn &amp; Sales Analysis'!J30</f>
        <v>34413.78</v>
      </c>
      <c r="K28" s="283">
        <f>'Jan 2025-Prodn &amp; Sales Analysis'!K30</f>
        <v>1638214.62</v>
      </c>
      <c r="L28" s="627"/>
      <c r="M28" s="290">
        <f>I28/F28</f>
        <v>38.80476264214856</v>
      </c>
      <c r="N28" s="285">
        <f t="shared" si="12"/>
        <v>0.29990542269223713</v>
      </c>
      <c r="O28" s="257">
        <f>'Jan 2025-Prodn &amp; Sales Analysis'!O30</f>
        <v>5024.4923076923069</v>
      </c>
      <c r="P28" s="291">
        <f>C28/O28*12</f>
        <v>121.3018077601411</v>
      </c>
      <c r="Q28" s="629"/>
    </row>
    <row r="29" spans="2:18" ht="15.75" customHeight="1" x14ac:dyDescent="0.2">
      <c r="B29" s="277" t="s">
        <v>53</v>
      </c>
      <c r="C29" s="278">
        <f>'Jan 2025-Prodn &amp; Sales Analysis'!C29</f>
        <v>72219</v>
      </c>
      <c r="D29" s="278">
        <f>'Jan 2025-Prodn &amp; Sales Analysis'!D29</f>
        <v>417</v>
      </c>
      <c r="E29" s="278">
        <f>'Jan 2025-Prodn &amp; Sales Analysis'!E29</f>
        <v>71802</v>
      </c>
      <c r="F29" s="278">
        <f>'Jan 2025-Prodn &amp; Sales Analysis'!F29</f>
        <v>71700</v>
      </c>
      <c r="G29" s="278">
        <f>'Jan 2025-Prodn &amp; Sales Analysis'!G29</f>
        <v>580</v>
      </c>
      <c r="H29" s="278">
        <f>'Jan 2025-Prodn &amp; Sales Analysis'!H29</f>
        <v>72280</v>
      </c>
      <c r="I29" s="278">
        <f>'Jan 2025-Prodn &amp; Sales Analysis'!I29</f>
        <v>2534161.5699999998</v>
      </c>
      <c r="J29" s="278">
        <f>'Jan 2025-Prodn &amp; Sales Analysis'!J29</f>
        <v>2000</v>
      </c>
      <c r="K29" s="278">
        <f>'Jan 2025-Prodn &amp; Sales Analysis'!K29</f>
        <v>2536161.5699999998</v>
      </c>
      <c r="L29" s="626">
        <f>(F29+F30)/(E29+E30)</f>
        <v>0.98795812114790893</v>
      </c>
      <c r="M29" s="279">
        <f t="shared" ref="M29:M52" si="13">I29/F29</f>
        <v>35.343954951185495</v>
      </c>
      <c r="N29" s="280">
        <f t="shared" si="12"/>
        <v>0.273158319431065</v>
      </c>
      <c r="O29" s="281">
        <f>'Jan 2025-Prodn &amp; Sales Analysis'!O29</f>
        <v>7381.6615384615379</v>
      </c>
      <c r="P29" s="229">
        <f t="shared" ref="P29:P52" si="14">C29/O29*12</f>
        <v>117.40283613445379</v>
      </c>
      <c r="Q29" s="628">
        <f>(K29+K30)*12/(O29+O30)/129.39</f>
        <v>29.383716387219398</v>
      </c>
    </row>
    <row r="30" spans="2:18" ht="15.75" customHeight="1" thickBot="1" x14ac:dyDescent="0.25">
      <c r="B30" s="282" t="s">
        <v>45</v>
      </c>
      <c r="C30" s="283">
        <f>'Jan 2025-Prodn &amp; Sales Analysis'!C38</f>
        <v>16232</v>
      </c>
      <c r="D30" s="283">
        <f>'Jan 2025-Prodn &amp; Sales Analysis'!D38</f>
        <v>257</v>
      </c>
      <c r="E30" s="283">
        <f>'Jan 2025-Prodn &amp; Sales Analysis'!E38</f>
        <v>15975</v>
      </c>
      <c r="F30" s="283">
        <f>'Jan 2025-Prodn &amp; Sales Analysis'!F38</f>
        <v>15020</v>
      </c>
      <c r="G30" s="283">
        <f>'Jan 2025-Prodn &amp; Sales Analysis'!G38</f>
        <v>0</v>
      </c>
      <c r="H30" s="283">
        <f>'Jan 2025-Prodn &amp; Sales Analysis'!H38</f>
        <v>15020</v>
      </c>
      <c r="I30" s="283">
        <f>'Jan 2025-Prodn &amp; Sales Analysis'!I38</f>
        <v>588697.82999999996</v>
      </c>
      <c r="J30" s="283">
        <f>'Jan 2025-Prodn &amp; Sales Analysis'!J38</f>
        <v>0</v>
      </c>
      <c r="K30" s="283">
        <f>'Jan 2025-Prodn &amp; Sales Analysis'!K38</f>
        <v>588697.82999999996</v>
      </c>
      <c r="L30" s="627"/>
      <c r="M30" s="284">
        <f t="shared" si="13"/>
        <v>39.194262982689743</v>
      </c>
      <c r="N30" s="285">
        <f t="shared" si="12"/>
        <v>0.30291570432560283</v>
      </c>
      <c r="O30" s="257">
        <f>'Jan 2025-Prodn &amp; Sales Analysis'!O38</f>
        <v>2481.2307692307691</v>
      </c>
      <c r="P30" s="242">
        <f t="shared" si="14"/>
        <v>78.50297619047619</v>
      </c>
      <c r="Q30" s="629"/>
    </row>
    <row r="31" spans="2:18" ht="15.75" customHeight="1" x14ac:dyDescent="0.2">
      <c r="B31" s="292" t="s">
        <v>49</v>
      </c>
      <c r="C31" s="278">
        <f>'Jan 2025-Prodn &amp; Sales Analysis'!C27</f>
        <v>46727</v>
      </c>
      <c r="D31" s="278">
        <f>'Jan 2025-Prodn &amp; Sales Analysis'!D27</f>
        <v>371</v>
      </c>
      <c r="E31" s="278">
        <f>'Jan 2025-Prodn &amp; Sales Analysis'!E27</f>
        <v>46356</v>
      </c>
      <c r="F31" s="278">
        <f>'Jan 2025-Prodn &amp; Sales Analysis'!F27</f>
        <v>47480</v>
      </c>
      <c r="G31" s="278">
        <f>'Jan 2025-Prodn &amp; Sales Analysis'!G27</f>
        <v>600</v>
      </c>
      <c r="H31" s="278">
        <f>'Jan 2025-Prodn &amp; Sales Analysis'!H27</f>
        <v>48080</v>
      </c>
      <c r="I31" s="278">
        <f>'Jan 2025-Prodn &amp; Sales Analysis'!I27</f>
        <v>1756333.3299999998</v>
      </c>
      <c r="J31" s="278">
        <f>'Jan 2025-Prodn &amp; Sales Analysis'!J27</f>
        <v>2068.96</v>
      </c>
      <c r="K31" s="278">
        <f>'Jan 2025-Prodn &amp; Sales Analysis'!K27</f>
        <v>1758402.2899999998</v>
      </c>
      <c r="L31" s="626">
        <f>(F31+F32)/(E31+E32)</f>
        <v>0.94169302540549127</v>
      </c>
      <c r="M31" s="287">
        <f t="shared" si="13"/>
        <v>36.991013689974722</v>
      </c>
      <c r="N31" s="280">
        <f t="shared" si="12"/>
        <v>0.28588773235933784</v>
      </c>
      <c r="O31" s="281">
        <f>'Jan 2025-Prodn &amp; Sales Analysis'!O27</f>
        <v>5024.4923076923069</v>
      </c>
      <c r="P31" s="288">
        <f t="shared" si="14"/>
        <v>111.59814079952972</v>
      </c>
      <c r="Q31" s="628">
        <f>(K31+K32)*12/(O31+O32)/129.39</f>
        <v>29.086453065572133</v>
      </c>
    </row>
    <row r="32" spans="2:18" ht="15.75" customHeight="1" thickBot="1" x14ac:dyDescent="0.25">
      <c r="B32" s="293" t="s">
        <v>62</v>
      </c>
      <c r="C32" s="283">
        <f>'Jan 2025-Prodn &amp; Sales Analysis'!C35</f>
        <v>23215</v>
      </c>
      <c r="D32" s="283">
        <f>'Jan 2025-Prodn &amp; Sales Analysis'!D35</f>
        <v>334</v>
      </c>
      <c r="E32" s="283">
        <f>'Jan 2025-Prodn &amp; Sales Analysis'!E35</f>
        <v>22881</v>
      </c>
      <c r="F32" s="283">
        <f>'Jan 2025-Prodn &amp; Sales Analysis'!F35</f>
        <v>17720</v>
      </c>
      <c r="G32" s="283">
        <f>'Jan 2025-Prodn &amp; Sales Analysis'!G35</f>
        <v>1080</v>
      </c>
      <c r="H32" s="283">
        <f>'Jan 2025-Prodn &amp; Sales Analysis'!H35</f>
        <v>18800</v>
      </c>
      <c r="I32" s="283">
        <f>'Jan 2025-Prodn &amp; Sales Analysis'!I35</f>
        <v>650216.71</v>
      </c>
      <c r="J32" s="283">
        <f>'Jan 2025-Prodn &amp; Sales Analysis'!J35</f>
        <v>3724.14</v>
      </c>
      <c r="K32" s="283">
        <f>'Jan 2025-Prodn &amp; Sales Analysis'!K35</f>
        <v>653940.85</v>
      </c>
      <c r="L32" s="627"/>
      <c r="M32" s="290">
        <f t="shared" si="13"/>
        <v>36.693945259593676</v>
      </c>
      <c r="N32" s="285">
        <f t="shared" si="12"/>
        <v>0.28359181744797651</v>
      </c>
      <c r="O32" s="257">
        <f>'Jan 2025-Prodn &amp; Sales Analysis'!O35</f>
        <v>2667.3230769230763</v>
      </c>
      <c r="P32" s="291">
        <f t="shared" si="14"/>
        <v>104.4417912513843</v>
      </c>
      <c r="Q32" s="629"/>
    </row>
    <row r="33" spans="2:18" ht="15.75" customHeight="1" x14ac:dyDescent="0.2">
      <c r="B33" s="311" t="s">
        <v>66</v>
      </c>
      <c r="C33" s="304">
        <f>'Jan 2025-Prodn &amp; Sales Analysis'!C47</f>
        <v>12932</v>
      </c>
      <c r="D33" s="304">
        <f>'Jan 2025-Prodn &amp; Sales Analysis'!D47</f>
        <v>213</v>
      </c>
      <c r="E33" s="304">
        <f>'Jan 2025-Prodn &amp; Sales Analysis'!E47</f>
        <v>12719</v>
      </c>
      <c r="F33" s="304">
        <f>'Jan 2025-Prodn &amp; Sales Analysis'!F47</f>
        <v>12900</v>
      </c>
      <c r="G33" s="304">
        <f>'Jan 2025-Prodn &amp; Sales Analysis'!G47</f>
        <v>600</v>
      </c>
      <c r="H33" s="304">
        <f>'Jan 2025-Prodn &amp; Sales Analysis'!H47</f>
        <v>13500</v>
      </c>
      <c r="I33" s="304">
        <f>'Jan 2025-Prodn &amp; Sales Analysis'!I47</f>
        <v>394463.91000000003</v>
      </c>
      <c r="J33" s="304">
        <f>'Jan 2025-Prodn &amp; Sales Analysis'!J47</f>
        <v>2068.9699999999998</v>
      </c>
      <c r="K33" s="304">
        <f>'Jan 2025-Prodn &amp; Sales Analysis'!K47</f>
        <v>396532.88</v>
      </c>
      <c r="L33" s="626">
        <f>(F33+F34)/(E33+E34)</f>
        <v>0.95933993867314205</v>
      </c>
      <c r="M33" s="279">
        <f t="shared" ref="M33:M43" si="15">I33/F33</f>
        <v>30.578597674418607</v>
      </c>
      <c r="N33" s="280">
        <f t="shared" si="12"/>
        <v>0.23632891007356527</v>
      </c>
      <c r="O33" s="281">
        <f>'Jan 2025-Prodn &amp; Sales Analysis'!O47</f>
        <v>2605.292307692308</v>
      </c>
      <c r="P33" s="229">
        <f t="shared" ref="P33:P43" si="16">C33/O33*12</f>
        <v>59.564909297052154</v>
      </c>
      <c r="Q33" s="628">
        <f>(K33+K34)*12/(O33+O34)/129.39</f>
        <v>21.436768509011149</v>
      </c>
      <c r="R33" s="16"/>
    </row>
    <row r="34" spans="2:18" ht="15.75" customHeight="1" thickBot="1" x14ac:dyDescent="0.25">
      <c r="B34" s="312" t="s">
        <v>39</v>
      </c>
      <c r="C34" s="283">
        <f>'Jan 2025-Prodn &amp; Sales Analysis'!C32</f>
        <v>44074</v>
      </c>
      <c r="D34" s="283">
        <f>'Jan 2025-Prodn &amp; Sales Analysis'!D32</f>
        <v>374</v>
      </c>
      <c r="E34" s="283">
        <f>'Jan 2025-Prodn &amp; Sales Analysis'!E32</f>
        <v>43700</v>
      </c>
      <c r="F34" s="283">
        <f>'Jan 2025-Prodn &amp; Sales Analysis'!F32</f>
        <v>41225</v>
      </c>
      <c r="G34" s="283">
        <f>'Jan 2025-Prodn &amp; Sales Analysis'!G32</f>
        <v>240</v>
      </c>
      <c r="H34" s="283">
        <f>'Jan 2025-Prodn &amp; Sales Analysis'!H32</f>
        <v>41465</v>
      </c>
      <c r="I34" s="283">
        <f>'Jan 2025-Prodn &amp; Sales Analysis'!I32</f>
        <v>1394878.71</v>
      </c>
      <c r="J34" s="283">
        <f>'Jan 2025-Prodn &amp; Sales Analysis'!J32</f>
        <v>827.58</v>
      </c>
      <c r="K34" s="283">
        <f>'Jan 2025-Prodn &amp; Sales Analysis'!K32</f>
        <v>1395706.29</v>
      </c>
      <c r="L34" s="627"/>
      <c r="M34" s="284">
        <f t="shared" si="15"/>
        <v>33.835747968465739</v>
      </c>
      <c r="N34" s="285">
        <f t="shared" si="12"/>
        <v>0.26150203237086128</v>
      </c>
      <c r="O34" s="257">
        <f>'Jan 2025-Prodn &amp; Sales Analysis'!O32</f>
        <v>5148.5538461538454</v>
      </c>
      <c r="P34" s="242">
        <f t="shared" si="16"/>
        <v>102.72554503729204</v>
      </c>
      <c r="Q34" s="629"/>
      <c r="R34" s="16"/>
    </row>
    <row r="35" spans="2:18" ht="15.75" customHeight="1" x14ac:dyDescent="0.2">
      <c r="B35" s="303" t="s">
        <v>44</v>
      </c>
      <c r="C35" s="304">
        <f>'Jan 2025-Prodn &amp; Sales Analysis'!C36</f>
        <v>18672</v>
      </c>
      <c r="D35" s="304">
        <f>'Jan 2025-Prodn &amp; Sales Analysis'!D36</f>
        <v>132</v>
      </c>
      <c r="E35" s="304">
        <f>'Jan 2025-Prodn &amp; Sales Analysis'!E36</f>
        <v>18540</v>
      </c>
      <c r="F35" s="304">
        <f>'Jan 2025-Prodn &amp; Sales Analysis'!F36</f>
        <v>15710</v>
      </c>
      <c r="G35" s="304">
        <f>'Jan 2025-Prodn &amp; Sales Analysis'!G36</f>
        <v>120</v>
      </c>
      <c r="H35" s="304">
        <f>'Jan 2025-Prodn &amp; Sales Analysis'!H36</f>
        <v>15830</v>
      </c>
      <c r="I35" s="304">
        <f>'Jan 2025-Prodn &amp; Sales Analysis'!I36</f>
        <v>568844.45000000007</v>
      </c>
      <c r="J35" s="304">
        <f>'Jan 2025-Prodn &amp; Sales Analysis'!J36</f>
        <v>413.79</v>
      </c>
      <c r="K35" s="304">
        <f>'Jan 2025-Prodn &amp; Sales Analysis'!K36</f>
        <v>569258.24000000011</v>
      </c>
      <c r="L35" s="630">
        <f>(F35+F36+F37+F38)/(E35+E36+E37+E38)</f>
        <v>0.89133768815677361</v>
      </c>
      <c r="M35" s="279">
        <f t="shared" si="15"/>
        <v>36.209067472947169</v>
      </c>
      <c r="N35" s="280">
        <f t="shared" si="12"/>
        <v>0.2798444043044066</v>
      </c>
      <c r="O35" s="281">
        <f>'Jan 2025-Prodn &amp; Sales Analysis'!O36</f>
        <v>2357.1692307692306</v>
      </c>
      <c r="P35" s="229">
        <f t="shared" si="16"/>
        <v>95.056390977443613</v>
      </c>
      <c r="Q35" s="628">
        <f>(K35+K36+K37+K38)*12/(O35+O36+O37+O38)/129.39</f>
        <v>20.552251595883959</v>
      </c>
    </row>
    <row r="36" spans="2:18" ht="15.75" customHeight="1" x14ac:dyDescent="0.2">
      <c r="B36" s="305" t="s">
        <v>41</v>
      </c>
      <c r="C36" s="296">
        <f>'Jan 2025-Prodn &amp; Sales Analysis'!C41</f>
        <v>17268</v>
      </c>
      <c r="D36" s="296">
        <f>'Jan 2025-Prodn &amp; Sales Analysis'!D41</f>
        <v>421</v>
      </c>
      <c r="E36" s="296">
        <f>'Jan 2025-Prodn &amp; Sales Analysis'!E41</f>
        <v>16847</v>
      </c>
      <c r="F36" s="296">
        <f>'Jan 2025-Prodn &amp; Sales Analysis'!F41</f>
        <v>19940</v>
      </c>
      <c r="G36" s="296">
        <f>'Jan 2025-Prodn &amp; Sales Analysis'!G41</f>
        <v>120</v>
      </c>
      <c r="H36" s="296">
        <f>'Jan 2025-Prodn &amp; Sales Analysis'!H41</f>
        <v>20060</v>
      </c>
      <c r="I36" s="296">
        <f>'Jan 2025-Prodn &amp; Sales Analysis'!I41</f>
        <v>709630.65999999992</v>
      </c>
      <c r="J36" s="296">
        <f>'Jan 2025-Prodn &amp; Sales Analysis'!J41</f>
        <v>413.79</v>
      </c>
      <c r="K36" s="296">
        <f>'Jan 2025-Prodn &amp; Sales Analysis'!K41</f>
        <v>710044.45</v>
      </c>
      <c r="L36" s="631"/>
      <c r="M36" s="306">
        <f t="shared" si="15"/>
        <v>35.588297893681037</v>
      </c>
      <c r="N36" s="298">
        <f t="shared" si="12"/>
        <v>0.27504674158498371</v>
      </c>
      <c r="O36" s="299">
        <f>'Jan 2025-Prodn &amp; Sales Analysis'!O41</f>
        <v>3225.5999999999995</v>
      </c>
      <c r="P36" s="20">
        <f t="shared" si="16"/>
        <v>64.241071428571431</v>
      </c>
      <c r="Q36" s="633"/>
    </row>
    <row r="37" spans="2:18" ht="15.75" customHeight="1" x14ac:dyDescent="0.2">
      <c r="B37" s="305" t="s">
        <v>46</v>
      </c>
      <c r="C37" s="296">
        <f>'Jan 2025-Prodn &amp; Sales Analysis'!C34</f>
        <v>33823</v>
      </c>
      <c r="D37" s="296">
        <f>'Jan 2025-Prodn &amp; Sales Analysis'!D34</f>
        <v>1220</v>
      </c>
      <c r="E37" s="296">
        <f>'Jan 2025-Prodn &amp; Sales Analysis'!E34</f>
        <v>32603</v>
      </c>
      <c r="F37" s="296">
        <f>'Jan 2025-Prodn &amp; Sales Analysis'!F34</f>
        <v>34850</v>
      </c>
      <c r="G37" s="296">
        <f>'Jan 2025-Prodn &amp; Sales Analysis'!G34</f>
        <v>240</v>
      </c>
      <c r="H37" s="296">
        <f>'Jan 2025-Prodn &amp; Sales Analysis'!H34</f>
        <v>35090</v>
      </c>
      <c r="I37" s="296">
        <f>'Jan 2025-Prodn &amp; Sales Analysis'!I34</f>
        <v>1306134.0399999998</v>
      </c>
      <c r="J37" s="296">
        <f>'Jan 2025-Prodn &amp; Sales Analysis'!J34</f>
        <v>827.58</v>
      </c>
      <c r="K37" s="296">
        <f>'Jan 2025-Prodn &amp; Sales Analysis'!K34</f>
        <v>1306961.6199999999</v>
      </c>
      <c r="L37" s="631"/>
      <c r="M37" s="306">
        <f t="shared" si="15"/>
        <v>37.478738593974171</v>
      </c>
      <c r="N37" s="298">
        <f t="shared" si="12"/>
        <v>0.28965714965587891</v>
      </c>
      <c r="O37" s="299">
        <f>'Jan 2025-Prodn &amp; Sales Analysis'!O34</f>
        <v>5027.4461538461537</v>
      </c>
      <c r="P37" s="20">
        <f t="shared" si="16"/>
        <v>80.732043184488845</v>
      </c>
      <c r="Q37" s="633"/>
    </row>
    <row r="38" spans="2:18" ht="15.75" customHeight="1" thickBot="1" x14ac:dyDescent="0.25">
      <c r="B38" s="307" t="s">
        <v>59</v>
      </c>
      <c r="C38" s="302">
        <f>'Jan 2025-Prodn &amp; Sales Analysis'!C48</f>
        <v>20267</v>
      </c>
      <c r="D38" s="302">
        <f>'Jan 2025-Prodn &amp; Sales Analysis'!D48</f>
        <v>232</v>
      </c>
      <c r="E38" s="302">
        <f>'Jan 2025-Prodn &amp; Sales Analysis'!E48</f>
        <v>20035</v>
      </c>
      <c r="F38" s="302">
        <f>'Jan 2025-Prodn &amp; Sales Analysis'!F48</f>
        <v>7960</v>
      </c>
      <c r="G38" s="302">
        <f>'Jan 2025-Prodn &amp; Sales Analysis'!G48</f>
        <v>4420</v>
      </c>
      <c r="H38" s="302">
        <f>'Jan 2025-Prodn &amp; Sales Analysis'!H48</f>
        <v>12380</v>
      </c>
      <c r="I38" s="302">
        <f>'Jan 2025-Prodn &amp; Sales Analysis'!I48</f>
        <v>299619.7</v>
      </c>
      <c r="J38" s="302">
        <f>'Jan 2025-Prodn &amp; Sales Analysis'!J48</f>
        <v>15241.37</v>
      </c>
      <c r="K38" s="302">
        <f>'Jan 2025-Prodn &amp; Sales Analysis'!K48</f>
        <v>314861.07</v>
      </c>
      <c r="L38" s="632"/>
      <c r="M38" s="284">
        <f t="shared" si="15"/>
        <v>37.640665829145732</v>
      </c>
      <c r="N38" s="285">
        <f t="shared" si="12"/>
        <v>0.29090861603791435</v>
      </c>
      <c r="O38" s="257">
        <f>'Jan 2025-Prodn &amp; Sales Analysis'!O48</f>
        <v>2481.2307692307691</v>
      </c>
      <c r="P38" s="242">
        <f t="shared" si="16"/>
        <v>98.017485119047635</v>
      </c>
      <c r="Q38" s="629"/>
    </row>
    <row r="39" spans="2:18" ht="15.75" customHeight="1" x14ac:dyDescent="0.2">
      <c r="B39" s="322" t="s">
        <v>54</v>
      </c>
      <c r="C39" s="278">
        <f>'Jan 2025-Prodn &amp; Sales Analysis'!C44</f>
        <v>32560</v>
      </c>
      <c r="D39" s="278">
        <f>'Jan 2025-Prodn &amp; Sales Analysis'!D44</f>
        <v>243</v>
      </c>
      <c r="E39" s="278">
        <f>'Jan 2025-Prodn &amp; Sales Analysis'!E44</f>
        <v>32317</v>
      </c>
      <c r="F39" s="278">
        <f>'Jan 2025-Prodn &amp; Sales Analysis'!F44</f>
        <v>21090</v>
      </c>
      <c r="G39" s="278">
        <f>'Jan 2025-Prodn &amp; Sales Analysis'!G44</f>
        <v>6920</v>
      </c>
      <c r="H39" s="278">
        <f>'Jan 2025-Prodn &amp; Sales Analysis'!H44</f>
        <v>28010</v>
      </c>
      <c r="I39" s="278">
        <f>'Jan 2025-Prodn &amp; Sales Analysis'!I44</f>
        <v>839447.71000000008</v>
      </c>
      <c r="J39" s="278">
        <f>'Jan 2025-Prodn &amp; Sales Analysis'!J44</f>
        <v>23862.06</v>
      </c>
      <c r="K39" s="278">
        <f>'Jan 2025-Prodn &amp; Sales Analysis'!K44</f>
        <v>863309.77000000014</v>
      </c>
      <c r="L39" s="626">
        <f>(F39+F40)/(E39+E40)</f>
        <v>0.79611688720856966</v>
      </c>
      <c r="M39" s="287">
        <f t="shared" si="15"/>
        <v>39.803115694642017</v>
      </c>
      <c r="N39" s="280">
        <f t="shared" si="12"/>
        <v>0.30762126667162859</v>
      </c>
      <c r="O39" s="281">
        <f>'Jan 2025-Prodn &amp; Sales Analysis'!O44</f>
        <v>4652.3076923076915</v>
      </c>
      <c r="P39" s="288">
        <f t="shared" si="16"/>
        <v>83.984126984127002</v>
      </c>
      <c r="Q39" s="628">
        <f>(K39+K40)*12/(O39+O40)/129.39</f>
        <v>19.720639321627615</v>
      </c>
      <c r="R39" s="16"/>
    </row>
    <row r="40" spans="2:18" ht="15.75" customHeight="1" thickBot="1" x14ac:dyDescent="0.25">
      <c r="B40" s="323" t="s">
        <v>60</v>
      </c>
      <c r="C40" s="283">
        <f>'Jan 2025-Prodn &amp; Sales Analysis'!C33</f>
        <v>19077</v>
      </c>
      <c r="D40" s="283">
        <f>'Jan 2025-Prodn &amp; Sales Analysis'!D33</f>
        <v>610</v>
      </c>
      <c r="E40" s="283">
        <f>'Jan 2025-Prodn &amp; Sales Analysis'!E33</f>
        <v>18467</v>
      </c>
      <c r="F40" s="283">
        <f>'Jan 2025-Prodn &amp; Sales Analysis'!F33</f>
        <v>19340</v>
      </c>
      <c r="G40" s="283">
        <f>'Jan 2025-Prodn &amp; Sales Analysis'!G33</f>
        <v>0</v>
      </c>
      <c r="H40" s="283">
        <f>'Jan 2025-Prodn &amp; Sales Analysis'!H33</f>
        <v>19340</v>
      </c>
      <c r="I40" s="283">
        <f>'Jan 2025-Prodn &amp; Sales Analysis'!I33</f>
        <v>679930.28</v>
      </c>
      <c r="J40" s="283">
        <f>'Jan 2025-Prodn &amp; Sales Analysis'!J33</f>
        <v>0</v>
      </c>
      <c r="K40" s="283">
        <f>'Jan 2025-Prodn &amp; Sales Analysis'!K33</f>
        <v>679930.28</v>
      </c>
      <c r="L40" s="627"/>
      <c r="M40" s="290">
        <f t="shared" si="15"/>
        <v>35.156684591520168</v>
      </c>
      <c r="N40" s="285">
        <f t="shared" si="12"/>
        <v>0.27171098687317546</v>
      </c>
      <c r="O40" s="257">
        <f>'Jan 2025-Prodn &amp; Sales Analysis'!O33</f>
        <v>2605.292307692308</v>
      </c>
      <c r="P40" s="291">
        <f t="shared" si="16"/>
        <v>87.8688350340136</v>
      </c>
      <c r="Q40" s="629"/>
      <c r="R40" s="16"/>
    </row>
    <row r="41" spans="2:18" ht="15.75" customHeight="1" x14ac:dyDescent="0.2">
      <c r="B41" s="313" t="s">
        <v>48</v>
      </c>
      <c r="C41" s="278">
        <f>'Jan 2025-Prodn &amp; Sales Analysis'!C40</f>
        <v>11207</v>
      </c>
      <c r="D41" s="278">
        <f>'Jan 2025-Prodn &amp; Sales Analysis'!D40</f>
        <v>144</v>
      </c>
      <c r="E41" s="278">
        <f>'Jan 2025-Prodn &amp; Sales Analysis'!E40</f>
        <v>11063</v>
      </c>
      <c r="F41" s="278">
        <f>'Jan 2025-Prodn &amp; Sales Analysis'!F40</f>
        <v>11390</v>
      </c>
      <c r="G41" s="278">
        <f>'Jan 2025-Prodn &amp; Sales Analysis'!G40</f>
        <v>0</v>
      </c>
      <c r="H41" s="278">
        <f>'Jan 2025-Prodn &amp; Sales Analysis'!H40</f>
        <v>11390</v>
      </c>
      <c r="I41" s="278">
        <f>'Jan 2025-Prodn &amp; Sales Analysis'!I40</f>
        <v>385336.66000000003</v>
      </c>
      <c r="J41" s="278">
        <f>'Jan 2025-Prodn &amp; Sales Analysis'!J40</f>
        <v>0</v>
      </c>
      <c r="K41" s="278">
        <f>'Jan 2025-Prodn &amp; Sales Analysis'!K40</f>
        <v>385336.66000000003</v>
      </c>
      <c r="L41" s="626">
        <f>(F41+F42)/(E41+E42)</f>
        <v>0.94325932375562327</v>
      </c>
      <c r="M41" s="287">
        <f t="shared" si="15"/>
        <v>33.831137840210715</v>
      </c>
      <c r="N41" s="280">
        <f t="shared" si="12"/>
        <v>0.2614664026602575</v>
      </c>
      <c r="O41" s="281">
        <f>'Jan 2025-Prodn &amp; Sales Analysis'!O40</f>
        <v>1736.8615384615382</v>
      </c>
      <c r="P41" s="288">
        <f t="shared" si="16"/>
        <v>77.429315476190482</v>
      </c>
      <c r="Q41" s="628">
        <f>(K41+K42)*12/(O41+O42)/129.39</f>
        <v>19.596560716894384</v>
      </c>
    </row>
    <row r="42" spans="2:18" ht="15.75" customHeight="1" thickBot="1" x14ac:dyDescent="0.25">
      <c r="B42" s="314" t="s">
        <v>56</v>
      </c>
      <c r="C42" s="315">
        <f>'Jan 2025-Prodn &amp; Sales Analysis'!C43</f>
        <v>16742</v>
      </c>
      <c r="D42" s="315">
        <f>'Jan 2025-Prodn &amp; Sales Analysis'!D43</f>
        <v>241</v>
      </c>
      <c r="E42" s="315">
        <f>'Jan 2025-Prodn &amp; Sales Analysis'!E43</f>
        <v>16501</v>
      </c>
      <c r="F42" s="315">
        <f>'Jan 2025-Prodn &amp; Sales Analysis'!F43</f>
        <v>14610</v>
      </c>
      <c r="G42" s="315">
        <f>'Jan 2025-Prodn &amp; Sales Analysis'!G43</f>
        <v>0</v>
      </c>
      <c r="H42" s="315">
        <f>'Jan 2025-Prodn &amp; Sales Analysis'!H43</f>
        <v>14610</v>
      </c>
      <c r="I42" s="315">
        <f>'Jan 2025-Prodn &amp; Sales Analysis'!I43</f>
        <v>505945.88999999996</v>
      </c>
      <c r="J42" s="315">
        <f>'Jan 2025-Prodn &amp; Sales Analysis'!J43</f>
        <v>0</v>
      </c>
      <c r="K42" s="315">
        <f>'Jan 2025-Prodn &amp; Sales Analysis'!K43</f>
        <v>505945.88999999996</v>
      </c>
      <c r="L42" s="627"/>
      <c r="M42" s="290">
        <f t="shared" si="15"/>
        <v>34.630108829568783</v>
      </c>
      <c r="N42" s="285">
        <f t="shared" si="12"/>
        <v>0.26764130790299706</v>
      </c>
      <c r="O42" s="257">
        <f>'Jan 2025-Prodn &amp; Sales Analysis'!O43</f>
        <v>2481.2307692307691</v>
      </c>
      <c r="P42" s="291">
        <f t="shared" si="16"/>
        <v>80.969494047619051</v>
      </c>
      <c r="Q42" s="629"/>
    </row>
    <row r="43" spans="2:18" ht="15.75" customHeight="1" thickBot="1" x14ac:dyDescent="0.25">
      <c r="B43" s="350" t="s">
        <v>40</v>
      </c>
      <c r="C43" s="296">
        <f>'Jan 2025-Prodn &amp; Sales Analysis'!C42</f>
        <v>13905</v>
      </c>
      <c r="D43" s="296">
        <f>'Jan 2025-Prodn &amp; Sales Analysis'!D42</f>
        <v>133</v>
      </c>
      <c r="E43" s="296">
        <f>'Jan 2025-Prodn &amp; Sales Analysis'!E42</f>
        <v>13772</v>
      </c>
      <c r="F43" s="296">
        <f>'Jan 2025-Prodn &amp; Sales Analysis'!F42</f>
        <v>13190</v>
      </c>
      <c r="G43" s="296">
        <f>'Jan 2025-Prodn &amp; Sales Analysis'!G42</f>
        <v>0</v>
      </c>
      <c r="H43" s="296">
        <f>'Jan 2025-Prodn &amp; Sales Analysis'!H42</f>
        <v>13190</v>
      </c>
      <c r="I43" s="296">
        <f>'Jan 2025-Prodn &amp; Sales Analysis'!I42</f>
        <v>519767</v>
      </c>
      <c r="J43" s="296">
        <f>'Jan 2025-Prodn &amp; Sales Analysis'!J42</f>
        <v>0</v>
      </c>
      <c r="K43" s="296">
        <f>'Jan 2025-Prodn &amp; Sales Analysis'!K42</f>
        <v>519767</v>
      </c>
      <c r="L43" s="324">
        <f>F43/E43</f>
        <v>0.95774034272436825</v>
      </c>
      <c r="M43" s="347">
        <f t="shared" si="15"/>
        <v>39.40614101592115</v>
      </c>
      <c r="N43" s="348">
        <f t="shared" si="12"/>
        <v>0.30455321907350763</v>
      </c>
      <c r="O43" s="20">
        <f>'Jan 2025-Prodn &amp; Sales Analysis'!O42</f>
        <v>2481.2307692307691</v>
      </c>
      <c r="P43" s="20">
        <f t="shared" si="16"/>
        <v>67.248883928571445</v>
      </c>
      <c r="Q43" s="349">
        <f>(K43)*12/(O43)/129.39</f>
        <v>19.427730831299986</v>
      </c>
      <c r="R43" s="16"/>
    </row>
    <row r="44" spans="2:18" ht="15.75" customHeight="1" x14ac:dyDescent="0.2">
      <c r="B44" s="294" t="s">
        <v>50</v>
      </c>
      <c r="C44" s="278">
        <f>'Jan 2025-Prodn &amp; Sales Analysis'!C28</f>
        <v>19767</v>
      </c>
      <c r="D44" s="278">
        <f>'Jan 2025-Prodn &amp; Sales Analysis'!D28</f>
        <v>328</v>
      </c>
      <c r="E44" s="278">
        <f>'Jan 2025-Prodn &amp; Sales Analysis'!E28</f>
        <v>19439</v>
      </c>
      <c r="F44" s="278">
        <f>'Jan 2025-Prodn &amp; Sales Analysis'!F28</f>
        <v>27430</v>
      </c>
      <c r="G44" s="278">
        <f>'Jan 2025-Prodn &amp; Sales Analysis'!G28</f>
        <v>240</v>
      </c>
      <c r="H44" s="278">
        <f>'Jan 2025-Prodn &amp; Sales Analysis'!H28</f>
        <v>27670</v>
      </c>
      <c r="I44" s="278">
        <f>'Jan 2025-Prodn &amp; Sales Analysis'!I28</f>
        <v>924502.37</v>
      </c>
      <c r="J44" s="278">
        <f>'Jan 2025-Prodn &amp; Sales Analysis'!J28</f>
        <v>827.58</v>
      </c>
      <c r="K44" s="278">
        <f>'Jan 2025-Prodn &amp; Sales Analysis'!K28</f>
        <v>925329.95</v>
      </c>
      <c r="L44" s="626">
        <f>(F44+F45+F46)/(C44+C45+C46)</f>
        <v>0.88373458602466237</v>
      </c>
      <c r="M44" s="287">
        <f t="shared" si="13"/>
        <v>33.704060153117027</v>
      </c>
      <c r="N44" s="280">
        <f t="shared" si="12"/>
        <v>0.26048427353827214</v>
      </c>
      <c r="O44" s="281">
        <f>'Jan 2025-Prodn &amp; Sales Analysis'!O28</f>
        <v>2667.3230769230763</v>
      </c>
      <c r="P44" s="288">
        <f t="shared" si="14"/>
        <v>88.929609634551511</v>
      </c>
      <c r="Q44" s="628">
        <f>(K44+K45+K46)*12/(O44+O45+O46)/129.39</f>
        <v>18.992153523232449</v>
      </c>
    </row>
    <row r="45" spans="2:18" ht="15.75" customHeight="1" x14ac:dyDescent="0.2">
      <c r="B45" s="295" t="s">
        <v>65</v>
      </c>
      <c r="C45" s="296">
        <f>'Jan 2025-Prodn &amp; Sales Analysis'!C45</f>
        <v>16394</v>
      </c>
      <c r="D45" s="296">
        <f>'Jan 2025-Prodn &amp; Sales Analysis'!D45</f>
        <v>253</v>
      </c>
      <c r="E45" s="296">
        <f>'Jan 2025-Prodn &amp; Sales Analysis'!E45</f>
        <v>16141</v>
      </c>
      <c r="F45" s="296">
        <f>'Jan 2025-Prodn &amp; Sales Analysis'!F45</f>
        <v>14800</v>
      </c>
      <c r="G45" s="296">
        <f>'Jan 2025-Prodn &amp; Sales Analysis'!G45</f>
        <v>120</v>
      </c>
      <c r="H45" s="296">
        <f>'Jan 2025-Prodn &amp; Sales Analysis'!H45</f>
        <v>14920</v>
      </c>
      <c r="I45" s="296">
        <f>'Jan 2025-Prodn &amp; Sales Analysis'!I45</f>
        <v>495182.4</v>
      </c>
      <c r="J45" s="296">
        <f>'Jan 2025-Prodn &amp; Sales Analysis'!J45</f>
        <v>413.79</v>
      </c>
      <c r="K45" s="296">
        <f>'Jan 2025-Prodn &amp; Sales Analysis'!K45</f>
        <v>495596.19</v>
      </c>
      <c r="L45" s="634"/>
      <c r="M45" s="297">
        <f t="shared" si="13"/>
        <v>33.458270270270269</v>
      </c>
      <c r="N45" s="298">
        <f t="shared" si="12"/>
        <v>0.25858466860089863</v>
      </c>
      <c r="O45" s="299">
        <f>'Jan 2025-Prodn &amp; Sales Analysis'!O45</f>
        <v>2788.4307692307689</v>
      </c>
      <c r="P45" s="300">
        <f t="shared" si="14"/>
        <v>70.551509533898312</v>
      </c>
      <c r="Q45" s="633"/>
    </row>
    <row r="46" spans="2:18" ht="15.75" customHeight="1" thickBot="1" x14ac:dyDescent="0.25">
      <c r="B46" s="301" t="s">
        <v>61</v>
      </c>
      <c r="C46" s="302">
        <f>'Jan 2025-Prodn &amp; Sales Analysis'!C51</f>
        <v>18335</v>
      </c>
      <c r="D46" s="302">
        <f>'Jan 2025-Prodn &amp; Sales Analysis'!D51</f>
        <v>201</v>
      </c>
      <c r="E46" s="302">
        <f>'Jan 2025-Prodn &amp; Sales Analysis'!E51</f>
        <v>18134</v>
      </c>
      <c r="F46" s="302">
        <f>'Jan 2025-Prodn &amp; Sales Analysis'!F51</f>
        <v>5930</v>
      </c>
      <c r="G46" s="302">
        <f>'Jan 2025-Prodn &amp; Sales Analysis'!G51</f>
        <v>0</v>
      </c>
      <c r="H46" s="302">
        <f>'Jan 2025-Prodn &amp; Sales Analysis'!H51</f>
        <v>5930</v>
      </c>
      <c r="I46" s="302">
        <f>'Jan 2025-Prodn &amp; Sales Analysis'!I51</f>
        <v>204432.55000000002</v>
      </c>
      <c r="J46" s="302">
        <f>'Jan 2025-Prodn &amp; Sales Analysis'!J51</f>
        <v>0</v>
      </c>
      <c r="K46" s="302">
        <f>'Jan 2025-Prodn &amp; Sales Analysis'!K51</f>
        <v>204432.55000000002</v>
      </c>
      <c r="L46" s="627"/>
      <c r="M46" s="290">
        <f t="shared" si="13"/>
        <v>34.474291736930866</v>
      </c>
      <c r="N46" s="285">
        <f t="shared" si="12"/>
        <v>0.26643706420071772</v>
      </c>
      <c r="O46" s="257">
        <f>'Jan 2025-Prodn &amp; Sales Analysis'!O51</f>
        <v>2481.2307692307695</v>
      </c>
      <c r="P46" s="291">
        <f t="shared" si="14"/>
        <v>88.673735119047606</v>
      </c>
      <c r="Q46" s="629"/>
    </row>
    <row r="47" spans="2:18" ht="15.75" customHeight="1" x14ac:dyDescent="0.2">
      <c r="B47" s="308" t="s">
        <v>55</v>
      </c>
      <c r="C47" s="309">
        <f>'Jan 2025-Prodn &amp; Sales Analysis'!C39</f>
        <v>41838</v>
      </c>
      <c r="D47" s="309">
        <f>'Jan 2025-Prodn &amp; Sales Analysis'!D39</f>
        <v>310</v>
      </c>
      <c r="E47" s="309">
        <f>'Jan 2025-Prodn &amp; Sales Analysis'!E39</f>
        <v>41528</v>
      </c>
      <c r="F47" s="309">
        <f>'Jan 2025-Prodn &amp; Sales Analysis'!F39</f>
        <v>32750</v>
      </c>
      <c r="G47" s="309">
        <f>'Jan 2025-Prodn &amp; Sales Analysis'!G39</f>
        <v>720</v>
      </c>
      <c r="H47" s="309">
        <f>'Jan 2025-Prodn &amp; Sales Analysis'!H39</f>
        <v>33470</v>
      </c>
      <c r="I47" s="309">
        <f>'Jan 2025-Prodn &amp; Sales Analysis'!I39</f>
        <v>1191871.1300000001</v>
      </c>
      <c r="J47" s="309">
        <f>'Jan 2025-Prodn &amp; Sales Analysis'!J39</f>
        <v>2482.75</v>
      </c>
      <c r="K47" s="309">
        <f>'Jan 2025-Prodn &amp; Sales Analysis'!K39</f>
        <v>1194353.8800000001</v>
      </c>
      <c r="L47" s="626">
        <f>(F47+F48)/(E47+E48)</f>
        <v>0.63692437684833125</v>
      </c>
      <c r="M47" s="287">
        <f t="shared" si="13"/>
        <v>36.393011603053438</v>
      </c>
      <c r="N47" s="280">
        <f t="shared" si="12"/>
        <v>0.28126602985588872</v>
      </c>
      <c r="O47" s="281">
        <f>'Jan 2025-Prodn &amp; Sales Analysis'!O39</f>
        <v>5055.5076923076922</v>
      </c>
      <c r="P47" s="288">
        <f t="shared" si="14"/>
        <v>99.308720420683613</v>
      </c>
      <c r="Q47" s="628">
        <f>(K47+K48)*12/(O47+O48)/129.39</f>
        <v>17.906137878052032</v>
      </c>
      <c r="R47" s="16"/>
    </row>
    <row r="48" spans="2:18" ht="15.75" customHeight="1" thickBot="1" x14ac:dyDescent="0.25">
      <c r="B48" s="310" t="s">
        <v>63</v>
      </c>
      <c r="C48" s="283">
        <f>'Jan 2025-Prodn &amp; Sales Analysis'!C50</f>
        <v>17803</v>
      </c>
      <c r="D48" s="283">
        <f>'Jan 2025-Prodn &amp; Sales Analysis'!D50</f>
        <v>156</v>
      </c>
      <c r="E48" s="283">
        <f>'Jan 2025-Prodn &amp; Sales Analysis'!E50</f>
        <v>17647</v>
      </c>
      <c r="F48" s="283">
        <f>'Jan 2025-Prodn &amp; Sales Analysis'!F50</f>
        <v>4940</v>
      </c>
      <c r="G48" s="283">
        <f>'Jan 2025-Prodn &amp; Sales Analysis'!G50</f>
        <v>10620</v>
      </c>
      <c r="H48" s="283">
        <f>'Jan 2025-Prodn &amp; Sales Analysis'!H50</f>
        <v>15560</v>
      </c>
      <c r="I48" s="283">
        <f>'Jan 2025-Prodn &amp; Sales Analysis'!I50</f>
        <v>224165.62</v>
      </c>
      <c r="J48" s="283">
        <f>'Jan 2025-Prodn &amp; Sales Analysis'!J50</f>
        <v>36620.69</v>
      </c>
      <c r="K48" s="283">
        <f>'Jan 2025-Prodn &amp; Sales Analysis'!K50</f>
        <v>260786.31</v>
      </c>
      <c r="L48" s="627"/>
      <c r="M48" s="290">
        <f t="shared" si="13"/>
        <v>45.377655870445345</v>
      </c>
      <c r="N48" s="285">
        <f t="shared" si="12"/>
        <v>0.35070450475651405</v>
      </c>
      <c r="O48" s="257">
        <f>'Jan 2025-Prodn &amp; Sales Analysis'!O50</f>
        <v>2481.2307692307691</v>
      </c>
      <c r="P48" s="291">
        <f t="shared" si="14"/>
        <v>86.100818452380963</v>
      </c>
      <c r="Q48" s="629"/>
      <c r="R48" s="16"/>
    </row>
    <row r="49" spans="1:18" ht="15.75" customHeight="1" x14ac:dyDescent="0.2">
      <c r="B49" s="318" t="s">
        <v>58</v>
      </c>
      <c r="C49" s="309">
        <f>'Jan 2025-Prodn &amp; Sales Analysis'!C25</f>
        <v>52420</v>
      </c>
      <c r="D49" s="309">
        <f>'Jan 2025-Prodn &amp; Sales Analysis'!D25</f>
        <v>705</v>
      </c>
      <c r="E49" s="309">
        <f>'Jan 2025-Prodn &amp; Sales Analysis'!E25</f>
        <v>51715</v>
      </c>
      <c r="F49" s="309">
        <f>'Jan 2025-Prodn &amp; Sales Analysis'!F25</f>
        <v>61000</v>
      </c>
      <c r="G49" s="309">
        <f>'Jan 2025-Prodn &amp; Sales Analysis'!G25</f>
        <v>480</v>
      </c>
      <c r="H49" s="309">
        <f>'Jan 2025-Prodn &amp; Sales Analysis'!H25</f>
        <v>61480</v>
      </c>
      <c r="I49" s="309">
        <f>'Jan 2025-Prodn &amp; Sales Analysis'!I25</f>
        <v>2321796.35</v>
      </c>
      <c r="J49" s="309">
        <f>'Jan 2025-Prodn &amp; Sales Analysis'!J25</f>
        <v>1655.16</v>
      </c>
      <c r="K49" s="309">
        <f>'Jan 2025-Prodn &amp; Sales Analysis'!K25</f>
        <v>2323451.5100000002</v>
      </c>
      <c r="L49" s="630">
        <f>(F49+F50+F51+F52)/(E49+E50+E51+E52)</f>
        <v>0.78264586450096174</v>
      </c>
      <c r="M49" s="287">
        <f t="shared" si="13"/>
        <v>38.06223524590164</v>
      </c>
      <c r="N49" s="280">
        <f t="shared" si="12"/>
        <v>0.29416674585286068</v>
      </c>
      <c r="O49" s="281">
        <f>'Jan 2025-Prodn &amp; Sales Analysis'!O25</f>
        <v>5210.584615384616</v>
      </c>
      <c r="P49" s="288">
        <f t="shared" si="14"/>
        <v>120.72349773242628</v>
      </c>
      <c r="Q49" s="628">
        <f>(K49+K50+K51+K52)*12/(O49+O50+O51+O52)/129.39</f>
        <v>17.334067088918559</v>
      </c>
      <c r="R49" s="16"/>
    </row>
    <row r="50" spans="1:18" ht="15.75" customHeight="1" x14ac:dyDescent="0.2">
      <c r="B50" s="319" t="s">
        <v>47</v>
      </c>
      <c r="C50" s="320">
        <f>'Jan 2025-Prodn &amp; Sales Analysis'!C52</f>
        <v>25543</v>
      </c>
      <c r="D50" s="320">
        <f>'Jan 2025-Prodn &amp; Sales Analysis'!D52</f>
        <v>490</v>
      </c>
      <c r="E50" s="320">
        <f>'Jan 2025-Prodn &amp; Sales Analysis'!E52</f>
        <v>25053</v>
      </c>
      <c r="F50" s="320">
        <f>'Jan 2025-Prodn &amp; Sales Analysis'!F52</f>
        <v>10780</v>
      </c>
      <c r="G50" s="320">
        <f>'Jan 2025-Prodn &amp; Sales Analysis'!G52</f>
        <v>600</v>
      </c>
      <c r="H50" s="320">
        <f>'Jan 2025-Prodn &amp; Sales Analysis'!H52</f>
        <v>11380</v>
      </c>
      <c r="I50" s="320">
        <f>'Jan 2025-Prodn &amp; Sales Analysis'!I52</f>
        <v>348793.17</v>
      </c>
      <c r="J50" s="320">
        <f>'Jan 2025-Prodn &amp; Sales Analysis'!J52</f>
        <v>2068.96</v>
      </c>
      <c r="K50" s="320">
        <f>'Jan 2025-Prodn &amp; Sales Analysis'!K52</f>
        <v>350862.13</v>
      </c>
      <c r="L50" s="631"/>
      <c r="M50" s="297">
        <f t="shared" si="13"/>
        <v>32.355581632653063</v>
      </c>
      <c r="N50" s="298">
        <f t="shared" si="12"/>
        <v>0.25006245948414146</v>
      </c>
      <c r="O50" s="299">
        <f>'Jan 2025-Prodn &amp; Sales Analysis'!O52</f>
        <v>4993.4769230769225</v>
      </c>
      <c r="P50" s="300">
        <f t="shared" si="14"/>
        <v>61.383281573498977</v>
      </c>
      <c r="Q50" s="633"/>
      <c r="R50" s="16"/>
    </row>
    <row r="51" spans="1:18" ht="15.75" customHeight="1" x14ac:dyDescent="0.2">
      <c r="B51" s="319" t="s">
        <v>64</v>
      </c>
      <c r="C51" s="296">
        <f>'Jan 2025-Prodn &amp; Sales Analysis'!C53</f>
        <v>23429</v>
      </c>
      <c r="D51" s="296">
        <f>'Jan 2025-Prodn &amp; Sales Analysis'!D53</f>
        <v>618</v>
      </c>
      <c r="E51" s="296">
        <f>'Jan 2025-Prodn &amp; Sales Analysis'!E53</f>
        <v>22811</v>
      </c>
      <c r="F51" s="296">
        <f>'Jan 2025-Prodn &amp; Sales Analysis'!F53</f>
        <v>10770</v>
      </c>
      <c r="G51" s="296">
        <f>'Jan 2025-Prodn &amp; Sales Analysis'!G53</f>
        <v>1040</v>
      </c>
      <c r="H51" s="296">
        <f>'Jan 2025-Prodn &amp; Sales Analysis'!H53</f>
        <v>11810</v>
      </c>
      <c r="I51" s="296">
        <f>'Jan 2025-Prodn &amp; Sales Analysis'!I53</f>
        <v>331993.67</v>
      </c>
      <c r="J51" s="296">
        <f>'Jan 2025-Prodn &amp; Sales Analysis'!J53</f>
        <v>3586.2</v>
      </c>
      <c r="K51" s="296">
        <f>'Jan 2025-Prodn &amp; Sales Analysis'!K53</f>
        <v>335579.87</v>
      </c>
      <c r="L51" s="631"/>
      <c r="M51" s="297">
        <f t="shared" si="13"/>
        <v>30.825781801299904</v>
      </c>
      <c r="N51" s="298">
        <f t="shared" si="12"/>
        <v>0.23823929052708792</v>
      </c>
      <c r="O51" s="299">
        <f>'Jan 2025-Prodn &amp; Sales Analysis'!O53</f>
        <v>5009.7230769230764</v>
      </c>
      <c r="P51" s="300">
        <f t="shared" si="14"/>
        <v>56.120467275943398</v>
      </c>
      <c r="Q51" s="633"/>
      <c r="R51" s="16"/>
    </row>
    <row r="52" spans="1:18" ht="15.75" customHeight="1" thickBot="1" x14ac:dyDescent="0.25">
      <c r="B52" s="321" t="s">
        <v>57</v>
      </c>
      <c r="C52" s="315">
        <f>'Jan 2025-Prodn &amp; Sales Analysis'!C49</f>
        <v>17868</v>
      </c>
      <c r="D52" s="315">
        <f>'Jan 2025-Prodn &amp; Sales Analysis'!D49</f>
        <v>472</v>
      </c>
      <c r="E52" s="315">
        <f>'Jan 2025-Prodn &amp; Sales Analysis'!E49</f>
        <v>17396</v>
      </c>
      <c r="F52" s="315">
        <f>'Jan 2025-Prodn &amp; Sales Analysis'!F49</f>
        <v>9000</v>
      </c>
      <c r="G52" s="315">
        <f>'Jan 2025-Prodn &amp; Sales Analysis'!G49</f>
        <v>360</v>
      </c>
      <c r="H52" s="315">
        <f>'Jan 2025-Prodn &amp; Sales Analysis'!H49</f>
        <v>9360</v>
      </c>
      <c r="I52" s="315">
        <f>'Jan 2025-Prodn &amp; Sales Analysis'!I49</f>
        <v>296144.5</v>
      </c>
      <c r="J52" s="315">
        <f>'Jan 2025-Prodn &amp; Sales Analysis'!J49</f>
        <v>1241.3800000000001</v>
      </c>
      <c r="K52" s="315">
        <f>'Jan 2025-Prodn &amp; Sales Analysis'!K49</f>
        <v>297385.88</v>
      </c>
      <c r="L52" s="632"/>
      <c r="M52" s="290">
        <f t="shared" si="13"/>
        <v>32.904944444444446</v>
      </c>
      <c r="N52" s="285">
        <f t="shared" si="12"/>
        <v>0.25430824982181349</v>
      </c>
      <c r="O52" s="257">
        <f>'Jan 2025-Prodn &amp; Sales Analysis'!O49</f>
        <v>2481.2307692307691</v>
      </c>
      <c r="P52" s="291">
        <f t="shared" si="14"/>
        <v>86.415178571428584</v>
      </c>
      <c r="Q52" s="629"/>
      <c r="R52" s="16"/>
    </row>
    <row r="53" spans="1:18" ht="15.75" customHeight="1" x14ac:dyDescent="0.2">
      <c r="B53" s="343" t="s">
        <v>38</v>
      </c>
      <c r="C53" s="344">
        <f>'Jan 2025-Prodn &amp; Sales Analysis'!C46</f>
        <v>18581</v>
      </c>
      <c r="D53" s="344">
        <f>'Jan 2025-Prodn &amp; Sales Analysis'!D46</f>
        <v>704</v>
      </c>
      <c r="E53" s="344">
        <f>'Jan 2025-Prodn &amp; Sales Analysis'!E46</f>
        <v>17877</v>
      </c>
      <c r="F53" s="344">
        <f>'Jan 2025-Prodn &amp; Sales Analysis'!F46</f>
        <v>13520</v>
      </c>
      <c r="G53" s="344">
        <f>'Jan 2025-Prodn &amp; Sales Analysis'!G46</f>
        <v>240</v>
      </c>
      <c r="H53" s="344">
        <f>'Jan 2025-Prodn &amp; Sales Analysis'!H46</f>
        <v>13760</v>
      </c>
      <c r="I53" s="344">
        <f>'Jan 2025-Prodn &amp; Sales Analysis'!I46</f>
        <v>471782.16</v>
      </c>
      <c r="J53" s="344">
        <f>'Jan 2025-Prodn &amp; Sales Analysis'!J46</f>
        <v>827.58</v>
      </c>
      <c r="K53" s="344">
        <f>'Jan 2025-Prodn &amp; Sales Analysis'!K46</f>
        <v>472609.74</v>
      </c>
      <c r="L53" s="324">
        <f>F53/E53</f>
        <v>0.75627901773228168</v>
      </c>
      <c r="M53" s="345">
        <f>I53/F53</f>
        <v>34.895130177514794</v>
      </c>
      <c r="N53" s="346">
        <f t="shared" si="12"/>
        <v>0.2696895446132993</v>
      </c>
      <c r="O53" s="250">
        <f>'Jan 2025-Prodn &amp; Sales Analysis'!O46</f>
        <v>3039.5076923076917</v>
      </c>
      <c r="P53" s="250">
        <f>C53/O53*12</f>
        <v>73.357932458697775</v>
      </c>
      <c r="Q53" s="325">
        <f>(K53*12/O53)/129.39</f>
        <v>14.420487888110102</v>
      </c>
      <c r="R53" s="16"/>
    </row>
    <row r="54" spans="1:18" ht="17.25" customHeight="1" thickBot="1" x14ac:dyDescent="0.25">
      <c r="B54" s="21" t="s">
        <v>35</v>
      </c>
      <c r="C54" s="39">
        <f>SUM(C25:C53)</f>
        <v>813240</v>
      </c>
      <c r="D54" s="39">
        <f t="shared" ref="D54:K54" si="17">SUM(D25:D53)</f>
        <v>11679</v>
      </c>
      <c r="E54" s="39">
        <f t="shared" si="17"/>
        <v>801561</v>
      </c>
      <c r="F54" s="39">
        <f t="shared" si="17"/>
        <v>694260</v>
      </c>
      <c r="G54" s="39">
        <f t="shared" si="17"/>
        <v>39920</v>
      </c>
      <c r="H54" s="39">
        <f t="shared" si="17"/>
        <v>734180</v>
      </c>
      <c r="I54" s="39">
        <f t="shared" si="17"/>
        <v>25914062.130000006</v>
      </c>
      <c r="J54" s="39">
        <f t="shared" si="17"/>
        <v>137655.07</v>
      </c>
      <c r="K54" s="39">
        <f t="shared" si="17"/>
        <v>26051717.199999999</v>
      </c>
      <c r="L54" s="326">
        <f>F54/E54</f>
        <v>0.86613495417067443</v>
      </c>
      <c r="M54" s="39">
        <f>I54/F54</f>
        <v>37.326163296171472</v>
      </c>
      <c r="N54" s="327">
        <f t="shared" si="12"/>
        <v>0.28847796040011964</v>
      </c>
      <c r="O54" s="52">
        <f>SUM(O25:O53)</f>
        <v>106988.30769230764</v>
      </c>
      <c r="P54" s="328">
        <f>(C54/O54)*12</f>
        <v>91.214453340695798</v>
      </c>
      <c r="Q54" s="329">
        <f>(K54*12/O54)/129.39</f>
        <v>22.582944658897048</v>
      </c>
      <c r="R54" s="330"/>
    </row>
    <row r="55" spans="1:18" ht="17.25" customHeight="1" thickTop="1" thickBot="1" x14ac:dyDescent="0.25">
      <c r="B55" s="26" t="s">
        <v>36</v>
      </c>
      <c r="C55" s="331"/>
      <c r="D55" s="275">
        <f>D54/C54</f>
        <v>1.436107422163199E-2</v>
      </c>
      <c r="E55" s="332">
        <f>E54/C54</f>
        <v>0.98563892577836798</v>
      </c>
      <c r="F55" s="333"/>
      <c r="G55" s="30"/>
      <c r="H55" s="30"/>
      <c r="I55" s="30"/>
      <c r="J55" s="30"/>
      <c r="K55" s="30"/>
      <c r="L55" s="32"/>
      <c r="M55" s="30"/>
      <c r="N55" s="43"/>
      <c r="O55" s="34"/>
      <c r="P55" s="34"/>
      <c r="Q55" s="34"/>
    </row>
    <row r="56" spans="1:18" ht="18.75" customHeight="1" thickTop="1" x14ac:dyDescent="0.2">
      <c r="M56" s="45"/>
      <c r="N56" s="46"/>
      <c r="O56" s="47"/>
    </row>
    <row r="57" spans="1:18" s="48" customFormat="1" ht="15" customHeight="1" thickBot="1" x14ac:dyDescent="0.25">
      <c r="B57" s="49" t="s">
        <v>68</v>
      </c>
      <c r="C57" s="50">
        <f t="shared" ref="C57:K57" si="18">C22+C54</f>
        <v>2244188</v>
      </c>
      <c r="D57" s="51">
        <f t="shared" si="18"/>
        <v>35689</v>
      </c>
      <c r="E57" s="51">
        <f t="shared" si="18"/>
        <v>2208499</v>
      </c>
      <c r="F57" s="52">
        <f t="shared" si="18"/>
        <v>1836640</v>
      </c>
      <c r="G57" s="334">
        <f t="shared" si="18"/>
        <v>172680</v>
      </c>
      <c r="H57" s="23">
        <f t="shared" si="18"/>
        <v>2009320</v>
      </c>
      <c r="I57" s="53">
        <f t="shared" si="18"/>
        <v>46547777.480000004</v>
      </c>
      <c r="J57" s="334">
        <f t="shared" si="18"/>
        <v>536988.28</v>
      </c>
      <c r="K57" s="52">
        <f t="shared" si="18"/>
        <v>47084765.759999998</v>
      </c>
      <c r="L57" s="335">
        <f>F57/E57</f>
        <v>0.83162365027106644</v>
      </c>
      <c r="M57" s="53">
        <f>I57/F57</f>
        <v>25.3439854734733</v>
      </c>
      <c r="N57" s="327">
        <f>M57/129.39</f>
        <v>0.19587282999824795</v>
      </c>
      <c r="O57" s="52">
        <f>O54+O22</f>
        <v>193940.67692307686</v>
      </c>
      <c r="P57" s="328">
        <f>(C57/O57)*12</f>
        <v>138.85821389950809</v>
      </c>
      <c r="Q57" s="329">
        <f>(K57*12/O57)/129.39</f>
        <v>22.516041490572743</v>
      </c>
    </row>
    <row r="58" spans="1:18" ht="16.5" customHeight="1" thickTop="1" thickBot="1" x14ac:dyDescent="0.25">
      <c r="B58" s="26" t="s">
        <v>36</v>
      </c>
      <c r="C58" s="336"/>
      <c r="D58" s="337">
        <f>D57/C57</f>
        <v>1.5902856623420142E-2</v>
      </c>
      <c r="E58" s="338">
        <f>E57/C57</f>
        <v>0.98409714337657983</v>
      </c>
      <c r="G58" s="56"/>
      <c r="N58" s="46"/>
    </row>
    <row r="59" spans="1:18" ht="16.5" customHeight="1" thickTop="1" x14ac:dyDescent="0.2">
      <c r="G59" s="57"/>
      <c r="H59" s="45"/>
    </row>
    <row r="60" spans="1:18" ht="16.5" customHeight="1" x14ac:dyDescent="0.2">
      <c r="A60" s="16"/>
      <c r="B60" s="48" t="s">
        <v>69</v>
      </c>
    </row>
    <row r="61" spans="1:18" ht="16.5" customHeight="1" x14ac:dyDescent="0.2">
      <c r="A61" s="16">
        <v>1</v>
      </c>
      <c r="B61" s="16" t="s">
        <v>70</v>
      </c>
    </row>
    <row r="62" spans="1:18" ht="16.5" customHeight="1" x14ac:dyDescent="0.2"/>
    <row r="63" spans="1:18" ht="16.5" customHeight="1" x14ac:dyDescent="0.2"/>
    <row r="64" spans="1:18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</sheetData>
  <mergeCells count="37">
    <mergeCell ref="Q33:Q34"/>
    <mergeCell ref="L41:L42"/>
    <mergeCell ref="Q41:Q42"/>
    <mergeCell ref="L31:L32"/>
    <mergeCell ref="Q31:Q32"/>
    <mergeCell ref="L49:L52"/>
    <mergeCell ref="Q49:Q52"/>
    <mergeCell ref="L39:L40"/>
    <mergeCell ref="Q39:Q40"/>
    <mergeCell ref="L47:L48"/>
    <mergeCell ref="Q47:Q48"/>
    <mergeCell ref="L44:L46"/>
    <mergeCell ref="Q44:Q46"/>
    <mergeCell ref="L15:L16"/>
    <mergeCell ref="Q15:Q16"/>
    <mergeCell ref="L10:L11"/>
    <mergeCell ref="Q10:Q11"/>
    <mergeCell ref="L35:L38"/>
    <mergeCell ref="Q35:Q38"/>
    <mergeCell ref="L18:L20"/>
    <mergeCell ref="Q18:Q20"/>
    <mergeCell ref="B24:Q24"/>
    <mergeCell ref="L29:L30"/>
    <mergeCell ref="Q29:Q30"/>
    <mergeCell ref="L27:L28"/>
    <mergeCell ref="Q27:Q28"/>
    <mergeCell ref="L25:L26"/>
    <mergeCell ref="Q25:Q26"/>
    <mergeCell ref="L33:L34"/>
    <mergeCell ref="B1:Q1"/>
    <mergeCell ref="B2:Q2"/>
    <mergeCell ref="B3:Q3"/>
    <mergeCell ref="B5:Q5"/>
    <mergeCell ref="L8:L9"/>
    <mergeCell ref="Q8:Q9"/>
    <mergeCell ref="L6:L7"/>
    <mergeCell ref="Q6:Q7"/>
  </mergeCells>
  <conditionalFormatting sqref="P6:P21">
    <cfRule type="cellIs" dxfId="64" priority="2" operator="lessThan">
      <formula>140</formula>
    </cfRule>
    <cfRule type="cellIs" priority="3" operator="lessThan">
      <formula>140</formula>
    </cfRule>
    <cfRule type="cellIs" dxfId="63" priority="5" operator="lessThan">
      <formula>140</formula>
    </cfRule>
    <cfRule type="cellIs" dxfId="62" priority="6" operator="lessThan">
      <formula>80</formula>
    </cfRule>
  </conditionalFormatting>
  <conditionalFormatting sqref="P25:P54">
    <cfRule type="cellIs" dxfId="61" priority="1" operator="between">
      <formula>0</formula>
      <formula>78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R118"/>
  <sheetViews>
    <sheetView workbookViewId="0">
      <pane ySplit="4" topLeftCell="A5" activePane="bottomLeft" state="frozen"/>
      <selection pane="bottomLeft" activeCell="R12" sqref="R12"/>
    </sheetView>
  </sheetViews>
  <sheetFormatPr defaultColWidth="9.140625" defaultRowHeight="12" x14ac:dyDescent="0.2"/>
  <cols>
    <col min="1" max="1" width="2" style="1" customWidth="1"/>
    <col min="2" max="2" width="30.28515625" style="1" customWidth="1"/>
    <col min="3" max="3" width="10.5703125" style="44" customWidth="1"/>
    <col min="4" max="4" width="8.28515625" style="1" customWidth="1"/>
    <col min="5" max="5" width="10.7109375" style="1" customWidth="1"/>
    <col min="6" max="6" width="9.7109375" style="44" customWidth="1"/>
    <col min="7" max="7" width="9" style="1" customWidth="1"/>
    <col min="8" max="8" width="10.140625" style="1" customWidth="1"/>
    <col min="9" max="9" width="11.28515625" style="45" customWidth="1"/>
    <col min="10" max="10" width="10.5703125" style="45" customWidth="1"/>
    <col min="11" max="11" width="10.7109375" style="45" customWidth="1"/>
    <col min="12" max="12" width="8.7109375" style="1" customWidth="1"/>
    <col min="13" max="14" width="10.42578125" style="1" customWidth="1"/>
    <col min="15" max="15" width="9.140625" style="1" customWidth="1"/>
    <col min="16" max="16" width="9.85546875" style="47" customWidth="1"/>
    <col min="17" max="17" width="8.5703125" style="16" customWidth="1"/>
    <col min="18" max="18" width="10.5703125" style="1" customWidth="1"/>
    <col min="19" max="16384" width="9.140625" style="1"/>
  </cols>
  <sheetData>
    <row r="1" spans="2:17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7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7" ht="15" x14ac:dyDescent="0.25">
      <c r="B3" s="622">
        <v>45716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7" ht="34.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7" t="s">
        <v>15</v>
      </c>
      <c r="P4" s="8" t="s">
        <v>16</v>
      </c>
      <c r="Q4" s="9" t="s">
        <v>17</v>
      </c>
    </row>
    <row r="5" spans="2:17" ht="16.5" customHeight="1" x14ac:dyDescent="0.25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7" s="16" customFormat="1" ht="15.75" customHeight="1" x14ac:dyDescent="0.2">
      <c r="B6" s="10" t="s">
        <v>30</v>
      </c>
      <c r="C6" s="352">
        <v>105693</v>
      </c>
      <c r="D6" s="352">
        <v>651</v>
      </c>
      <c r="E6" s="190">
        <f t="shared" ref="E6:E21" si="0">C6-D6</f>
        <v>105042</v>
      </c>
      <c r="F6" s="353">
        <v>136996</v>
      </c>
      <c r="G6" s="202">
        <v>480</v>
      </c>
      <c r="H6" s="190">
        <f t="shared" ref="H6:H21" si="1">F6+G6</f>
        <v>137476</v>
      </c>
      <c r="I6" s="353">
        <v>4232224.78</v>
      </c>
      <c r="J6" s="202">
        <v>1448.28</v>
      </c>
      <c r="K6" s="198">
        <f t="shared" ref="K6:K21" si="2">I6+J6</f>
        <v>4233673.0600000005</v>
      </c>
      <c r="L6" s="11">
        <f t="shared" ref="L6:L21" si="3">F6/E6</f>
        <v>1.3042021286723406</v>
      </c>
      <c r="M6" s="12">
        <f t="shared" ref="M6:M21" si="4">I6/F6</f>
        <v>30.893053665800462</v>
      </c>
      <c r="N6" s="13">
        <f>M6/129.3029</f>
        <v>0.23892003710512652</v>
      </c>
      <c r="O6" s="20">
        <v>8374.1538461538439</v>
      </c>
      <c r="P6" s="14">
        <f t="shared" ref="P6:P21" si="5">C6/O6*12</f>
        <v>151.45601851851856</v>
      </c>
      <c r="Q6" s="15">
        <f>(K6*12/O6)/129.3029</f>
        <v>46.919066472826827</v>
      </c>
    </row>
    <row r="7" spans="2:17" s="16" customFormat="1" ht="15.75" customHeight="1" x14ac:dyDescent="0.2">
      <c r="B7" s="10" t="s">
        <v>28</v>
      </c>
      <c r="C7" s="352">
        <v>137469</v>
      </c>
      <c r="D7" s="352">
        <v>790</v>
      </c>
      <c r="E7" s="190">
        <f t="shared" si="0"/>
        <v>136679</v>
      </c>
      <c r="F7" s="353">
        <v>146832</v>
      </c>
      <c r="G7" s="202">
        <v>7280</v>
      </c>
      <c r="H7" s="190">
        <f t="shared" si="1"/>
        <v>154112</v>
      </c>
      <c r="I7" s="353">
        <v>4537884.9799999995</v>
      </c>
      <c r="J7" s="202">
        <v>74706.91</v>
      </c>
      <c r="K7" s="198">
        <f t="shared" si="2"/>
        <v>4612591.8899999997</v>
      </c>
      <c r="L7" s="11">
        <f t="shared" si="3"/>
        <v>1.0742835402658784</v>
      </c>
      <c r="M7" s="12">
        <f t="shared" si="4"/>
        <v>30.905286177400018</v>
      </c>
      <c r="N7" s="13">
        <f t="shared" ref="N7:N21" si="6">M7/129.3029</f>
        <v>0.23901464064147068</v>
      </c>
      <c r="O7" s="14">
        <v>10048.984615384614</v>
      </c>
      <c r="P7" s="14">
        <f t="shared" si="5"/>
        <v>164.15867504409175</v>
      </c>
      <c r="Q7" s="15">
        <f t="shared" ref="Q7:Q21" si="7">(K7*12/O7)/129.3029</f>
        <v>42.59864945321101</v>
      </c>
    </row>
    <row r="8" spans="2:17" s="16" customFormat="1" ht="15.75" customHeight="1" x14ac:dyDescent="0.2">
      <c r="B8" s="10" t="s">
        <v>19</v>
      </c>
      <c r="C8" s="352">
        <v>70724</v>
      </c>
      <c r="D8" s="352">
        <v>1041</v>
      </c>
      <c r="E8" s="190">
        <f t="shared" si="0"/>
        <v>69683</v>
      </c>
      <c r="F8" s="353">
        <v>62146</v>
      </c>
      <c r="G8" s="202">
        <v>5900</v>
      </c>
      <c r="H8" s="190">
        <f t="shared" si="1"/>
        <v>68046</v>
      </c>
      <c r="I8" s="353">
        <v>1165098.1200000001</v>
      </c>
      <c r="J8" s="202">
        <v>18836.21</v>
      </c>
      <c r="K8" s="198">
        <f t="shared" si="2"/>
        <v>1183934.33</v>
      </c>
      <c r="L8" s="11">
        <f t="shared" si="3"/>
        <v>0.89183875550708203</v>
      </c>
      <c r="M8" s="12">
        <f t="shared" si="4"/>
        <v>18.747757216876391</v>
      </c>
      <c r="N8" s="13">
        <f t="shared" si="6"/>
        <v>0.14499100342588134</v>
      </c>
      <c r="O8" s="14">
        <v>3349.6615384615388</v>
      </c>
      <c r="P8" s="14">
        <f t="shared" si="5"/>
        <v>253.36529982363314</v>
      </c>
      <c r="Q8" s="15">
        <f t="shared" si="7"/>
        <v>32.801950423122456</v>
      </c>
    </row>
    <row r="9" spans="2:17" s="16" customFormat="1" ht="15.75" customHeight="1" x14ac:dyDescent="0.2">
      <c r="B9" s="10" t="s">
        <v>29</v>
      </c>
      <c r="C9" s="352">
        <v>38310</v>
      </c>
      <c r="D9" s="352">
        <v>755</v>
      </c>
      <c r="E9" s="190">
        <f t="shared" si="0"/>
        <v>37555</v>
      </c>
      <c r="F9" s="353">
        <v>33306</v>
      </c>
      <c r="G9" s="202">
        <v>100</v>
      </c>
      <c r="H9" s="190">
        <f t="shared" si="1"/>
        <v>33406</v>
      </c>
      <c r="I9" s="353">
        <v>729754.14</v>
      </c>
      <c r="J9" s="202">
        <v>301.72000000000003</v>
      </c>
      <c r="K9" s="198">
        <f t="shared" si="2"/>
        <v>730055.86</v>
      </c>
      <c r="L9" s="11">
        <f t="shared" si="3"/>
        <v>0.88685927306616963</v>
      </c>
      <c r="M9" s="12">
        <f t="shared" si="4"/>
        <v>21.910590884525313</v>
      </c>
      <c r="N9" s="13">
        <f t="shared" si="6"/>
        <v>0.16945165873716145</v>
      </c>
      <c r="O9" s="14">
        <v>2109.0461538461541</v>
      </c>
      <c r="P9" s="14">
        <f t="shared" si="5"/>
        <v>217.97531512605039</v>
      </c>
      <c r="Q9" s="15">
        <f t="shared" si="7"/>
        <v>32.124989040834961</v>
      </c>
    </row>
    <row r="10" spans="2:17" s="16" customFormat="1" ht="15.75" customHeight="1" x14ac:dyDescent="0.2">
      <c r="B10" s="10" t="s">
        <v>32</v>
      </c>
      <c r="C10" s="352">
        <v>64760</v>
      </c>
      <c r="D10" s="352">
        <v>2249</v>
      </c>
      <c r="E10" s="190">
        <f t="shared" si="0"/>
        <v>62511</v>
      </c>
      <c r="F10" s="353">
        <v>60140</v>
      </c>
      <c r="G10" s="202">
        <v>15240</v>
      </c>
      <c r="H10" s="190">
        <f t="shared" si="1"/>
        <v>75380</v>
      </c>
      <c r="I10" s="353">
        <v>1544795.6500000001</v>
      </c>
      <c r="J10" s="202">
        <v>47819.01</v>
      </c>
      <c r="K10" s="198">
        <f t="shared" si="2"/>
        <v>1592614.6600000001</v>
      </c>
      <c r="L10" s="11">
        <f t="shared" si="3"/>
        <v>0.96207067556110126</v>
      </c>
      <c r="M10" s="12">
        <f t="shared" si="4"/>
        <v>25.686658629863654</v>
      </c>
      <c r="N10" s="13">
        <f t="shared" si="6"/>
        <v>0.19865493063081846</v>
      </c>
      <c r="O10" s="14">
        <v>4962.4615384615381</v>
      </c>
      <c r="P10" s="14">
        <f t="shared" si="5"/>
        <v>156.59970238095241</v>
      </c>
      <c r="Q10" s="15">
        <f t="shared" si="7"/>
        <v>29.784240909974439</v>
      </c>
    </row>
    <row r="11" spans="2:17" s="16" customFormat="1" ht="15.75" customHeight="1" x14ac:dyDescent="0.2">
      <c r="B11" s="10" t="s">
        <v>27</v>
      </c>
      <c r="C11" s="352">
        <v>136880</v>
      </c>
      <c r="D11" s="352">
        <v>1285</v>
      </c>
      <c r="E11" s="190">
        <f t="shared" si="0"/>
        <v>135595</v>
      </c>
      <c r="F11" s="353">
        <v>142180</v>
      </c>
      <c r="G11" s="202">
        <v>4640</v>
      </c>
      <c r="H11" s="190">
        <f t="shared" si="1"/>
        <v>146820</v>
      </c>
      <c r="I11" s="353">
        <v>2634218.5300000003</v>
      </c>
      <c r="J11" s="202">
        <v>14206.89</v>
      </c>
      <c r="K11" s="198">
        <f t="shared" si="2"/>
        <v>2648425.4200000004</v>
      </c>
      <c r="L11" s="11">
        <f t="shared" si="3"/>
        <v>1.048563737600944</v>
      </c>
      <c r="M11" s="12">
        <f t="shared" si="4"/>
        <v>18.527349345899566</v>
      </c>
      <c r="N11" s="13">
        <f t="shared" si="6"/>
        <v>0.14328641775164799</v>
      </c>
      <c r="O11" s="14">
        <v>8684.3076923076933</v>
      </c>
      <c r="P11" s="14">
        <f t="shared" si="5"/>
        <v>189.14115646258503</v>
      </c>
      <c r="Q11" s="15">
        <f t="shared" si="7"/>
        <v>28.302547367118468</v>
      </c>
    </row>
    <row r="12" spans="2:17" s="16" customFormat="1" ht="15.75" customHeight="1" x14ac:dyDescent="0.2">
      <c r="B12" s="10" t="s">
        <v>34</v>
      </c>
      <c r="C12" s="352">
        <v>97855</v>
      </c>
      <c r="D12" s="352">
        <v>691</v>
      </c>
      <c r="E12" s="190">
        <f t="shared" si="0"/>
        <v>97164</v>
      </c>
      <c r="F12" s="353">
        <v>95990</v>
      </c>
      <c r="G12" s="202">
        <v>1480</v>
      </c>
      <c r="H12" s="190">
        <f t="shared" si="1"/>
        <v>97470</v>
      </c>
      <c r="I12" s="353">
        <v>1542245.9000000001</v>
      </c>
      <c r="J12" s="202">
        <v>4672.42</v>
      </c>
      <c r="K12" s="198">
        <f t="shared" si="2"/>
        <v>1546918.32</v>
      </c>
      <c r="L12" s="11">
        <f t="shared" si="3"/>
        <v>0.98791733563871398</v>
      </c>
      <c r="M12" s="12">
        <f t="shared" si="4"/>
        <v>16.066735076570478</v>
      </c>
      <c r="N12" s="13">
        <f t="shared" si="6"/>
        <v>0.12425657179050492</v>
      </c>
      <c r="O12" s="14">
        <v>5334.6461538461526</v>
      </c>
      <c r="P12" s="14">
        <f t="shared" si="5"/>
        <v>220.11956672203772</v>
      </c>
      <c r="Q12" s="15">
        <f t="shared" si="7"/>
        <v>26.911304201837197</v>
      </c>
    </row>
    <row r="13" spans="2:17" s="16" customFormat="1" ht="15.75" customHeight="1" x14ac:dyDescent="0.2">
      <c r="B13" s="10" t="s">
        <v>20</v>
      </c>
      <c r="C13" s="352">
        <v>173760</v>
      </c>
      <c r="D13" s="352">
        <v>2121</v>
      </c>
      <c r="E13" s="190">
        <f t="shared" si="0"/>
        <v>171639</v>
      </c>
      <c r="F13" s="353">
        <v>178886</v>
      </c>
      <c r="G13" s="202">
        <v>11260</v>
      </c>
      <c r="H13" s="190">
        <f t="shared" si="1"/>
        <v>190146</v>
      </c>
      <c r="I13" s="353">
        <v>2630888.11</v>
      </c>
      <c r="J13" s="202">
        <v>35810.339999999997</v>
      </c>
      <c r="K13" s="198">
        <f t="shared" si="2"/>
        <v>2666698.4499999997</v>
      </c>
      <c r="L13" s="11">
        <f t="shared" si="3"/>
        <v>1.0422223387458562</v>
      </c>
      <c r="M13" s="12">
        <f t="shared" si="4"/>
        <v>14.707065449504153</v>
      </c>
      <c r="N13" s="13">
        <f t="shared" si="6"/>
        <v>0.11374118793549219</v>
      </c>
      <c r="O13" s="14">
        <v>10545.230769230768</v>
      </c>
      <c r="P13" s="14">
        <f t="shared" si="5"/>
        <v>197.73109243697485</v>
      </c>
      <c r="Q13" s="15">
        <f t="shared" si="7"/>
        <v>23.46879551969122</v>
      </c>
    </row>
    <row r="14" spans="2:17" s="16" customFormat="1" ht="15.75" customHeight="1" x14ac:dyDescent="0.2">
      <c r="B14" s="10" t="s">
        <v>21</v>
      </c>
      <c r="C14" s="352">
        <v>60710</v>
      </c>
      <c r="D14" s="352">
        <v>1122</v>
      </c>
      <c r="E14" s="190">
        <f t="shared" si="0"/>
        <v>59588</v>
      </c>
      <c r="F14" s="353">
        <v>58310</v>
      </c>
      <c r="G14" s="202">
        <v>1560</v>
      </c>
      <c r="H14" s="190">
        <f t="shared" si="1"/>
        <v>59870</v>
      </c>
      <c r="I14" s="353">
        <v>1219560.22</v>
      </c>
      <c r="J14" s="202">
        <v>4706.8900000000003</v>
      </c>
      <c r="K14" s="198">
        <f t="shared" si="2"/>
        <v>1224267.1099999999</v>
      </c>
      <c r="L14" s="11">
        <f t="shared" si="3"/>
        <v>0.97855272873732968</v>
      </c>
      <c r="M14" s="12">
        <f t="shared" si="4"/>
        <v>20.915112673640884</v>
      </c>
      <c r="N14" s="13">
        <f t="shared" si="6"/>
        <v>0.1617528506602782</v>
      </c>
      <c r="O14" s="14">
        <v>5371.8646153846139</v>
      </c>
      <c r="P14" s="14">
        <f t="shared" si="5"/>
        <v>135.61771417573962</v>
      </c>
      <c r="Q14" s="15">
        <f t="shared" si="7"/>
        <v>21.150668778967347</v>
      </c>
    </row>
    <row r="15" spans="2:17" s="16" customFormat="1" ht="15.75" customHeight="1" x14ac:dyDescent="0.2">
      <c r="B15" s="10" t="s">
        <v>24</v>
      </c>
      <c r="C15" s="352">
        <v>84656</v>
      </c>
      <c r="D15" s="352">
        <v>872</v>
      </c>
      <c r="E15" s="190">
        <f t="shared" si="0"/>
        <v>83784</v>
      </c>
      <c r="F15" s="353">
        <v>80564</v>
      </c>
      <c r="G15" s="202">
        <v>3160</v>
      </c>
      <c r="H15" s="190">
        <f t="shared" si="1"/>
        <v>83724</v>
      </c>
      <c r="I15" s="353">
        <v>1061007.95</v>
      </c>
      <c r="J15" s="202">
        <v>9534.5</v>
      </c>
      <c r="K15" s="198">
        <f t="shared" si="2"/>
        <v>1070542.45</v>
      </c>
      <c r="L15" s="11">
        <f t="shared" si="3"/>
        <v>0.96156784111524873</v>
      </c>
      <c r="M15" s="12">
        <f t="shared" si="4"/>
        <v>13.169752619035798</v>
      </c>
      <c r="N15" s="13">
        <f t="shared" si="6"/>
        <v>0.101851950876862</v>
      </c>
      <c r="O15" s="14">
        <v>5302.1538461538457</v>
      </c>
      <c r="P15" s="14">
        <f t="shared" si="5"/>
        <v>191.59610027855155</v>
      </c>
      <c r="Q15" s="15">
        <f t="shared" si="7"/>
        <v>18.738056697713898</v>
      </c>
    </row>
    <row r="16" spans="2:17" s="16" customFormat="1" ht="15.75" customHeight="1" x14ac:dyDescent="0.2">
      <c r="B16" s="10" t="s">
        <v>25</v>
      </c>
      <c r="C16" s="352">
        <v>70675</v>
      </c>
      <c r="D16" s="352">
        <v>776</v>
      </c>
      <c r="E16" s="190">
        <f t="shared" si="0"/>
        <v>69899</v>
      </c>
      <c r="F16" s="353">
        <v>57584</v>
      </c>
      <c r="G16" s="202">
        <v>3220</v>
      </c>
      <c r="H16" s="190">
        <f t="shared" si="1"/>
        <v>60804</v>
      </c>
      <c r="I16" s="353">
        <v>940660.26</v>
      </c>
      <c r="J16" s="202">
        <v>9715.5300000000007</v>
      </c>
      <c r="K16" s="198">
        <f t="shared" si="2"/>
        <v>950375.79</v>
      </c>
      <c r="L16" s="11">
        <f t="shared" si="3"/>
        <v>0.82381722199173091</v>
      </c>
      <c r="M16" s="12">
        <f t="shared" si="4"/>
        <v>16.335444915254236</v>
      </c>
      <c r="N16" s="13">
        <f t="shared" si="6"/>
        <v>0.12633471418857764</v>
      </c>
      <c r="O16" s="14">
        <v>4794.0923076923082</v>
      </c>
      <c r="P16" s="14">
        <f t="shared" si="5"/>
        <v>176.90522951324706</v>
      </c>
      <c r="Q16" s="15">
        <f t="shared" si="7"/>
        <v>18.397633090141927</v>
      </c>
    </row>
    <row r="17" spans="2:18" s="16" customFormat="1" ht="15.75" customHeight="1" x14ac:dyDescent="0.2">
      <c r="B17" s="10" t="s">
        <v>22</v>
      </c>
      <c r="C17" s="352">
        <v>60082</v>
      </c>
      <c r="D17" s="352">
        <v>842</v>
      </c>
      <c r="E17" s="190">
        <f t="shared" si="0"/>
        <v>59240</v>
      </c>
      <c r="F17" s="353">
        <v>56124</v>
      </c>
      <c r="G17" s="202">
        <v>4340</v>
      </c>
      <c r="H17" s="190">
        <f t="shared" si="1"/>
        <v>60464</v>
      </c>
      <c r="I17" s="353">
        <v>857485.48999999987</v>
      </c>
      <c r="J17" s="202">
        <v>13094.82</v>
      </c>
      <c r="K17" s="198">
        <f t="shared" si="2"/>
        <v>870580.30999999982</v>
      </c>
      <c r="L17" s="11">
        <f t="shared" si="3"/>
        <v>0.94740040513166779</v>
      </c>
      <c r="M17" s="12">
        <f t="shared" si="4"/>
        <v>15.278410127574654</v>
      </c>
      <c r="N17" s="13">
        <f t="shared" si="6"/>
        <v>0.11815984117583329</v>
      </c>
      <c r="O17" s="351">
        <v>4962.4615384615381</v>
      </c>
      <c r="P17" s="14">
        <f t="shared" si="5"/>
        <v>145.2875744047619</v>
      </c>
      <c r="Q17" s="15">
        <f t="shared" si="7"/>
        <v>16.28113462456777</v>
      </c>
    </row>
    <row r="18" spans="2:18" s="16" customFormat="1" ht="15.75" customHeight="1" x14ac:dyDescent="0.2">
      <c r="B18" s="10" t="s">
        <v>26</v>
      </c>
      <c r="C18" s="352">
        <v>40260</v>
      </c>
      <c r="D18" s="352">
        <v>1086</v>
      </c>
      <c r="E18" s="190">
        <f t="shared" si="0"/>
        <v>39174</v>
      </c>
      <c r="F18" s="353">
        <v>27550</v>
      </c>
      <c r="G18" s="202">
        <v>3720</v>
      </c>
      <c r="H18" s="190">
        <f t="shared" si="1"/>
        <v>31270</v>
      </c>
      <c r="I18" s="353">
        <v>394210.95</v>
      </c>
      <c r="J18" s="202">
        <v>11224.15</v>
      </c>
      <c r="K18" s="198">
        <f t="shared" si="2"/>
        <v>405435.10000000003</v>
      </c>
      <c r="L18" s="11">
        <f t="shared" si="3"/>
        <v>0.70327257875121252</v>
      </c>
      <c r="M18" s="12">
        <f t="shared" si="4"/>
        <v>14.308927404718693</v>
      </c>
      <c r="N18" s="13">
        <f t="shared" si="6"/>
        <v>0.11066207644777258</v>
      </c>
      <c r="O18" s="14">
        <v>2357.1692307692306</v>
      </c>
      <c r="P18" s="14">
        <f t="shared" si="5"/>
        <v>204.95770676691728</v>
      </c>
      <c r="Q18" s="15">
        <f t="shared" si="7"/>
        <v>15.962597455616693</v>
      </c>
    </row>
    <row r="19" spans="2:18" s="16" customFormat="1" ht="15.75" customHeight="1" x14ac:dyDescent="0.2">
      <c r="B19" s="10" t="s">
        <v>23</v>
      </c>
      <c r="C19" s="352">
        <v>61225</v>
      </c>
      <c r="D19" s="352">
        <v>969</v>
      </c>
      <c r="E19" s="190">
        <f t="shared" si="0"/>
        <v>60256</v>
      </c>
      <c r="F19" s="353">
        <v>52108</v>
      </c>
      <c r="G19" s="202">
        <v>3240</v>
      </c>
      <c r="H19" s="190">
        <f t="shared" si="1"/>
        <v>55348</v>
      </c>
      <c r="I19" s="353">
        <v>842366.24</v>
      </c>
      <c r="J19" s="202">
        <v>9775.8799999999992</v>
      </c>
      <c r="K19" s="198">
        <f t="shared" si="2"/>
        <v>852142.12</v>
      </c>
      <c r="L19" s="11">
        <f t="shared" si="3"/>
        <v>0.8647769516728625</v>
      </c>
      <c r="M19" s="12">
        <f t="shared" si="4"/>
        <v>16.165775696630075</v>
      </c>
      <c r="N19" s="13">
        <f t="shared" si="6"/>
        <v>0.12502253001773414</v>
      </c>
      <c r="O19" s="14">
        <v>5173.3661538461538</v>
      </c>
      <c r="P19" s="14">
        <f t="shared" si="5"/>
        <v>142.01585160443074</v>
      </c>
      <c r="Q19" s="15">
        <f t="shared" si="7"/>
        <v>15.286631465048229</v>
      </c>
    </row>
    <row r="20" spans="2:18" s="16" customFormat="1" ht="15.75" customHeight="1" x14ac:dyDescent="0.2">
      <c r="B20" s="10" t="s">
        <v>31</v>
      </c>
      <c r="C20" s="352">
        <v>27130</v>
      </c>
      <c r="D20" s="352">
        <v>587</v>
      </c>
      <c r="E20" s="190">
        <f t="shared" si="0"/>
        <v>26543</v>
      </c>
      <c r="F20" s="353">
        <v>27318</v>
      </c>
      <c r="G20" s="202">
        <v>640</v>
      </c>
      <c r="H20" s="190">
        <f t="shared" si="1"/>
        <v>27958</v>
      </c>
      <c r="I20" s="353">
        <v>418574.05</v>
      </c>
      <c r="J20" s="202">
        <v>1931.04</v>
      </c>
      <c r="K20" s="198">
        <f t="shared" si="2"/>
        <v>420505.08999999997</v>
      </c>
      <c r="L20" s="11">
        <f t="shared" si="3"/>
        <v>1.0291979052857627</v>
      </c>
      <c r="M20" s="12">
        <f t="shared" si="4"/>
        <v>15.322280181565269</v>
      </c>
      <c r="N20" s="13">
        <f t="shared" si="6"/>
        <v>0.11849912246024853</v>
      </c>
      <c r="O20" s="14">
        <v>2977.4769230769234</v>
      </c>
      <c r="P20" s="14">
        <f t="shared" si="5"/>
        <v>109.3408978174603</v>
      </c>
      <c r="Q20" s="15">
        <f t="shared" si="7"/>
        <v>13.106774684206496</v>
      </c>
      <c r="R20" s="16" t="s">
        <v>118</v>
      </c>
    </row>
    <row r="21" spans="2:18" s="16" customFormat="1" ht="15.75" customHeight="1" x14ac:dyDescent="0.2">
      <c r="B21" s="17" t="s">
        <v>33</v>
      </c>
      <c r="C21" s="355">
        <v>26607</v>
      </c>
      <c r="D21" s="355">
        <v>591</v>
      </c>
      <c r="E21" s="193">
        <f t="shared" si="0"/>
        <v>26016</v>
      </c>
      <c r="F21" s="356">
        <v>20035</v>
      </c>
      <c r="G21" s="357">
        <v>940</v>
      </c>
      <c r="H21" s="193">
        <f t="shared" si="1"/>
        <v>20975</v>
      </c>
      <c r="I21" s="356">
        <v>299096.01</v>
      </c>
      <c r="J21" s="357">
        <v>2836.21</v>
      </c>
      <c r="K21" s="205">
        <f t="shared" si="2"/>
        <v>301932.22000000003</v>
      </c>
      <c r="L21" s="358">
        <f t="shared" si="3"/>
        <v>0.77010301353013533</v>
      </c>
      <c r="M21" s="18">
        <f t="shared" si="4"/>
        <v>14.928675318193163</v>
      </c>
      <c r="N21" s="13">
        <f t="shared" si="6"/>
        <v>0.11545506959390055</v>
      </c>
      <c r="O21" s="19">
        <v>2605.292307692308</v>
      </c>
      <c r="P21" s="19">
        <f t="shared" si="5"/>
        <v>122.55208333333333</v>
      </c>
      <c r="Q21" s="15">
        <f t="shared" si="7"/>
        <v>10.755385563156281</v>
      </c>
    </row>
    <row r="22" spans="2:18" ht="15.75" customHeight="1" thickBot="1" x14ac:dyDescent="0.25">
      <c r="B22" s="21" t="s">
        <v>35</v>
      </c>
      <c r="C22" s="39">
        <f t="shared" ref="C22:K22" si="8">SUM(C6:C21)</f>
        <v>1256796</v>
      </c>
      <c r="D22" s="39">
        <f t="shared" si="8"/>
        <v>16428</v>
      </c>
      <c r="E22" s="39">
        <f t="shared" si="8"/>
        <v>1240368</v>
      </c>
      <c r="F22" s="39">
        <f t="shared" si="8"/>
        <v>1236069</v>
      </c>
      <c r="G22" s="39">
        <f t="shared" si="8"/>
        <v>67200</v>
      </c>
      <c r="H22" s="39">
        <f t="shared" si="8"/>
        <v>1303269</v>
      </c>
      <c r="I22" s="39">
        <f t="shared" si="8"/>
        <v>25050071.379999999</v>
      </c>
      <c r="J22" s="39">
        <f t="shared" si="8"/>
        <v>260620.80000000005</v>
      </c>
      <c r="K22" s="39">
        <f t="shared" si="8"/>
        <v>25310692.179999996</v>
      </c>
      <c r="L22" s="361">
        <f t="shared" ref="L22" si="9">F22/E22</f>
        <v>0.9965340931078519</v>
      </c>
      <c r="M22" s="23">
        <f t="shared" ref="M22" si="10">I22/F22</f>
        <v>20.265916692352935</v>
      </c>
      <c r="N22" s="24">
        <f>M22/129.3029</f>
        <v>0.1567321126776966</v>
      </c>
      <c r="O22" s="39">
        <f>SUM(O6:O21)</f>
        <v>86952.369230769211</v>
      </c>
      <c r="P22" s="25">
        <f t="shared" ref="P22" si="11">C22/O22*12</f>
        <v>173.44613071984242</v>
      </c>
      <c r="Q22" s="24">
        <f>(K22*12/O22)/129.3029</f>
        <v>27.014415972463844</v>
      </c>
    </row>
    <row r="23" spans="2:18" ht="17.25" customHeight="1" thickTop="1" thickBot="1" x14ac:dyDescent="0.25">
      <c r="B23" s="26" t="s">
        <v>36</v>
      </c>
      <c r="C23" s="27"/>
      <c r="D23" s="28">
        <f>D22/C22</f>
        <v>1.3071333772545424E-2</v>
      </c>
      <c r="E23" s="29">
        <f>E22/C22</f>
        <v>0.98692866622745457</v>
      </c>
      <c r="F23" s="30"/>
      <c r="G23" s="31"/>
      <c r="H23" s="30"/>
      <c r="I23" s="30"/>
      <c r="J23" s="30"/>
      <c r="K23" s="30"/>
      <c r="L23" s="32"/>
      <c r="M23" s="30"/>
      <c r="N23" s="33"/>
      <c r="O23" s="34"/>
      <c r="P23" s="34"/>
      <c r="Q23" s="35"/>
    </row>
    <row r="24" spans="2:18" ht="21" customHeight="1" thickTop="1" x14ac:dyDescent="0.25">
      <c r="B24" s="624" t="s">
        <v>37</v>
      </c>
      <c r="C24" s="620"/>
      <c r="D24" s="620"/>
      <c r="E24" s="620"/>
      <c r="F24" s="620"/>
      <c r="G24" s="620"/>
      <c r="H24" s="620"/>
      <c r="I24" s="620"/>
      <c r="J24" s="620"/>
      <c r="K24" s="620"/>
      <c r="L24" s="625"/>
      <c r="M24" s="625"/>
      <c r="N24" s="625"/>
      <c r="O24" s="625"/>
      <c r="P24" s="625"/>
      <c r="Q24" s="625"/>
    </row>
    <row r="25" spans="2:18" ht="14.25" customHeight="1" x14ac:dyDescent="0.2">
      <c r="B25" s="13" t="s">
        <v>51</v>
      </c>
      <c r="C25" s="352">
        <v>75777</v>
      </c>
      <c r="D25" s="352">
        <v>882</v>
      </c>
      <c r="E25" s="200">
        <f t="shared" ref="E25:E53" si="12">C25-D25</f>
        <v>74895</v>
      </c>
      <c r="F25" s="353">
        <v>75430</v>
      </c>
      <c r="G25" s="202">
        <v>6240</v>
      </c>
      <c r="H25" s="202">
        <f t="shared" ref="H25:H53" si="13">F25+G25</f>
        <v>81670</v>
      </c>
      <c r="I25" s="353">
        <v>3634112.9</v>
      </c>
      <c r="J25" s="202">
        <v>64551.74</v>
      </c>
      <c r="K25" s="200">
        <f t="shared" ref="K25:K53" si="14">I25+J25</f>
        <v>3698664.64</v>
      </c>
      <c r="L25" s="36">
        <f t="shared" ref="L25:L53" si="15">F25/E25</f>
        <v>1.0071433340009346</v>
      </c>
      <c r="M25" s="20">
        <f t="shared" ref="M25:M53" si="16">I25/F25</f>
        <v>48.178614609571788</v>
      </c>
      <c r="N25" s="37">
        <f>M25/129.3029</f>
        <v>0.37260273829567464</v>
      </c>
      <c r="O25" s="20">
        <v>8436.1846153846163</v>
      </c>
      <c r="P25" s="190">
        <f t="shared" ref="P25:P53" si="17">C25/O25*12</f>
        <v>107.78853728991595</v>
      </c>
      <c r="Q25" s="15">
        <f>(K25*12/O25)/129.3029</f>
        <v>40.688516980647137</v>
      </c>
    </row>
    <row r="26" spans="2:18" ht="14.25" customHeight="1" x14ac:dyDescent="0.2">
      <c r="B26" s="13" t="s">
        <v>42</v>
      </c>
      <c r="C26" s="352">
        <v>17052</v>
      </c>
      <c r="D26" s="352">
        <v>347</v>
      </c>
      <c r="E26" s="200">
        <f t="shared" si="12"/>
        <v>16705</v>
      </c>
      <c r="F26" s="353">
        <v>17380</v>
      </c>
      <c r="G26" s="202">
        <v>980</v>
      </c>
      <c r="H26" s="202">
        <f t="shared" si="13"/>
        <v>18360</v>
      </c>
      <c r="I26" s="353">
        <v>1017713.9200000002</v>
      </c>
      <c r="J26" s="202">
        <v>11931.04</v>
      </c>
      <c r="K26" s="200">
        <f t="shared" si="14"/>
        <v>1029644.9600000002</v>
      </c>
      <c r="L26" s="36">
        <f t="shared" si="15"/>
        <v>1.0404070637533673</v>
      </c>
      <c r="M26" s="20">
        <f t="shared" si="16"/>
        <v>58.556612197928665</v>
      </c>
      <c r="N26" s="37">
        <f t="shared" ref="N26:N53" si="18">M26/129.3029</f>
        <v>0.45286387388008054</v>
      </c>
      <c r="O26" s="20">
        <v>2357.1692307692306</v>
      </c>
      <c r="P26" s="190">
        <f t="shared" si="17"/>
        <v>86.809210526315795</v>
      </c>
      <c r="Q26" s="15">
        <f t="shared" ref="Q26:Q53" si="19">(K26*12/O26)/129.3029</f>
        <v>40.538690455475013</v>
      </c>
    </row>
    <row r="27" spans="2:18" ht="14.25" customHeight="1" x14ac:dyDescent="0.2">
      <c r="B27" s="13" t="s">
        <v>58</v>
      </c>
      <c r="C27" s="352">
        <v>57071</v>
      </c>
      <c r="D27" s="352">
        <v>962</v>
      </c>
      <c r="E27" s="200">
        <f t="shared" si="12"/>
        <v>56109</v>
      </c>
      <c r="F27" s="353">
        <v>63130</v>
      </c>
      <c r="G27" s="202">
        <v>1200</v>
      </c>
      <c r="H27" s="202">
        <f t="shared" si="13"/>
        <v>64330</v>
      </c>
      <c r="I27" s="353">
        <v>2247751.4899999998</v>
      </c>
      <c r="J27" s="202">
        <v>4137.92</v>
      </c>
      <c r="K27" s="200">
        <f t="shared" si="14"/>
        <v>2251889.4099999997</v>
      </c>
      <c r="L27" s="36">
        <f t="shared" si="15"/>
        <v>1.1251314405888539</v>
      </c>
      <c r="M27" s="20">
        <f t="shared" si="16"/>
        <v>35.605124188183112</v>
      </c>
      <c r="N27" s="37">
        <f t="shared" si="18"/>
        <v>0.27536214723863978</v>
      </c>
      <c r="O27" s="20">
        <v>5210.584615384616</v>
      </c>
      <c r="P27" s="190">
        <f t="shared" si="17"/>
        <v>131.43477182539681</v>
      </c>
      <c r="Q27" s="15">
        <f t="shared" si="19"/>
        <v>40.108238282980388</v>
      </c>
    </row>
    <row r="28" spans="2:18" ht="14.25" customHeight="1" x14ac:dyDescent="0.2">
      <c r="B28" s="13" t="s">
        <v>52</v>
      </c>
      <c r="C28" s="352">
        <v>53881</v>
      </c>
      <c r="D28" s="352">
        <v>607</v>
      </c>
      <c r="E28" s="200">
        <f t="shared" si="12"/>
        <v>53274</v>
      </c>
      <c r="F28" s="353">
        <v>49610</v>
      </c>
      <c r="G28" s="202">
        <v>3480</v>
      </c>
      <c r="H28" s="202">
        <f t="shared" si="13"/>
        <v>53090</v>
      </c>
      <c r="I28" s="353">
        <v>1844403.19</v>
      </c>
      <c r="J28" s="202">
        <v>11999.98</v>
      </c>
      <c r="K28" s="200">
        <f t="shared" si="14"/>
        <v>1856403.17</v>
      </c>
      <c r="L28" s="36">
        <f t="shared" si="15"/>
        <v>0.93122348612831773</v>
      </c>
      <c r="M28" s="20">
        <f t="shared" si="16"/>
        <v>37.178052610360815</v>
      </c>
      <c r="N28" s="37">
        <f t="shared" si="18"/>
        <v>0.28752682739799973</v>
      </c>
      <c r="O28" s="20">
        <v>5024.4923076923069</v>
      </c>
      <c r="P28" s="190">
        <f t="shared" si="17"/>
        <v>128.68404614932396</v>
      </c>
      <c r="Q28" s="15">
        <f t="shared" si="19"/>
        <v>34.288863948316788</v>
      </c>
    </row>
    <row r="29" spans="2:18" ht="14.25" customHeight="1" x14ac:dyDescent="0.2">
      <c r="B29" s="13" t="s">
        <v>46</v>
      </c>
      <c r="C29" s="352">
        <v>48866</v>
      </c>
      <c r="D29" s="352">
        <v>571</v>
      </c>
      <c r="E29" s="200">
        <f t="shared" si="12"/>
        <v>48295</v>
      </c>
      <c r="F29" s="353">
        <v>39140</v>
      </c>
      <c r="G29" s="202">
        <v>2540</v>
      </c>
      <c r="H29" s="202">
        <f t="shared" si="13"/>
        <v>41680</v>
      </c>
      <c r="I29" s="353">
        <v>1762019.67</v>
      </c>
      <c r="J29" s="202">
        <v>8758.6200000000008</v>
      </c>
      <c r="K29" s="200">
        <f t="shared" si="14"/>
        <v>1770778.29</v>
      </c>
      <c r="L29" s="36">
        <f t="shared" si="15"/>
        <v>0.81043586292576875</v>
      </c>
      <c r="M29" s="20">
        <f t="shared" si="16"/>
        <v>45.018387072049052</v>
      </c>
      <c r="N29" s="37">
        <f t="shared" si="18"/>
        <v>0.34816223821777437</v>
      </c>
      <c r="O29" s="20">
        <v>5027.4461538461537</v>
      </c>
      <c r="P29" s="190">
        <f t="shared" si="17"/>
        <v>116.63814629847239</v>
      </c>
      <c r="Q29" s="15">
        <f t="shared" si="19"/>
        <v>32.688104805398417</v>
      </c>
    </row>
    <row r="30" spans="2:18" ht="14.25" customHeight="1" x14ac:dyDescent="0.2">
      <c r="B30" s="13" t="s">
        <v>49</v>
      </c>
      <c r="C30" s="352">
        <v>49471</v>
      </c>
      <c r="D30" s="352">
        <v>463</v>
      </c>
      <c r="E30" s="200">
        <f t="shared" si="12"/>
        <v>49008</v>
      </c>
      <c r="F30" s="353">
        <v>46940</v>
      </c>
      <c r="G30" s="202">
        <v>2420</v>
      </c>
      <c r="H30" s="202">
        <f t="shared" si="13"/>
        <v>49360</v>
      </c>
      <c r="I30" s="353">
        <v>1746017.3900000001</v>
      </c>
      <c r="J30" s="202">
        <v>9379.31</v>
      </c>
      <c r="K30" s="200">
        <f t="shared" si="14"/>
        <v>1755396.7000000002</v>
      </c>
      <c r="L30" s="36">
        <f t="shared" si="15"/>
        <v>0.95780280770486448</v>
      </c>
      <c r="M30" s="20">
        <f t="shared" si="16"/>
        <v>37.196791435875589</v>
      </c>
      <c r="N30" s="37">
        <f t="shared" si="18"/>
        <v>0.28767174932561906</v>
      </c>
      <c r="O30" s="20">
        <v>5024.4923076923069</v>
      </c>
      <c r="P30" s="190">
        <f t="shared" si="17"/>
        <v>118.15163874191654</v>
      </c>
      <c r="Q30" s="15">
        <f t="shared" si="19"/>
        <v>32.423214738221041</v>
      </c>
    </row>
    <row r="31" spans="2:18" ht="14.25" customHeight="1" x14ac:dyDescent="0.2">
      <c r="B31" s="13" t="s">
        <v>45</v>
      </c>
      <c r="C31" s="352">
        <v>19415</v>
      </c>
      <c r="D31" s="352">
        <v>269</v>
      </c>
      <c r="E31" s="200">
        <f t="shared" si="12"/>
        <v>19146</v>
      </c>
      <c r="F31" s="353">
        <v>20550</v>
      </c>
      <c r="G31" s="202">
        <v>20</v>
      </c>
      <c r="H31" s="202">
        <f t="shared" si="13"/>
        <v>20570</v>
      </c>
      <c r="I31" s="353">
        <v>860757.85</v>
      </c>
      <c r="J31" s="202">
        <v>68.97</v>
      </c>
      <c r="K31" s="200">
        <f t="shared" si="14"/>
        <v>860826.82</v>
      </c>
      <c r="L31" s="36">
        <f t="shared" si="15"/>
        <v>1.073331244124099</v>
      </c>
      <c r="M31" s="20">
        <f t="shared" si="16"/>
        <v>41.886026763990266</v>
      </c>
      <c r="N31" s="37">
        <f t="shared" si="18"/>
        <v>0.32393725712254146</v>
      </c>
      <c r="O31" s="20">
        <v>2481.2307692307691</v>
      </c>
      <c r="P31" s="190">
        <f t="shared" si="17"/>
        <v>93.896949404761912</v>
      </c>
      <c r="Q31" s="15">
        <f t="shared" si="19"/>
        <v>32.197459978984746</v>
      </c>
    </row>
    <row r="32" spans="2:18" ht="14.25" customHeight="1" x14ac:dyDescent="0.2">
      <c r="B32" s="13" t="s">
        <v>43</v>
      </c>
      <c r="C32" s="352">
        <v>28827</v>
      </c>
      <c r="D32" s="352">
        <v>260</v>
      </c>
      <c r="E32" s="200">
        <f t="shared" si="12"/>
        <v>28567</v>
      </c>
      <c r="F32" s="353">
        <v>24140</v>
      </c>
      <c r="G32" s="202">
        <v>580</v>
      </c>
      <c r="H32" s="202">
        <f t="shared" si="13"/>
        <v>24720</v>
      </c>
      <c r="I32" s="353">
        <v>891889.1</v>
      </c>
      <c r="J32" s="202">
        <v>2103.44</v>
      </c>
      <c r="K32" s="200">
        <f t="shared" si="14"/>
        <v>893992.53999999992</v>
      </c>
      <c r="L32" s="36">
        <f t="shared" si="15"/>
        <v>0.84503097980186925</v>
      </c>
      <c r="M32" s="20">
        <f t="shared" si="16"/>
        <v>36.946524440762218</v>
      </c>
      <c r="N32" s="37">
        <f t="shared" si="18"/>
        <v>0.28573623979634039</v>
      </c>
      <c r="O32" s="20">
        <v>2605.292307692308</v>
      </c>
      <c r="P32" s="190">
        <f t="shared" si="17"/>
        <v>132.77742346938774</v>
      </c>
      <c r="Q32" s="15">
        <f t="shared" si="19"/>
        <v>31.845672046148017</v>
      </c>
    </row>
    <row r="33" spans="2:17" ht="14.25" customHeight="1" x14ac:dyDescent="0.2">
      <c r="B33" s="13" t="s">
        <v>41</v>
      </c>
      <c r="C33" s="352">
        <v>32152</v>
      </c>
      <c r="D33" s="352">
        <v>499</v>
      </c>
      <c r="E33" s="200">
        <f t="shared" si="12"/>
        <v>31653</v>
      </c>
      <c r="F33" s="353">
        <v>27730</v>
      </c>
      <c r="G33" s="202">
        <v>2080</v>
      </c>
      <c r="H33" s="202">
        <f t="shared" si="13"/>
        <v>29810</v>
      </c>
      <c r="I33" s="353">
        <v>1062111.77</v>
      </c>
      <c r="J33" s="202">
        <v>7172.4</v>
      </c>
      <c r="K33" s="200">
        <f t="shared" si="14"/>
        <v>1069284.17</v>
      </c>
      <c r="L33" s="36">
        <f t="shared" si="15"/>
        <v>0.87606230057182577</v>
      </c>
      <c r="M33" s="20">
        <f t="shared" si="16"/>
        <v>38.301902993148218</v>
      </c>
      <c r="N33" s="37">
        <f t="shared" si="18"/>
        <v>0.29621843742985055</v>
      </c>
      <c r="O33" s="20">
        <v>3225.5999999999995</v>
      </c>
      <c r="P33" s="190">
        <f t="shared" si="17"/>
        <v>119.61309523809527</v>
      </c>
      <c r="Q33" s="15">
        <f t="shared" si="19"/>
        <v>30.764907081504344</v>
      </c>
    </row>
    <row r="34" spans="2:17" ht="14.25" customHeight="1" x14ac:dyDescent="0.2">
      <c r="B34" s="13" t="s">
        <v>50</v>
      </c>
      <c r="C34" s="352">
        <v>17681</v>
      </c>
      <c r="D34" s="352">
        <v>243</v>
      </c>
      <c r="E34" s="200">
        <f t="shared" si="12"/>
        <v>17438</v>
      </c>
      <c r="F34" s="353">
        <v>22810</v>
      </c>
      <c r="G34" s="202">
        <v>1300</v>
      </c>
      <c r="H34" s="202">
        <f t="shared" si="13"/>
        <v>24110</v>
      </c>
      <c r="I34" s="353">
        <v>789014.69</v>
      </c>
      <c r="J34" s="202">
        <v>4482.75</v>
      </c>
      <c r="K34" s="200">
        <f t="shared" si="14"/>
        <v>793497.44</v>
      </c>
      <c r="L34" s="36">
        <f t="shared" si="15"/>
        <v>1.3080628512444088</v>
      </c>
      <c r="M34" s="20">
        <f t="shared" si="16"/>
        <v>34.590736080666375</v>
      </c>
      <c r="N34" s="37">
        <f t="shared" si="18"/>
        <v>0.26751709420799052</v>
      </c>
      <c r="O34" s="20">
        <v>2667.3230769230763</v>
      </c>
      <c r="P34" s="190">
        <f t="shared" si="17"/>
        <v>79.544919712070893</v>
      </c>
      <c r="Q34" s="15">
        <f t="shared" si="19"/>
        <v>27.608504877256944</v>
      </c>
    </row>
    <row r="35" spans="2:17" ht="14.25" customHeight="1" x14ac:dyDescent="0.2">
      <c r="B35" s="13" t="s">
        <v>53</v>
      </c>
      <c r="C35" s="352">
        <v>62267</v>
      </c>
      <c r="D35" s="352">
        <v>368</v>
      </c>
      <c r="E35" s="200">
        <f t="shared" si="12"/>
        <v>61899</v>
      </c>
      <c r="F35" s="353">
        <v>56610</v>
      </c>
      <c r="G35" s="202">
        <v>660</v>
      </c>
      <c r="H35" s="202">
        <f t="shared" si="13"/>
        <v>57270</v>
      </c>
      <c r="I35" s="353">
        <v>2154756.91</v>
      </c>
      <c r="J35" s="202">
        <v>2275.86</v>
      </c>
      <c r="K35" s="200">
        <f t="shared" si="14"/>
        <v>2157032.77</v>
      </c>
      <c r="L35" s="36">
        <f t="shared" si="15"/>
        <v>0.91455435467455048</v>
      </c>
      <c r="M35" s="20">
        <f t="shared" si="16"/>
        <v>38.063185126302777</v>
      </c>
      <c r="N35" s="37">
        <f t="shared" si="18"/>
        <v>0.29437224630153525</v>
      </c>
      <c r="O35" s="20">
        <v>7381.6615384615379</v>
      </c>
      <c r="P35" s="190">
        <f t="shared" si="17"/>
        <v>101.22436474589837</v>
      </c>
      <c r="Q35" s="15">
        <f t="shared" si="19"/>
        <v>27.119120171345283</v>
      </c>
    </row>
    <row r="36" spans="2:17" ht="14.25" customHeight="1" x14ac:dyDescent="0.2">
      <c r="B36" s="13" t="s">
        <v>62</v>
      </c>
      <c r="C36" s="352">
        <v>29812</v>
      </c>
      <c r="D36" s="352">
        <v>621</v>
      </c>
      <c r="E36" s="200">
        <f t="shared" si="12"/>
        <v>29191</v>
      </c>
      <c r="F36" s="353">
        <v>19890</v>
      </c>
      <c r="G36" s="202">
        <v>2460</v>
      </c>
      <c r="H36" s="202">
        <f t="shared" si="13"/>
        <v>22350</v>
      </c>
      <c r="I36" s="353">
        <v>749530.47</v>
      </c>
      <c r="J36" s="202">
        <v>8482.75</v>
      </c>
      <c r="K36" s="200">
        <f t="shared" si="14"/>
        <v>758013.22</v>
      </c>
      <c r="L36" s="36">
        <f t="shared" si="15"/>
        <v>0.68137439621801243</v>
      </c>
      <c r="M36" s="20">
        <f t="shared" si="16"/>
        <v>37.683784313725489</v>
      </c>
      <c r="N36" s="37">
        <f t="shared" si="18"/>
        <v>0.2914380444191545</v>
      </c>
      <c r="O36" s="20">
        <v>2667.3230769230763</v>
      </c>
      <c r="P36" s="190">
        <f t="shared" si="17"/>
        <v>134.12098560354377</v>
      </c>
      <c r="Q36" s="15">
        <f t="shared" si="19"/>
        <v>26.373886828664808</v>
      </c>
    </row>
    <row r="37" spans="2:17" ht="14.25" customHeight="1" x14ac:dyDescent="0.2">
      <c r="B37" s="13" t="s">
        <v>40</v>
      </c>
      <c r="C37" s="352">
        <v>17817</v>
      </c>
      <c r="D37" s="352">
        <v>140</v>
      </c>
      <c r="E37" s="200">
        <f t="shared" si="12"/>
        <v>17677</v>
      </c>
      <c r="F37" s="353">
        <v>17090</v>
      </c>
      <c r="G37" s="202">
        <v>640</v>
      </c>
      <c r="H37" s="202">
        <f t="shared" si="13"/>
        <v>17730</v>
      </c>
      <c r="I37" s="353">
        <v>695744.42</v>
      </c>
      <c r="J37" s="202">
        <v>2620.6799999999998</v>
      </c>
      <c r="K37" s="200">
        <f t="shared" si="14"/>
        <v>698365.10000000009</v>
      </c>
      <c r="L37" s="36">
        <f t="shared" si="15"/>
        <v>0.96679300786332523</v>
      </c>
      <c r="M37" s="20">
        <f t="shared" si="16"/>
        <v>40.710615564657694</v>
      </c>
      <c r="N37" s="37">
        <f t="shared" si="18"/>
        <v>0.31484688715146913</v>
      </c>
      <c r="O37" s="20">
        <v>2481.2307692307691</v>
      </c>
      <c r="P37" s="190">
        <f t="shared" si="17"/>
        <v>86.168526785714292</v>
      </c>
      <c r="Q37" s="15">
        <f t="shared" si="19"/>
        <v>26.120912866039287</v>
      </c>
    </row>
    <row r="38" spans="2:17" ht="14.25" customHeight="1" x14ac:dyDescent="0.2">
      <c r="B38" s="13" t="s">
        <v>44</v>
      </c>
      <c r="C38" s="352">
        <v>17362</v>
      </c>
      <c r="D38" s="352">
        <v>294</v>
      </c>
      <c r="E38" s="200">
        <f t="shared" si="12"/>
        <v>17068</v>
      </c>
      <c r="F38" s="353">
        <v>16430</v>
      </c>
      <c r="G38" s="202">
        <v>1080</v>
      </c>
      <c r="H38" s="202">
        <f t="shared" si="13"/>
        <v>17510</v>
      </c>
      <c r="I38" s="353">
        <v>654174.68000000005</v>
      </c>
      <c r="J38" s="202">
        <v>4034.47</v>
      </c>
      <c r="K38" s="200">
        <f t="shared" si="14"/>
        <v>658209.15</v>
      </c>
      <c r="L38" s="36">
        <f t="shared" si="15"/>
        <v>0.96262010780407781</v>
      </c>
      <c r="M38" s="20">
        <f t="shared" si="16"/>
        <v>39.815866098600125</v>
      </c>
      <c r="N38" s="37">
        <f t="shared" si="18"/>
        <v>0.30792709288500203</v>
      </c>
      <c r="O38" s="20">
        <v>2357.1692307692306</v>
      </c>
      <c r="P38" s="190">
        <f t="shared" si="17"/>
        <v>88.387374686716797</v>
      </c>
      <c r="Q38" s="15">
        <f t="shared" si="19"/>
        <v>25.914696835704724</v>
      </c>
    </row>
    <row r="39" spans="2:17" ht="14.25" customHeight="1" x14ac:dyDescent="0.2">
      <c r="B39" s="13" t="s">
        <v>59</v>
      </c>
      <c r="C39" s="352">
        <v>23063</v>
      </c>
      <c r="D39" s="352">
        <v>356</v>
      </c>
      <c r="E39" s="200">
        <f t="shared" si="12"/>
        <v>22707</v>
      </c>
      <c r="F39" s="353">
        <v>13130</v>
      </c>
      <c r="G39" s="202">
        <v>5130</v>
      </c>
      <c r="H39" s="202">
        <f t="shared" si="13"/>
        <v>18260</v>
      </c>
      <c r="I39" s="353">
        <v>632524.98</v>
      </c>
      <c r="J39" s="202">
        <v>22625.59</v>
      </c>
      <c r="K39" s="200">
        <f t="shared" si="14"/>
        <v>655150.56999999995</v>
      </c>
      <c r="L39" s="36">
        <f t="shared" si="15"/>
        <v>0.57823578632139871</v>
      </c>
      <c r="M39" s="20">
        <f t="shared" si="16"/>
        <v>48.174027418126428</v>
      </c>
      <c r="N39" s="37">
        <f t="shared" si="18"/>
        <v>0.3725672619726737</v>
      </c>
      <c r="O39" s="20">
        <v>2481.2307692307691</v>
      </c>
      <c r="P39" s="190">
        <f t="shared" si="17"/>
        <v>111.53980654761907</v>
      </c>
      <c r="Q39" s="15">
        <f t="shared" si="19"/>
        <v>24.504562088091127</v>
      </c>
    </row>
    <row r="40" spans="2:17" ht="14.25" customHeight="1" x14ac:dyDescent="0.2">
      <c r="B40" s="13" t="s">
        <v>55</v>
      </c>
      <c r="C40" s="352">
        <v>40457</v>
      </c>
      <c r="D40" s="352">
        <v>401</v>
      </c>
      <c r="E40" s="200">
        <f t="shared" si="12"/>
        <v>40056</v>
      </c>
      <c r="F40" s="353">
        <v>32200</v>
      </c>
      <c r="G40" s="202">
        <v>4540</v>
      </c>
      <c r="H40" s="202">
        <f t="shared" si="13"/>
        <v>36740</v>
      </c>
      <c r="I40" s="353">
        <v>1308938.6000000001</v>
      </c>
      <c r="J40" s="202">
        <v>15655.17</v>
      </c>
      <c r="K40" s="200">
        <f t="shared" si="14"/>
        <v>1324593.77</v>
      </c>
      <c r="L40" s="36">
        <f t="shared" si="15"/>
        <v>0.80387457559416819</v>
      </c>
      <c r="M40" s="20">
        <f t="shared" si="16"/>
        <v>40.650267080745344</v>
      </c>
      <c r="N40" s="37">
        <f t="shared" si="18"/>
        <v>0.31438016533848312</v>
      </c>
      <c r="O40" s="20">
        <v>5055.5076923076922</v>
      </c>
      <c r="P40" s="190">
        <f t="shared" si="17"/>
        <v>96.030711364300316</v>
      </c>
      <c r="Q40" s="15">
        <f t="shared" si="19"/>
        <v>24.315931612007461</v>
      </c>
    </row>
    <row r="41" spans="2:17" ht="14.25" customHeight="1" x14ac:dyDescent="0.2">
      <c r="B41" s="13" t="s">
        <v>39</v>
      </c>
      <c r="C41" s="352">
        <v>44350</v>
      </c>
      <c r="D41" s="352">
        <v>417</v>
      </c>
      <c r="E41" s="200">
        <f t="shared" si="12"/>
        <v>43933</v>
      </c>
      <c r="F41" s="353">
        <v>39130</v>
      </c>
      <c r="G41" s="202">
        <v>400</v>
      </c>
      <c r="H41" s="202">
        <f t="shared" si="13"/>
        <v>39530</v>
      </c>
      <c r="I41" s="353">
        <v>1347475.69</v>
      </c>
      <c r="J41" s="202">
        <v>1379.31</v>
      </c>
      <c r="K41" s="200">
        <f t="shared" si="14"/>
        <v>1348855</v>
      </c>
      <c r="L41" s="36">
        <f t="shared" si="15"/>
        <v>0.89067443607311136</v>
      </c>
      <c r="M41" s="20">
        <f t="shared" si="16"/>
        <v>34.435872476360849</v>
      </c>
      <c r="N41" s="37">
        <f t="shared" si="18"/>
        <v>0.26631941338021692</v>
      </c>
      <c r="O41" s="20">
        <v>5148.5538461538454</v>
      </c>
      <c r="P41" s="190">
        <f t="shared" si="17"/>
        <v>103.36883247274815</v>
      </c>
      <c r="Q41" s="15">
        <f t="shared" si="19"/>
        <v>24.313808270285147</v>
      </c>
    </row>
    <row r="42" spans="2:17" ht="14.25" customHeight="1" x14ac:dyDescent="0.2">
      <c r="B42" s="13" t="s">
        <v>65</v>
      </c>
      <c r="C42" s="352">
        <v>17743</v>
      </c>
      <c r="D42" s="352">
        <v>404</v>
      </c>
      <c r="E42" s="200">
        <f t="shared" si="12"/>
        <v>17339</v>
      </c>
      <c r="F42" s="353">
        <v>17690</v>
      </c>
      <c r="G42" s="202">
        <v>720</v>
      </c>
      <c r="H42" s="202">
        <f t="shared" si="13"/>
        <v>18410</v>
      </c>
      <c r="I42" s="353">
        <v>596014.46</v>
      </c>
      <c r="J42" s="202">
        <v>2482.75</v>
      </c>
      <c r="K42" s="200">
        <f t="shared" si="14"/>
        <v>598497.21</v>
      </c>
      <c r="L42" s="36">
        <f t="shared" si="15"/>
        <v>1.0202433819712786</v>
      </c>
      <c r="M42" s="20">
        <f t="shared" si="16"/>
        <v>33.692168456755226</v>
      </c>
      <c r="N42" s="37">
        <f t="shared" si="18"/>
        <v>0.26056777115405166</v>
      </c>
      <c r="O42" s="20">
        <v>2788.4307692307689</v>
      </c>
      <c r="P42" s="190">
        <f t="shared" si="17"/>
        <v>76.356925317796623</v>
      </c>
      <c r="Q42" s="15">
        <f t="shared" si="19"/>
        <v>19.919353759504801</v>
      </c>
    </row>
    <row r="43" spans="2:17" ht="14.25" customHeight="1" x14ac:dyDescent="0.2">
      <c r="B43" s="13" t="s">
        <v>48</v>
      </c>
      <c r="C43" s="352">
        <v>11026</v>
      </c>
      <c r="D43" s="352">
        <v>158</v>
      </c>
      <c r="E43" s="200">
        <f t="shared" si="12"/>
        <v>10868</v>
      </c>
      <c r="F43" s="353">
        <v>10480</v>
      </c>
      <c r="G43" s="354">
        <v>0</v>
      </c>
      <c r="H43" s="202">
        <f t="shared" si="13"/>
        <v>10480</v>
      </c>
      <c r="I43" s="353">
        <v>357868.2</v>
      </c>
      <c r="J43" s="354">
        <v>0</v>
      </c>
      <c r="K43" s="200">
        <f t="shared" si="14"/>
        <v>357868.2</v>
      </c>
      <c r="L43" s="36">
        <f t="shared" si="15"/>
        <v>0.96429885903570112</v>
      </c>
      <c r="M43" s="20">
        <f t="shared" si="16"/>
        <v>34.147729007633586</v>
      </c>
      <c r="N43" s="37">
        <f t="shared" si="18"/>
        <v>0.26409097559013439</v>
      </c>
      <c r="O43" s="20">
        <v>1736.8615384615382</v>
      </c>
      <c r="P43" s="190">
        <f t="shared" si="17"/>
        <v>76.178784013605451</v>
      </c>
      <c r="Q43" s="15">
        <f t="shared" si="19"/>
        <v>19.121893343112202</v>
      </c>
    </row>
    <row r="44" spans="2:17" ht="14.25" customHeight="1" x14ac:dyDescent="0.2">
      <c r="B44" s="13" t="s">
        <v>54</v>
      </c>
      <c r="C44" s="352">
        <v>40850</v>
      </c>
      <c r="D44" s="352">
        <v>353</v>
      </c>
      <c r="E44" s="200">
        <f t="shared" si="12"/>
        <v>40497</v>
      </c>
      <c r="F44" s="353">
        <v>21820</v>
      </c>
      <c r="G44" s="202">
        <v>13120</v>
      </c>
      <c r="H44" s="202">
        <f t="shared" si="13"/>
        <v>34940</v>
      </c>
      <c r="I44" s="353">
        <v>865894.37000000011</v>
      </c>
      <c r="J44" s="202">
        <v>45241.38</v>
      </c>
      <c r="K44" s="200">
        <f t="shared" si="14"/>
        <v>911135.75000000012</v>
      </c>
      <c r="L44" s="36">
        <f t="shared" si="15"/>
        <v>0.53880534360569921</v>
      </c>
      <c r="M44" s="20">
        <f t="shared" si="16"/>
        <v>39.683518331805686</v>
      </c>
      <c r="N44" s="37">
        <f t="shared" si="18"/>
        <v>0.30690354455936941</v>
      </c>
      <c r="O44" s="20">
        <v>4652.3076923076915</v>
      </c>
      <c r="P44" s="190">
        <f t="shared" si="17"/>
        <v>105.36706349206349</v>
      </c>
      <c r="Q44" s="15">
        <f t="shared" si="19"/>
        <v>18.175553186441388</v>
      </c>
    </row>
    <row r="45" spans="2:17" ht="14.25" customHeight="1" x14ac:dyDescent="0.2">
      <c r="B45" s="13" t="s">
        <v>60</v>
      </c>
      <c r="C45" s="352">
        <v>16232</v>
      </c>
      <c r="D45" s="352">
        <v>294</v>
      </c>
      <c r="E45" s="200">
        <f t="shared" si="12"/>
        <v>15938</v>
      </c>
      <c r="F45" s="353">
        <v>13600</v>
      </c>
      <c r="G45" s="202">
        <v>20</v>
      </c>
      <c r="H45" s="202">
        <f t="shared" si="13"/>
        <v>13620</v>
      </c>
      <c r="I45" s="353">
        <v>478641.30999999994</v>
      </c>
      <c r="J45" s="202">
        <v>68.97</v>
      </c>
      <c r="K45" s="200">
        <f t="shared" si="14"/>
        <v>478710.27999999991</v>
      </c>
      <c r="L45" s="36">
        <f t="shared" si="15"/>
        <v>0.85330656293135898</v>
      </c>
      <c r="M45" s="20">
        <f t="shared" si="16"/>
        <v>35.19421397058823</v>
      </c>
      <c r="N45" s="37">
        <f t="shared" si="18"/>
        <v>0.27218425859426382</v>
      </c>
      <c r="O45" s="20">
        <v>2605.292307692308</v>
      </c>
      <c r="P45" s="190">
        <f t="shared" si="17"/>
        <v>74.76473922902494</v>
      </c>
      <c r="Q45" s="15">
        <f t="shared" si="19"/>
        <v>17.052547868016539</v>
      </c>
    </row>
    <row r="46" spans="2:17" ht="14.25" customHeight="1" x14ac:dyDescent="0.2">
      <c r="B46" s="13" t="s">
        <v>66</v>
      </c>
      <c r="C46" s="352">
        <v>15311</v>
      </c>
      <c r="D46" s="352">
        <v>165</v>
      </c>
      <c r="E46" s="200">
        <f t="shared" si="12"/>
        <v>15146</v>
      </c>
      <c r="F46" s="353">
        <v>13560</v>
      </c>
      <c r="G46" s="191">
        <v>0</v>
      </c>
      <c r="H46" s="202">
        <f t="shared" si="13"/>
        <v>13560</v>
      </c>
      <c r="I46" s="353">
        <v>441008.06</v>
      </c>
      <c r="J46" s="354">
        <v>0</v>
      </c>
      <c r="K46" s="200">
        <f t="shared" si="14"/>
        <v>441008.06</v>
      </c>
      <c r="L46" s="36">
        <f t="shared" si="15"/>
        <v>0.89528588406179854</v>
      </c>
      <c r="M46" s="20">
        <f t="shared" si="16"/>
        <v>32.522718289085546</v>
      </c>
      <c r="N46" s="37">
        <f t="shared" si="18"/>
        <v>0.25152350248204447</v>
      </c>
      <c r="O46" s="20">
        <v>2605.292307692308</v>
      </c>
      <c r="P46" s="190">
        <f t="shared" si="17"/>
        <v>70.522604875283434</v>
      </c>
      <c r="Q46" s="15">
        <f t="shared" si="19"/>
        <v>15.709524878661703</v>
      </c>
    </row>
    <row r="47" spans="2:17" ht="14.25" customHeight="1" x14ac:dyDescent="0.2">
      <c r="B47" s="13" t="s">
        <v>56</v>
      </c>
      <c r="C47" s="352">
        <v>16608</v>
      </c>
      <c r="D47" s="352">
        <v>150</v>
      </c>
      <c r="E47" s="200">
        <f t="shared" si="12"/>
        <v>16458</v>
      </c>
      <c r="F47" s="353">
        <v>9510</v>
      </c>
      <c r="G47" s="202">
        <v>3780</v>
      </c>
      <c r="H47" s="202">
        <f t="shared" si="13"/>
        <v>13290</v>
      </c>
      <c r="I47" s="353">
        <v>331193.43000000005</v>
      </c>
      <c r="J47" s="202">
        <v>13034.48</v>
      </c>
      <c r="K47" s="200">
        <f t="shared" si="14"/>
        <v>344227.91000000003</v>
      </c>
      <c r="L47" s="36">
        <f t="shared" si="15"/>
        <v>0.57783448778709445</v>
      </c>
      <c r="M47" s="20">
        <f t="shared" si="16"/>
        <v>34.825807570977922</v>
      </c>
      <c r="N47" s="37">
        <f t="shared" si="18"/>
        <v>0.2693350850675269</v>
      </c>
      <c r="O47" s="20">
        <v>2481.2307692307691</v>
      </c>
      <c r="P47" s="190">
        <f t="shared" si="17"/>
        <v>80.321428571428584</v>
      </c>
      <c r="Q47" s="15">
        <f t="shared" si="19"/>
        <v>12.875138295382763</v>
      </c>
    </row>
    <row r="48" spans="2:17" ht="14.25" customHeight="1" x14ac:dyDescent="0.2">
      <c r="B48" s="13" t="s">
        <v>38</v>
      </c>
      <c r="C48" s="352">
        <v>16705</v>
      </c>
      <c r="D48" s="352">
        <v>192</v>
      </c>
      <c r="E48" s="200">
        <f t="shared" si="12"/>
        <v>16513</v>
      </c>
      <c r="F48" s="353">
        <v>8020</v>
      </c>
      <c r="G48" s="202">
        <v>6860</v>
      </c>
      <c r="H48" s="202">
        <f t="shared" si="13"/>
        <v>14880</v>
      </c>
      <c r="I48" s="353">
        <v>321478.83999999997</v>
      </c>
      <c r="J48" s="202">
        <v>23655.17</v>
      </c>
      <c r="K48" s="200">
        <f t="shared" si="14"/>
        <v>345134.00999999995</v>
      </c>
      <c r="L48" s="36">
        <f t="shared" si="15"/>
        <v>0.48567795070550474</v>
      </c>
      <c r="M48" s="20">
        <f t="shared" si="16"/>
        <v>40.08464339152119</v>
      </c>
      <c r="N48" s="37">
        <f t="shared" si="18"/>
        <v>0.31000575695921123</v>
      </c>
      <c r="O48" s="20">
        <v>3039.5076923076917</v>
      </c>
      <c r="P48" s="190">
        <f t="shared" si="17"/>
        <v>65.951469873663768</v>
      </c>
      <c r="Q48" s="15">
        <f t="shared" si="19"/>
        <v>10.537982943442177</v>
      </c>
    </row>
    <row r="49" spans="1:18" ht="14.25" customHeight="1" x14ac:dyDescent="0.2">
      <c r="B49" s="13" t="s">
        <v>61</v>
      </c>
      <c r="C49" s="352">
        <v>21369</v>
      </c>
      <c r="D49" s="352">
        <v>424</v>
      </c>
      <c r="E49" s="200">
        <f t="shared" si="12"/>
        <v>20945</v>
      </c>
      <c r="F49" s="353">
        <v>7120</v>
      </c>
      <c r="G49" s="354">
        <v>0</v>
      </c>
      <c r="H49" s="202">
        <f t="shared" si="13"/>
        <v>7120</v>
      </c>
      <c r="I49" s="353">
        <v>241976.88</v>
      </c>
      <c r="J49" s="354">
        <v>0</v>
      </c>
      <c r="K49" s="200">
        <f t="shared" si="14"/>
        <v>241976.88</v>
      </c>
      <c r="L49" s="36">
        <f t="shared" si="15"/>
        <v>0.33993793268083072</v>
      </c>
      <c r="M49" s="20">
        <f t="shared" si="16"/>
        <v>33.985516853932587</v>
      </c>
      <c r="N49" s="37">
        <f t="shared" si="18"/>
        <v>0.26283646270835836</v>
      </c>
      <c r="O49" s="20">
        <v>2481.2307692307695</v>
      </c>
      <c r="P49" s="190">
        <f t="shared" si="17"/>
        <v>103.34709821428569</v>
      </c>
      <c r="Q49" s="15">
        <f t="shared" si="19"/>
        <v>9.0506484331419799</v>
      </c>
    </row>
    <row r="50" spans="1:18" ht="14.25" customHeight="1" x14ac:dyDescent="0.2">
      <c r="B50" s="13" t="s">
        <v>63</v>
      </c>
      <c r="C50" s="352">
        <v>19461</v>
      </c>
      <c r="D50" s="352">
        <v>69</v>
      </c>
      <c r="E50" s="200">
        <f t="shared" si="12"/>
        <v>19392</v>
      </c>
      <c r="F50" s="353">
        <v>3990</v>
      </c>
      <c r="G50" s="202">
        <v>7560</v>
      </c>
      <c r="H50" s="202">
        <f t="shared" si="13"/>
        <v>11550</v>
      </c>
      <c r="I50" s="353">
        <v>205439.94</v>
      </c>
      <c r="J50" s="202">
        <v>26068.98</v>
      </c>
      <c r="K50" s="200">
        <f t="shared" si="14"/>
        <v>231508.92</v>
      </c>
      <c r="L50" s="36">
        <f t="shared" si="15"/>
        <v>0.20575495049504949</v>
      </c>
      <c r="M50" s="20">
        <f t="shared" si="16"/>
        <v>51.488706766917296</v>
      </c>
      <c r="N50" s="37">
        <f t="shared" si="18"/>
        <v>0.39820225816217036</v>
      </c>
      <c r="O50" s="20">
        <v>2481.2307692307691</v>
      </c>
      <c r="P50" s="190">
        <f t="shared" si="17"/>
        <v>94.119419642857153</v>
      </c>
      <c r="Q50" s="15">
        <f t="shared" si="19"/>
        <v>8.659115879402993</v>
      </c>
    </row>
    <row r="51" spans="1:18" ht="14.25" customHeight="1" x14ac:dyDescent="0.2">
      <c r="B51" s="13" t="s">
        <v>64</v>
      </c>
      <c r="C51" s="352">
        <v>24517</v>
      </c>
      <c r="D51" s="352">
        <v>436</v>
      </c>
      <c r="E51" s="200">
        <f t="shared" si="12"/>
        <v>24081</v>
      </c>
      <c r="F51" s="353">
        <v>11290</v>
      </c>
      <c r="G51" s="202">
        <v>17680</v>
      </c>
      <c r="H51" s="202">
        <f t="shared" si="13"/>
        <v>28970</v>
      </c>
      <c r="I51" s="353">
        <v>385557.93</v>
      </c>
      <c r="J51" s="202">
        <v>61689.68</v>
      </c>
      <c r="K51" s="200">
        <f t="shared" si="14"/>
        <v>447247.61</v>
      </c>
      <c r="L51" s="36">
        <f t="shared" si="15"/>
        <v>0.46883435073294299</v>
      </c>
      <c r="M51" s="20">
        <f t="shared" si="16"/>
        <v>34.150392382639502</v>
      </c>
      <c r="N51" s="37">
        <f t="shared" si="18"/>
        <v>0.26411157354273962</v>
      </c>
      <c r="O51" s="20">
        <v>5009.7230769230764</v>
      </c>
      <c r="P51" s="190">
        <f t="shared" si="17"/>
        <v>58.726599351415103</v>
      </c>
      <c r="Q51" s="15">
        <f t="shared" si="19"/>
        <v>8.285281893863063</v>
      </c>
      <c r="R51" s="16" t="s">
        <v>118</v>
      </c>
    </row>
    <row r="52" spans="1:18" ht="14.25" customHeight="1" x14ac:dyDescent="0.2">
      <c r="B52" s="13" t="s">
        <v>47</v>
      </c>
      <c r="C52" s="352">
        <v>41052</v>
      </c>
      <c r="D52" s="352">
        <v>624</v>
      </c>
      <c r="E52" s="200">
        <f t="shared" si="12"/>
        <v>40428</v>
      </c>
      <c r="F52" s="353">
        <v>10650</v>
      </c>
      <c r="G52" s="202">
        <v>12660</v>
      </c>
      <c r="H52" s="202">
        <f t="shared" si="13"/>
        <v>23310</v>
      </c>
      <c r="I52" s="353">
        <v>384390.29</v>
      </c>
      <c r="J52" s="202">
        <v>47896.55</v>
      </c>
      <c r="K52" s="200">
        <f t="shared" si="14"/>
        <v>432286.83999999997</v>
      </c>
      <c r="L52" s="36">
        <f t="shared" si="15"/>
        <v>0.26343128524784803</v>
      </c>
      <c r="M52" s="20">
        <f t="shared" si="16"/>
        <v>36.09298497652582</v>
      </c>
      <c r="N52" s="37">
        <f t="shared" si="18"/>
        <v>0.2791351545597649</v>
      </c>
      <c r="O52" s="20">
        <v>4993.4769230769225</v>
      </c>
      <c r="P52" s="190">
        <f t="shared" si="17"/>
        <v>98.65350488021295</v>
      </c>
      <c r="Q52" s="15">
        <f t="shared" si="19"/>
        <v>8.0341872261410483</v>
      </c>
    </row>
    <row r="53" spans="1:18" ht="14.25" customHeight="1" x14ac:dyDescent="0.2">
      <c r="B53" s="195" t="s">
        <v>57</v>
      </c>
      <c r="C53" s="355">
        <v>15182</v>
      </c>
      <c r="D53" s="355">
        <v>189</v>
      </c>
      <c r="E53" s="359">
        <f t="shared" si="12"/>
        <v>14993</v>
      </c>
      <c r="F53" s="356">
        <v>4150</v>
      </c>
      <c r="G53" s="357">
        <v>14800</v>
      </c>
      <c r="H53" s="357">
        <f t="shared" si="13"/>
        <v>18950</v>
      </c>
      <c r="I53" s="356">
        <v>142669.99999999997</v>
      </c>
      <c r="J53" s="357">
        <v>55758.64</v>
      </c>
      <c r="K53" s="359">
        <f t="shared" si="14"/>
        <v>198428.63999999996</v>
      </c>
      <c r="L53" s="360">
        <f t="shared" si="15"/>
        <v>0.27679583805776031</v>
      </c>
      <c r="M53" s="244">
        <f t="shared" si="16"/>
        <v>34.378313253012038</v>
      </c>
      <c r="N53" s="37">
        <f t="shared" si="18"/>
        <v>0.26587426309086681</v>
      </c>
      <c r="O53" s="244">
        <v>2481.2307692307691</v>
      </c>
      <c r="P53" s="193">
        <f t="shared" si="17"/>
        <v>73.424851190476204</v>
      </c>
      <c r="Q53" s="15">
        <f t="shared" si="19"/>
        <v>7.4218159177293899</v>
      </c>
    </row>
    <row r="54" spans="1:18" ht="17.25" customHeight="1" thickBot="1" x14ac:dyDescent="0.25">
      <c r="B54" s="21" t="s">
        <v>35</v>
      </c>
      <c r="C54" s="39">
        <f t="shared" ref="C54:K54" si="20">SUM(C25:C53)</f>
        <v>891377</v>
      </c>
      <c r="D54" s="39">
        <f t="shared" si="20"/>
        <v>11158</v>
      </c>
      <c r="E54" s="39">
        <f t="shared" si="20"/>
        <v>880219</v>
      </c>
      <c r="F54" s="39">
        <f t="shared" si="20"/>
        <v>713220</v>
      </c>
      <c r="G54" s="39">
        <f t="shared" si="20"/>
        <v>112950</v>
      </c>
      <c r="H54" s="39">
        <f t="shared" si="20"/>
        <v>826170</v>
      </c>
      <c r="I54" s="39">
        <f t="shared" si="20"/>
        <v>28151071.43</v>
      </c>
      <c r="J54" s="39">
        <f t="shared" si="20"/>
        <v>457556.6</v>
      </c>
      <c r="K54" s="39">
        <f t="shared" si="20"/>
        <v>28608628.029999997</v>
      </c>
      <c r="L54" s="22">
        <f t="shared" ref="L54" si="21">F54/E54</f>
        <v>0.81027562458888069</v>
      </c>
      <c r="M54" s="39">
        <f t="shared" ref="M54" si="22">I54/F54</f>
        <v>39.470389823616834</v>
      </c>
      <c r="N54" s="212">
        <f>M54/129.3029</f>
        <v>0.30525525586523455</v>
      </c>
      <c r="O54" s="39">
        <f>SUM(O25:O53)</f>
        <v>106988.30769230764</v>
      </c>
      <c r="P54" s="40">
        <f>(C54/O54)*12</f>
        <v>99.978439053009438</v>
      </c>
      <c r="Q54" s="41">
        <f>(K54*12/O54)/129.3029</f>
        <v>24.816109326177536</v>
      </c>
    </row>
    <row r="55" spans="1:18" ht="17.25" customHeight="1" thickTop="1" thickBot="1" x14ac:dyDescent="0.25">
      <c r="B55" s="26" t="s">
        <v>36</v>
      </c>
      <c r="C55" s="42"/>
      <c r="D55" s="28">
        <f>D54/C54</f>
        <v>1.251771136118612E-2</v>
      </c>
      <c r="E55" s="28">
        <f>E54/C54</f>
        <v>0.98748228863881393</v>
      </c>
      <c r="F55" s="30"/>
      <c r="G55" s="30"/>
      <c r="H55" s="30"/>
      <c r="I55" s="30"/>
      <c r="J55" s="30"/>
      <c r="K55" s="30"/>
      <c r="L55" s="32"/>
      <c r="M55" s="30"/>
      <c r="N55" s="43"/>
      <c r="O55" s="34"/>
      <c r="P55" s="34"/>
      <c r="Q55" s="34"/>
    </row>
    <row r="56" spans="1:18" ht="18.75" customHeight="1" thickTop="1" x14ac:dyDescent="0.2">
      <c r="M56" s="45"/>
      <c r="N56" s="46"/>
      <c r="O56" s="47"/>
    </row>
    <row r="57" spans="1:18" s="48" customFormat="1" ht="15" customHeight="1" thickBot="1" x14ac:dyDescent="0.25">
      <c r="B57" s="49" t="s">
        <v>68</v>
      </c>
      <c r="C57" s="50">
        <f t="shared" ref="C57:K57" si="23">C22+C54</f>
        <v>2148173</v>
      </c>
      <c r="D57" s="51">
        <f t="shared" si="23"/>
        <v>27586</v>
      </c>
      <c r="E57" s="51">
        <f t="shared" si="23"/>
        <v>2120587</v>
      </c>
      <c r="F57" s="52">
        <f t="shared" si="23"/>
        <v>1949289</v>
      </c>
      <c r="G57" s="52">
        <f t="shared" si="23"/>
        <v>180150</v>
      </c>
      <c r="H57" s="52">
        <f t="shared" si="23"/>
        <v>2129439</v>
      </c>
      <c r="I57" s="52">
        <f t="shared" si="23"/>
        <v>53201142.810000002</v>
      </c>
      <c r="J57" s="52">
        <f t="shared" si="23"/>
        <v>718177.4</v>
      </c>
      <c r="K57" s="52">
        <f t="shared" si="23"/>
        <v>53919320.209999993</v>
      </c>
      <c r="L57" s="22">
        <f>F57/(E57)</f>
        <v>0.91922142312482347</v>
      </c>
      <c r="M57" s="53">
        <f>I57/F57</f>
        <v>27.292588636164265</v>
      </c>
      <c r="N57" s="212">
        <f>M57/129.3029</f>
        <v>0.21107483773499486</v>
      </c>
      <c r="O57" s="52">
        <f>O54+O22</f>
        <v>193940.67692307686</v>
      </c>
      <c r="P57" s="25">
        <f>(C57/O57)*12</f>
        <v>132.91732507577262</v>
      </c>
      <c r="Q57" s="41">
        <f>(K57*12/O57)/129.3029</f>
        <v>25.801709532503295</v>
      </c>
    </row>
    <row r="58" spans="1:18" ht="16.5" customHeight="1" thickTop="1" thickBot="1" x14ac:dyDescent="0.25">
      <c r="B58" s="26" t="s">
        <v>36</v>
      </c>
      <c r="C58" s="54"/>
      <c r="D58" s="55">
        <f>D57/C57</f>
        <v>1.2841610056545725E-2</v>
      </c>
      <c r="E58" s="55">
        <f>E57/C57</f>
        <v>0.98715838994345428</v>
      </c>
      <c r="G58" s="56"/>
      <c r="N58" s="46"/>
    </row>
    <row r="59" spans="1:18" ht="16.5" customHeight="1" thickTop="1" x14ac:dyDescent="0.2">
      <c r="G59" s="57"/>
      <c r="H59" s="45"/>
      <c r="O59" s="211"/>
    </row>
    <row r="60" spans="1:18" s="16" customFormat="1" ht="15" customHeight="1" x14ac:dyDescent="0.25">
      <c r="B60" s="48" t="s">
        <v>69</v>
      </c>
      <c r="C60" s="47"/>
      <c r="F60" s="47"/>
      <c r="G60" s="58"/>
      <c r="I60" s="59"/>
      <c r="J60" s="59"/>
      <c r="K60" s="59"/>
      <c r="L60" s="38"/>
      <c r="M60" s="60"/>
      <c r="N60"/>
      <c r="O60" s="129"/>
      <c r="P60"/>
      <c r="Q60" s="61"/>
    </row>
    <row r="61" spans="1:18" ht="16.5" customHeight="1" x14ac:dyDescent="0.25">
      <c r="A61" s="16">
        <v>1</v>
      </c>
      <c r="B61" s="16" t="s">
        <v>70</v>
      </c>
      <c r="E61" s="16"/>
      <c r="N61"/>
      <c r="O61"/>
      <c r="P61"/>
      <c r="Q61" s="62"/>
    </row>
    <row r="62" spans="1:18" ht="16.5" customHeight="1" x14ac:dyDescent="0.25">
      <c r="A62" s="16">
        <v>2</v>
      </c>
      <c r="B62" s="16" t="s">
        <v>109</v>
      </c>
      <c r="C62" s="47"/>
      <c r="E62" s="16"/>
      <c r="N62"/>
      <c r="O62"/>
      <c r="P62"/>
    </row>
    <row r="63" spans="1:18" ht="16.5" customHeight="1" x14ac:dyDescent="0.2">
      <c r="A63" s="16">
        <v>3</v>
      </c>
      <c r="B63" s="16" t="s">
        <v>110</v>
      </c>
      <c r="C63" s="47"/>
      <c r="E63" s="16"/>
    </row>
    <row r="64" spans="1:18" ht="16.5" customHeight="1" x14ac:dyDescent="0.2">
      <c r="A64" s="16">
        <v>4</v>
      </c>
      <c r="B64" s="16" t="s">
        <v>111</v>
      </c>
      <c r="C64" s="47"/>
      <c r="E64" s="16"/>
    </row>
    <row r="65" spans="1:5" ht="16.5" customHeight="1" x14ac:dyDescent="0.2">
      <c r="A65" s="16">
        <v>5</v>
      </c>
      <c r="B65" s="16" t="s">
        <v>112</v>
      </c>
      <c r="C65" s="47"/>
      <c r="E65" s="16"/>
    </row>
    <row r="66" spans="1:5" ht="16.5" customHeight="1" x14ac:dyDescent="0.2">
      <c r="A66" s="16">
        <v>6</v>
      </c>
      <c r="B66" s="16" t="s">
        <v>113</v>
      </c>
      <c r="C66" s="47"/>
      <c r="E66" s="16"/>
    </row>
    <row r="67" spans="1:5" ht="16.5" customHeight="1" x14ac:dyDescent="0.2">
      <c r="A67" s="1">
        <v>7</v>
      </c>
      <c r="B67" s="16" t="s">
        <v>114</v>
      </c>
    </row>
    <row r="68" spans="1:5" ht="16.5" customHeight="1" x14ac:dyDescent="0.2"/>
    <row r="69" spans="1:5" ht="16.5" customHeight="1" x14ac:dyDescent="0.2">
      <c r="B69" s="216" t="s">
        <v>108</v>
      </c>
      <c r="C69" s="217" t="s">
        <v>93</v>
      </c>
    </row>
    <row r="70" spans="1:5" ht="16.5" customHeight="1" x14ac:dyDescent="0.2">
      <c r="B70" s="10" t="s">
        <v>103</v>
      </c>
      <c r="C70" s="14">
        <f>O22</f>
        <v>86952.369230769211</v>
      </c>
    </row>
    <row r="71" spans="1:5" ht="16.5" customHeight="1" x14ac:dyDescent="0.2">
      <c r="B71" s="10" t="s">
        <v>106</v>
      </c>
      <c r="C71" s="14">
        <f>O54</f>
        <v>106988.30769230764</v>
      </c>
    </row>
    <row r="72" spans="1:5" ht="16.5" customHeight="1" x14ac:dyDescent="0.2">
      <c r="B72" s="188" t="s">
        <v>67</v>
      </c>
      <c r="C72" s="213">
        <v>1612.8</v>
      </c>
    </row>
    <row r="73" spans="1:5" ht="16.5" customHeight="1" x14ac:dyDescent="0.2">
      <c r="B73" s="188" t="s">
        <v>107</v>
      </c>
      <c r="C73" s="214">
        <v>2171.0769230769229</v>
      </c>
    </row>
    <row r="74" spans="1:5" ht="16.5" customHeight="1" thickBot="1" x14ac:dyDescent="0.25">
      <c r="B74" s="189" t="s">
        <v>101</v>
      </c>
      <c r="C74" s="215">
        <f>SUM(C70:C73)</f>
        <v>197724.55384615378</v>
      </c>
    </row>
    <row r="75" spans="1:5" ht="16.5" customHeight="1" thickTop="1" x14ac:dyDescent="0.2"/>
    <row r="76" spans="1:5" ht="16.5" customHeight="1" x14ac:dyDescent="0.2"/>
    <row r="77" spans="1:5" ht="16.5" customHeight="1" x14ac:dyDescent="0.2"/>
    <row r="78" spans="1:5" ht="16.5" customHeight="1" x14ac:dyDescent="0.2"/>
    <row r="79" spans="1:5" ht="16.5" customHeight="1" x14ac:dyDescent="0.2"/>
    <row r="80" spans="1:5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</sheetData>
  <mergeCells count="5">
    <mergeCell ref="B1:Q1"/>
    <mergeCell ref="B2:Q2"/>
    <mergeCell ref="B3:Q3"/>
    <mergeCell ref="B5:Q5"/>
    <mergeCell ref="B24:Q24"/>
  </mergeCells>
  <conditionalFormatting sqref="P6:P21">
    <cfRule type="cellIs" dxfId="60" priority="2" operator="between">
      <formula>0</formula>
      <formula>140</formula>
    </cfRule>
  </conditionalFormatting>
  <conditionalFormatting sqref="P25:P53">
    <cfRule type="cellIs" dxfId="59" priority="1" operator="between">
      <formula>0</formula>
      <formula>80</formula>
    </cfRule>
  </conditionalFormatting>
  <conditionalFormatting sqref="P54">
    <cfRule type="cellIs" dxfId="58" priority="7" operator="between">
      <formula>0</formula>
      <formula>79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7030A0"/>
  </sheetPr>
  <dimension ref="A1:S109"/>
  <sheetViews>
    <sheetView workbookViewId="0">
      <pane ySplit="4" topLeftCell="A5" activePane="bottomLeft" state="frozen"/>
      <selection pane="bottomLeft" sqref="A1:XFD1048576"/>
    </sheetView>
  </sheetViews>
  <sheetFormatPr defaultColWidth="9.140625" defaultRowHeight="12" x14ac:dyDescent="0.2"/>
  <cols>
    <col min="1" max="1" width="2" style="1" customWidth="1"/>
    <col min="2" max="2" width="31.42578125" style="1" customWidth="1"/>
    <col min="3" max="3" width="10.5703125" style="44" customWidth="1"/>
    <col min="4" max="4" width="8.7109375" style="1" customWidth="1"/>
    <col min="5" max="5" width="10.140625" style="1" customWidth="1"/>
    <col min="6" max="6" width="10" style="44" customWidth="1"/>
    <col min="7" max="7" width="9.28515625" style="1" customWidth="1"/>
    <col min="8" max="8" width="9.85546875" style="1" customWidth="1"/>
    <col min="9" max="9" width="11.7109375" style="45" customWidth="1"/>
    <col min="10" max="10" width="10" style="45" customWidth="1"/>
    <col min="11" max="11" width="11.140625" style="45" customWidth="1"/>
    <col min="12" max="12" width="7.7109375" style="1" customWidth="1"/>
    <col min="13" max="13" width="8.85546875" style="1" customWidth="1"/>
    <col min="14" max="14" width="9.7109375" style="1" customWidth="1"/>
    <col min="15" max="15" width="9.5703125" style="1" customWidth="1"/>
    <col min="16" max="16" width="9.7109375" style="47" customWidth="1"/>
    <col min="17" max="17" width="9.85546875" style="16" customWidth="1"/>
    <col min="18" max="16384" width="9.140625" style="1"/>
  </cols>
  <sheetData>
    <row r="1" spans="2:19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9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9" ht="15" x14ac:dyDescent="0.25">
      <c r="B3" s="622">
        <v>45716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9" ht="35.2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7" t="s">
        <v>15</v>
      </c>
      <c r="P4" s="8" t="s">
        <v>16</v>
      </c>
      <c r="Q4" s="9" t="s">
        <v>17</v>
      </c>
    </row>
    <row r="5" spans="2:19" ht="16.5" customHeight="1" thickBot="1" x14ac:dyDescent="0.3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9" s="16" customFormat="1" ht="15" customHeight="1" x14ac:dyDescent="0.2">
      <c r="B6" s="254" t="s">
        <v>28</v>
      </c>
      <c r="C6" s="229">
        <f>'Feb 2025 -Prodn&amp; Sales Analysis'!C7</f>
        <v>137469</v>
      </c>
      <c r="D6" s="229">
        <f>'Feb 2025 -Prodn&amp; Sales Analysis'!D7</f>
        <v>790</v>
      </c>
      <c r="E6" s="229">
        <f>'Feb 2025 -Prodn&amp; Sales Analysis'!E7</f>
        <v>136679</v>
      </c>
      <c r="F6" s="229">
        <f>'Feb 2025 -Prodn&amp; Sales Analysis'!F7</f>
        <v>146832</v>
      </c>
      <c r="G6" s="229">
        <f>'Feb 2025 -Prodn&amp; Sales Analysis'!G7</f>
        <v>7280</v>
      </c>
      <c r="H6" s="229">
        <f>'Feb 2025 -Prodn&amp; Sales Analysis'!H7</f>
        <v>154112</v>
      </c>
      <c r="I6" s="229">
        <f>'Feb 2025 -Prodn&amp; Sales Analysis'!I7</f>
        <v>4537884.9799999995</v>
      </c>
      <c r="J6" s="229">
        <f>'Feb 2025 -Prodn&amp; Sales Analysis'!J7</f>
        <v>74706.91</v>
      </c>
      <c r="K6" s="229">
        <f>'Feb 2025 -Prodn&amp; Sales Analysis'!K7</f>
        <v>4612591.8899999997</v>
      </c>
      <c r="L6" s="626">
        <f>(F6+F7)/(C6+C7)</f>
        <v>1.1672383020373249</v>
      </c>
      <c r="M6" s="230">
        <f>I6/F6</f>
        <v>30.905286177400018</v>
      </c>
      <c r="N6" s="231">
        <f t="shared" ref="N6:N22" si="0">M6/129.3029</f>
        <v>0.23901464064147068</v>
      </c>
      <c r="O6" s="232">
        <f>'Jan 2025-Prodn &amp; Sales Analysis'!O11</f>
        <v>10048.984615384614</v>
      </c>
      <c r="P6" s="233">
        <f>C6/O6*12</f>
        <v>164.15867504409175</v>
      </c>
      <c r="Q6" s="628">
        <f>(K6+K7)*12/(O6+O7)/129.3029</f>
        <v>44.562475371218191</v>
      </c>
    </row>
    <row r="7" spans="2:19" s="16" customFormat="1" ht="15" customHeight="1" thickBot="1" x14ac:dyDescent="0.25">
      <c r="B7" s="341" t="s">
        <v>30</v>
      </c>
      <c r="C7" s="242">
        <f>'Feb 2025 -Prodn&amp; Sales Analysis'!C6</f>
        <v>105693</v>
      </c>
      <c r="D7" s="242">
        <f>'Feb 2025 -Prodn&amp; Sales Analysis'!D6</f>
        <v>651</v>
      </c>
      <c r="E7" s="242">
        <f>'Feb 2025 -Prodn&amp; Sales Analysis'!E6</f>
        <v>105042</v>
      </c>
      <c r="F7" s="242">
        <f>'Feb 2025 -Prodn&amp; Sales Analysis'!F6</f>
        <v>136996</v>
      </c>
      <c r="G7" s="242">
        <f>'Feb 2025 -Prodn&amp; Sales Analysis'!G6</f>
        <v>480</v>
      </c>
      <c r="H7" s="242">
        <f>'Feb 2025 -Prodn&amp; Sales Analysis'!H6</f>
        <v>137476</v>
      </c>
      <c r="I7" s="242">
        <f>'Feb 2025 -Prodn&amp; Sales Analysis'!I6</f>
        <v>4232224.78</v>
      </c>
      <c r="J7" s="242">
        <f>'Feb 2025 -Prodn&amp; Sales Analysis'!J6</f>
        <v>1448.28</v>
      </c>
      <c r="K7" s="242">
        <f>'Feb 2025 -Prodn&amp; Sales Analysis'!K6</f>
        <v>4233673.0600000005</v>
      </c>
      <c r="L7" s="627"/>
      <c r="M7" s="243">
        <f>I7/F7</f>
        <v>30.893053665800462</v>
      </c>
      <c r="N7" s="237">
        <f t="shared" si="0"/>
        <v>0.23892003710512652</v>
      </c>
      <c r="O7" s="257">
        <f>'Jan 2025-Prodn &amp; Sales Analysis'!O7</f>
        <v>8374.1538461538439</v>
      </c>
      <c r="P7" s="239">
        <f>C7/O7*12</f>
        <v>151.45601851851856</v>
      </c>
      <c r="Q7" s="629"/>
      <c r="S7" s="58"/>
    </row>
    <row r="8" spans="2:19" s="16" customFormat="1" ht="15" customHeight="1" x14ac:dyDescent="0.2">
      <c r="B8" s="228" t="s">
        <v>29</v>
      </c>
      <c r="C8" s="229">
        <f>'Feb 2025 -Prodn&amp; Sales Analysis'!C9</f>
        <v>38310</v>
      </c>
      <c r="D8" s="229">
        <f>'Feb 2025 -Prodn&amp; Sales Analysis'!D9</f>
        <v>755</v>
      </c>
      <c r="E8" s="229">
        <f>'Feb 2025 -Prodn&amp; Sales Analysis'!E9</f>
        <v>37555</v>
      </c>
      <c r="F8" s="229">
        <f>'Feb 2025 -Prodn&amp; Sales Analysis'!F9</f>
        <v>33306</v>
      </c>
      <c r="G8" s="229">
        <f>'Feb 2025 -Prodn&amp; Sales Analysis'!G9</f>
        <v>100</v>
      </c>
      <c r="H8" s="229">
        <f>'Feb 2025 -Prodn&amp; Sales Analysis'!H9</f>
        <v>33406</v>
      </c>
      <c r="I8" s="229">
        <f>'Feb 2025 -Prodn&amp; Sales Analysis'!I9</f>
        <v>729754.14</v>
      </c>
      <c r="J8" s="229">
        <f>'Feb 2025 -Prodn&amp; Sales Analysis'!J9</f>
        <v>301.72000000000003</v>
      </c>
      <c r="K8" s="229">
        <f>'Feb 2025 -Prodn&amp; Sales Analysis'!K9</f>
        <v>730055.86</v>
      </c>
      <c r="L8" s="626">
        <f>(F8+F9)/(E8+E9)</f>
        <v>0.89009492903634901</v>
      </c>
      <c r="M8" s="230">
        <f>I8/F8</f>
        <v>21.910590884525313</v>
      </c>
      <c r="N8" s="231">
        <f t="shared" si="0"/>
        <v>0.16945165873716145</v>
      </c>
      <c r="O8" s="232">
        <f>'Jan 2025-Prodn &amp; Sales Analysis'!O6</f>
        <v>2109.0461538461541</v>
      </c>
      <c r="P8" s="233">
        <f>C8/O8*12</f>
        <v>217.97531512605039</v>
      </c>
      <c r="Q8" s="628">
        <f>(K8+K9)*12/(O8+O9)/129.3029</f>
        <v>32.540397161784107</v>
      </c>
    </row>
    <row r="9" spans="2:19" s="16" customFormat="1" ht="15" customHeight="1" thickBot="1" x14ac:dyDescent="0.25">
      <c r="B9" s="234" t="s">
        <v>19</v>
      </c>
      <c r="C9" s="235">
        <f>'Feb 2025 -Prodn&amp; Sales Analysis'!C8</f>
        <v>70724</v>
      </c>
      <c r="D9" s="235">
        <f>'Feb 2025 -Prodn&amp; Sales Analysis'!D8</f>
        <v>1041</v>
      </c>
      <c r="E9" s="235">
        <f>'Feb 2025 -Prodn&amp; Sales Analysis'!E8</f>
        <v>69683</v>
      </c>
      <c r="F9" s="235">
        <f>'Feb 2025 -Prodn&amp; Sales Analysis'!F8</f>
        <v>62146</v>
      </c>
      <c r="G9" s="235">
        <f>'Feb 2025 -Prodn&amp; Sales Analysis'!G8</f>
        <v>5900</v>
      </c>
      <c r="H9" s="235">
        <f>'Feb 2025 -Prodn&amp; Sales Analysis'!H8</f>
        <v>68046</v>
      </c>
      <c r="I9" s="235">
        <f>'Feb 2025 -Prodn&amp; Sales Analysis'!I8</f>
        <v>1165098.1200000001</v>
      </c>
      <c r="J9" s="235">
        <f>'Feb 2025 -Prodn&amp; Sales Analysis'!J8</f>
        <v>18836.21</v>
      </c>
      <c r="K9" s="235">
        <f>'Feb 2025 -Prodn&amp; Sales Analysis'!K8</f>
        <v>1183934.33</v>
      </c>
      <c r="L9" s="627"/>
      <c r="M9" s="236">
        <f>I9/F9</f>
        <v>18.747757216876391</v>
      </c>
      <c r="N9" s="237">
        <f t="shared" si="0"/>
        <v>0.14499100342588134</v>
      </c>
      <c r="O9" s="238">
        <f>'Jan 2025-Prodn &amp; Sales Analysis'!O13</f>
        <v>3349.6615384615388</v>
      </c>
      <c r="P9" s="239">
        <f>C9/O9*12</f>
        <v>253.36529982363314</v>
      </c>
      <c r="Q9" s="629"/>
    </row>
    <row r="10" spans="2:19" s="16" customFormat="1" ht="15" customHeight="1" thickBot="1" x14ac:dyDescent="0.25">
      <c r="B10" s="10" t="s">
        <v>32</v>
      </c>
      <c r="C10" s="20">
        <f>'Feb 2025 -Prodn&amp; Sales Analysis'!C10</f>
        <v>64760</v>
      </c>
      <c r="D10" s="20">
        <f>'Feb 2025 -Prodn&amp; Sales Analysis'!D10</f>
        <v>2249</v>
      </c>
      <c r="E10" s="20">
        <f>'Feb 2025 -Prodn&amp; Sales Analysis'!E10</f>
        <v>62511</v>
      </c>
      <c r="F10" s="20">
        <f>'Feb 2025 -Prodn&amp; Sales Analysis'!F10</f>
        <v>60140</v>
      </c>
      <c r="G10" s="20">
        <f>'Feb 2025 -Prodn&amp; Sales Analysis'!G10</f>
        <v>15240</v>
      </c>
      <c r="H10" s="20">
        <f>'Feb 2025 -Prodn&amp; Sales Analysis'!H10</f>
        <v>75380</v>
      </c>
      <c r="I10" s="20">
        <f>'Feb 2025 -Prodn&amp; Sales Analysis'!I10</f>
        <v>1544795.6500000001</v>
      </c>
      <c r="J10" s="20">
        <f>'Feb 2025 -Prodn&amp; Sales Analysis'!J10</f>
        <v>47819.01</v>
      </c>
      <c r="K10" s="20">
        <f>'Feb 2025 -Prodn&amp; Sales Analysis'!K10</f>
        <v>1592614.6600000001</v>
      </c>
      <c r="L10" s="226">
        <f>F10/E10</f>
        <v>0.96207067556110126</v>
      </c>
      <c r="M10" s="12">
        <f>I10/F10</f>
        <v>25.686658629863654</v>
      </c>
      <c r="N10" s="227">
        <f t="shared" si="0"/>
        <v>0.19865493063081846</v>
      </c>
      <c r="O10" s="14">
        <f>'Jan 2025-Prodn &amp; Sales Analysis'!O12</f>
        <v>4962.4615384615381</v>
      </c>
      <c r="P10" s="14">
        <f>C10/O10*12</f>
        <v>156.59970238095241</v>
      </c>
      <c r="Q10" s="218">
        <f>(K10*12/O10)/129.3029</f>
        <v>29.784240909974439</v>
      </c>
    </row>
    <row r="11" spans="2:19" s="16" customFormat="1" ht="15" customHeight="1" x14ac:dyDescent="0.2">
      <c r="B11" s="240" t="s">
        <v>27</v>
      </c>
      <c r="C11" s="229">
        <f>'Feb 2025 -Prodn&amp; Sales Analysis'!C11</f>
        <v>136880</v>
      </c>
      <c r="D11" s="229">
        <f>'Feb 2025 -Prodn&amp; Sales Analysis'!D11</f>
        <v>1285</v>
      </c>
      <c r="E11" s="229">
        <f>'Feb 2025 -Prodn&amp; Sales Analysis'!E11</f>
        <v>135595</v>
      </c>
      <c r="F11" s="229">
        <f>'Feb 2025 -Prodn&amp; Sales Analysis'!F11</f>
        <v>142180</v>
      </c>
      <c r="G11" s="229">
        <f>'Feb 2025 -Prodn&amp; Sales Analysis'!G11</f>
        <v>4640</v>
      </c>
      <c r="H11" s="229">
        <f>'Feb 2025 -Prodn&amp; Sales Analysis'!H11</f>
        <v>146820</v>
      </c>
      <c r="I11" s="229">
        <f>'Feb 2025 -Prodn&amp; Sales Analysis'!I11</f>
        <v>2634218.5300000003</v>
      </c>
      <c r="J11" s="229">
        <f>'Feb 2025 -Prodn&amp; Sales Analysis'!J11</f>
        <v>14206.89</v>
      </c>
      <c r="K11" s="229">
        <f>'Feb 2025 -Prodn&amp; Sales Analysis'!K11</f>
        <v>2648425.4200000004</v>
      </c>
      <c r="L11" s="626">
        <f>(F11+F12)/(E11+E12)</f>
        <v>1.0232472213748984</v>
      </c>
      <c r="M11" s="230">
        <f t="shared" ref="M11:M20" si="1">I11/F11</f>
        <v>18.527349345899566</v>
      </c>
      <c r="N11" s="231">
        <f t="shared" si="0"/>
        <v>0.14328641775164799</v>
      </c>
      <c r="O11" s="232">
        <f>'Jan 2025-Prodn &amp; Sales Analysis'!O8</f>
        <v>8684.3076923076933</v>
      </c>
      <c r="P11" s="233">
        <f t="shared" ref="P11:P20" si="2">C11/O11*12</f>
        <v>189.14115646258503</v>
      </c>
      <c r="Q11" s="628">
        <f>(K11+K12)*12/(O11+O12)/129.3029</f>
        <v>27.773136251126481</v>
      </c>
    </row>
    <row r="12" spans="2:19" s="16" customFormat="1" ht="15" customHeight="1" thickBot="1" x14ac:dyDescent="0.25">
      <c r="B12" s="241" t="s">
        <v>34</v>
      </c>
      <c r="C12" s="242">
        <f>'Feb 2025 -Prodn&amp; Sales Analysis'!C12</f>
        <v>97855</v>
      </c>
      <c r="D12" s="242">
        <f>'Feb 2025 -Prodn&amp; Sales Analysis'!D12</f>
        <v>691</v>
      </c>
      <c r="E12" s="242">
        <f>'Feb 2025 -Prodn&amp; Sales Analysis'!E12</f>
        <v>97164</v>
      </c>
      <c r="F12" s="242">
        <f>'Feb 2025 -Prodn&amp; Sales Analysis'!F12</f>
        <v>95990</v>
      </c>
      <c r="G12" s="242">
        <f>'Feb 2025 -Prodn&amp; Sales Analysis'!G12</f>
        <v>1480</v>
      </c>
      <c r="H12" s="242">
        <f>'Feb 2025 -Prodn&amp; Sales Analysis'!H12</f>
        <v>97470</v>
      </c>
      <c r="I12" s="242">
        <f>'Feb 2025 -Prodn&amp; Sales Analysis'!I12</f>
        <v>1542245.9000000001</v>
      </c>
      <c r="J12" s="242">
        <f>'Feb 2025 -Prodn&amp; Sales Analysis'!J12</f>
        <v>4672.42</v>
      </c>
      <c r="K12" s="242">
        <f>'Feb 2025 -Prodn&amp; Sales Analysis'!K12</f>
        <v>1546918.32</v>
      </c>
      <c r="L12" s="627"/>
      <c r="M12" s="243">
        <f t="shared" si="1"/>
        <v>16.066735076570478</v>
      </c>
      <c r="N12" s="237">
        <f t="shared" si="0"/>
        <v>0.12425657179050492</v>
      </c>
      <c r="O12" s="238">
        <f>'Jan 2025-Prodn &amp; Sales Analysis'!O9</f>
        <v>5334.6461538461526</v>
      </c>
      <c r="P12" s="239">
        <f t="shared" si="2"/>
        <v>220.11956672203772</v>
      </c>
      <c r="Q12" s="629"/>
    </row>
    <row r="13" spans="2:19" s="16" customFormat="1" ht="15" customHeight="1" x14ac:dyDescent="0.2">
      <c r="B13" s="249" t="s">
        <v>21</v>
      </c>
      <c r="C13" s="250">
        <f>'Feb 2025 -Prodn&amp; Sales Analysis'!C14</f>
        <v>60710</v>
      </c>
      <c r="D13" s="250">
        <f>'Feb 2025 -Prodn&amp; Sales Analysis'!D14</f>
        <v>1122</v>
      </c>
      <c r="E13" s="250">
        <f>'Feb 2025 -Prodn&amp; Sales Analysis'!E14</f>
        <v>59588</v>
      </c>
      <c r="F13" s="250">
        <f>'Feb 2025 -Prodn&amp; Sales Analysis'!F14</f>
        <v>58310</v>
      </c>
      <c r="G13" s="250">
        <f>'Feb 2025 -Prodn&amp; Sales Analysis'!G14</f>
        <v>1560</v>
      </c>
      <c r="H13" s="250">
        <f>'Feb 2025 -Prodn&amp; Sales Analysis'!H14</f>
        <v>59870</v>
      </c>
      <c r="I13" s="250">
        <f>'Feb 2025 -Prodn&amp; Sales Analysis'!I14</f>
        <v>1219560.22</v>
      </c>
      <c r="J13" s="250">
        <f>'Feb 2025 -Prodn&amp; Sales Analysis'!J14</f>
        <v>4706.8900000000003</v>
      </c>
      <c r="K13" s="250">
        <f>'Feb 2025 -Prodn&amp; Sales Analysis'!K14</f>
        <v>1224267.1099999999</v>
      </c>
      <c r="L13" s="251">
        <f>F13/E13</f>
        <v>0.97855272873732968</v>
      </c>
      <c r="M13" s="252">
        <f>I13/F13</f>
        <v>20.915112673640884</v>
      </c>
      <c r="N13" s="227">
        <f t="shared" si="0"/>
        <v>0.1617528506602782</v>
      </c>
      <c r="O13" s="253">
        <f>'Jan 2025-Prodn &amp; Sales Analysis'!O14</f>
        <v>4794.0923076923082</v>
      </c>
      <c r="P13" s="253">
        <f>C13/O13*12</f>
        <v>151.96203019100429</v>
      </c>
      <c r="Q13" s="325">
        <f>(K13*12/O13)/129.3029</f>
        <v>23.69969577414048</v>
      </c>
    </row>
    <row r="14" spans="2:19" s="16" customFormat="1" ht="15" customHeight="1" thickBot="1" x14ac:dyDescent="0.25">
      <c r="B14" s="17" t="s">
        <v>20</v>
      </c>
      <c r="C14" s="244">
        <f>'Feb 2025 -Prodn&amp; Sales Analysis'!C13</f>
        <v>173760</v>
      </c>
      <c r="D14" s="244">
        <f>'Feb 2025 -Prodn&amp; Sales Analysis'!D13</f>
        <v>2121</v>
      </c>
      <c r="E14" s="244">
        <f>'Feb 2025 -Prodn&amp; Sales Analysis'!E13</f>
        <v>171639</v>
      </c>
      <c r="F14" s="244">
        <f>'Feb 2025 -Prodn&amp; Sales Analysis'!F13</f>
        <v>178886</v>
      </c>
      <c r="G14" s="244">
        <f>'Feb 2025 -Prodn&amp; Sales Analysis'!G13</f>
        <v>11260</v>
      </c>
      <c r="H14" s="244">
        <f>'Feb 2025 -Prodn&amp; Sales Analysis'!H13</f>
        <v>190146</v>
      </c>
      <c r="I14" s="244">
        <f>'Feb 2025 -Prodn&amp; Sales Analysis'!I13</f>
        <v>2630888.11</v>
      </c>
      <c r="J14" s="244">
        <f>'Feb 2025 -Prodn&amp; Sales Analysis'!J13</f>
        <v>35810.339999999997</v>
      </c>
      <c r="K14" s="244">
        <f>'Feb 2025 -Prodn&amp; Sales Analysis'!K13</f>
        <v>2666698.4499999997</v>
      </c>
      <c r="L14" s="245">
        <f>F14/E14</f>
        <v>1.0422223387458562</v>
      </c>
      <c r="M14" s="18">
        <f t="shared" si="1"/>
        <v>14.707065449504153</v>
      </c>
      <c r="N14" s="227">
        <f t="shared" si="0"/>
        <v>0.11374118793549219</v>
      </c>
      <c r="O14" s="19">
        <f>'Jan 2025-Prodn &amp; Sales Analysis'!O10</f>
        <v>10545.230769230768</v>
      </c>
      <c r="P14" s="19">
        <f t="shared" si="2"/>
        <v>197.73109243697485</v>
      </c>
      <c r="Q14" s="218">
        <f>(K14*12/O14)/129.3029</f>
        <v>23.46879551969122</v>
      </c>
    </row>
    <row r="15" spans="2:19" s="16" customFormat="1" ht="15" customHeight="1" x14ac:dyDescent="0.2">
      <c r="B15" s="258" t="s">
        <v>24</v>
      </c>
      <c r="C15" s="259">
        <f>'Feb 2025 -Prodn&amp; Sales Analysis'!C15</f>
        <v>84656</v>
      </c>
      <c r="D15" s="259">
        <f>'Feb 2025 -Prodn&amp; Sales Analysis'!D15</f>
        <v>872</v>
      </c>
      <c r="E15" s="259">
        <f>'Feb 2025 -Prodn&amp; Sales Analysis'!E15</f>
        <v>83784</v>
      </c>
      <c r="F15" s="259">
        <f>'Feb 2025 -Prodn&amp; Sales Analysis'!F15</f>
        <v>80564</v>
      </c>
      <c r="G15" s="259">
        <f>'Feb 2025 -Prodn&amp; Sales Analysis'!G15</f>
        <v>3160</v>
      </c>
      <c r="H15" s="259">
        <f>'Feb 2025 -Prodn&amp; Sales Analysis'!H15</f>
        <v>83724</v>
      </c>
      <c r="I15" s="259">
        <f>'Feb 2025 -Prodn&amp; Sales Analysis'!I15</f>
        <v>1061007.95</v>
      </c>
      <c r="J15" s="259">
        <f>'Feb 2025 -Prodn&amp; Sales Analysis'!J15</f>
        <v>9534.5</v>
      </c>
      <c r="K15" s="259">
        <f>'Feb 2025 -Prodn&amp; Sales Analysis'!K15</f>
        <v>1070542.45</v>
      </c>
      <c r="L15" s="626">
        <f>(F15+F16+F17)/(C15+C16+C17)</f>
        <v>0.9166500779266179</v>
      </c>
      <c r="M15" s="230">
        <f>I15/F15</f>
        <v>13.169752619035798</v>
      </c>
      <c r="N15" s="255">
        <f t="shared" si="0"/>
        <v>0.101851950876862</v>
      </c>
      <c r="O15" s="232">
        <f>'Jan 2025-Prodn &amp; Sales Analysis'!O19</f>
        <v>5302.1538461538457</v>
      </c>
      <c r="P15" s="233">
        <f>C15/O15*12</f>
        <v>191.59610027855155</v>
      </c>
      <c r="Q15" s="628">
        <f>(K15+K16+K17)*12/(O15+O16+O17)/129.3029</f>
        <v>16.791696825645907</v>
      </c>
    </row>
    <row r="16" spans="2:19" s="16" customFormat="1" ht="15" customHeight="1" x14ac:dyDescent="0.2">
      <c r="B16" s="260" t="s">
        <v>23</v>
      </c>
      <c r="C16" s="20">
        <f>'Feb 2025 -Prodn&amp; Sales Analysis'!C19</f>
        <v>61225</v>
      </c>
      <c r="D16" s="20">
        <f>'Feb 2025 -Prodn&amp; Sales Analysis'!D19</f>
        <v>969</v>
      </c>
      <c r="E16" s="20">
        <f>'Feb 2025 -Prodn&amp; Sales Analysis'!E19</f>
        <v>60256</v>
      </c>
      <c r="F16" s="20">
        <f>'Feb 2025 -Prodn&amp; Sales Analysis'!F19</f>
        <v>52108</v>
      </c>
      <c r="G16" s="20">
        <f>'Feb 2025 -Prodn&amp; Sales Analysis'!G19</f>
        <v>3240</v>
      </c>
      <c r="H16" s="20">
        <f>'Feb 2025 -Prodn&amp; Sales Analysis'!H19</f>
        <v>55348</v>
      </c>
      <c r="I16" s="20">
        <f>'Feb 2025 -Prodn&amp; Sales Analysis'!I19</f>
        <v>842366.24</v>
      </c>
      <c r="J16" s="20">
        <f>'Feb 2025 -Prodn&amp; Sales Analysis'!J19</f>
        <v>9775.8799999999992</v>
      </c>
      <c r="K16" s="20">
        <f>'Feb 2025 -Prodn&amp; Sales Analysis'!K19</f>
        <v>852142.12</v>
      </c>
      <c r="L16" s="634"/>
      <c r="M16" s="256">
        <f t="shared" ref="M16" si="3">I16/F16</f>
        <v>16.165775696630075</v>
      </c>
      <c r="N16" s="247">
        <f t="shared" si="0"/>
        <v>0.12502253001773414</v>
      </c>
      <c r="O16" s="209">
        <f>'Jan 2025-Prodn &amp; Sales Analysis'!O18</f>
        <v>5173.3661538461538</v>
      </c>
      <c r="P16" s="248">
        <f t="shared" ref="P16" si="4">C16/O16*12</f>
        <v>142.01585160443074</v>
      </c>
      <c r="Q16" s="633"/>
    </row>
    <row r="17" spans="2:18" s="16" customFormat="1" ht="15" customHeight="1" thickBot="1" x14ac:dyDescent="0.25">
      <c r="B17" s="261" t="s">
        <v>22</v>
      </c>
      <c r="C17" s="242">
        <f>'Feb 2025 -Prodn&amp; Sales Analysis'!C17</f>
        <v>60082</v>
      </c>
      <c r="D17" s="242">
        <f>'Feb 2025 -Prodn&amp; Sales Analysis'!D17</f>
        <v>842</v>
      </c>
      <c r="E17" s="242">
        <f>'Feb 2025 -Prodn&amp; Sales Analysis'!E17</f>
        <v>59240</v>
      </c>
      <c r="F17" s="242">
        <f>'Feb 2025 -Prodn&amp; Sales Analysis'!F17</f>
        <v>56124</v>
      </c>
      <c r="G17" s="242">
        <f>'Feb 2025 -Prodn&amp; Sales Analysis'!G17</f>
        <v>4340</v>
      </c>
      <c r="H17" s="242">
        <f>'Feb 2025 -Prodn&amp; Sales Analysis'!H17</f>
        <v>60464</v>
      </c>
      <c r="I17" s="242">
        <f>'Feb 2025 -Prodn&amp; Sales Analysis'!I17</f>
        <v>857485.48999999987</v>
      </c>
      <c r="J17" s="242">
        <f>'Feb 2025 -Prodn&amp; Sales Analysis'!J17</f>
        <v>13094.82</v>
      </c>
      <c r="K17" s="242">
        <f>'Feb 2025 -Prodn&amp; Sales Analysis'!K17</f>
        <v>870580.30999999982</v>
      </c>
      <c r="L17" s="627"/>
      <c r="M17" s="243">
        <f>I17/F17</f>
        <v>15.278410127574654</v>
      </c>
      <c r="N17" s="237">
        <f t="shared" si="0"/>
        <v>0.11815984117583329</v>
      </c>
      <c r="O17" s="238">
        <f>'Jan 2025-Prodn &amp; Sales Analysis'!O20</f>
        <v>4962.4615384615381</v>
      </c>
      <c r="P17" s="239">
        <f>C17/O17*12</f>
        <v>145.2875744047619</v>
      </c>
      <c r="Q17" s="629"/>
    </row>
    <row r="18" spans="2:18" s="16" customFormat="1" ht="15" customHeight="1" thickBot="1" x14ac:dyDescent="0.25">
      <c r="B18" s="262" t="s">
        <v>26</v>
      </c>
      <c r="C18" s="263">
        <f>'Feb 2025 -Prodn&amp; Sales Analysis'!C18</f>
        <v>40260</v>
      </c>
      <c r="D18" s="263">
        <f>'Feb 2025 -Prodn&amp; Sales Analysis'!D18</f>
        <v>1086</v>
      </c>
      <c r="E18" s="263">
        <f>'Feb 2025 -Prodn&amp; Sales Analysis'!E18</f>
        <v>39174</v>
      </c>
      <c r="F18" s="263">
        <f>'Feb 2025 -Prodn&amp; Sales Analysis'!F18</f>
        <v>27550</v>
      </c>
      <c r="G18" s="263">
        <f>'Feb 2025 -Prodn&amp; Sales Analysis'!G18</f>
        <v>3720</v>
      </c>
      <c r="H18" s="263">
        <f>'Feb 2025 -Prodn&amp; Sales Analysis'!H18</f>
        <v>31270</v>
      </c>
      <c r="I18" s="263">
        <f>'Feb 2025 -Prodn&amp; Sales Analysis'!I18</f>
        <v>394210.95</v>
      </c>
      <c r="J18" s="263">
        <f>'Feb 2025 -Prodn&amp; Sales Analysis'!J18</f>
        <v>11224.15</v>
      </c>
      <c r="K18" s="263">
        <f>'Feb 2025 -Prodn&amp; Sales Analysis'!K18</f>
        <v>405435.10000000003</v>
      </c>
      <c r="L18" s="264">
        <f t="shared" ref="L18" si="5">F18/E18</f>
        <v>0.70327257875121252</v>
      </c>
      <c r="M18" s="265">
        <f t="shared" ref="M18" si="6">I18/F18</f>
        <v>14.308927404718693</v>
      </c>
      <c r="N18" s="227">
        <f t="shared" si="0"/>
        <v>0.11066207644777258</v>
      </c>
      <c r="O18" s="253">
        <f>'Jan 2025-Prodn &amp; Sales Analysis'!O21</f>
        <v>2357.1692307692306</v>
      </c>
      <c r="P18" s="253">
        <f t="shared" ref="P18" si="7">C18/O18*12</f>
        <v>204.95770676691728</v>
      </c>
      <c r="Q18" s="218">
        <f>(K18*12/O18)/129.3029</f>
        <v>15.962597455616693</v>
      </c>
    </row>
    <row r="19" spans="2:18" s="16" customFormat="1" ht="15" customHeight="1" x14ac:dyDescent="0.2">
      <c r="B19" s="246" t="s">
        <v>25</v>
      </c>
      <c r="C19" s="229">
        <f>'Feb 2025 -Prodn&amp; Sales Analysis'!C16</f>
        <v>70675</v>
      </c>
      <c r="D19" s="229">
        <f>'Feb 2025 -Prodn&amp; Sales Analysis'!D16</f>
        <v>776</v>
      </c>
      <c r="E19" s="229">
        <f>'Feb 2025 -Prodn&amp; Sales Analysis'!E16</f>
        <v>69899</v>
      </c>
      <c r="F19" s="229">
        <f>'Feb 2025 -Prodn&amp; Sales Analysis'!F16</f>
        <v>57584</v>
      </c>
      <c r="G19" s="229">
        <f>'Feb 2025 -Prodn&amp; Sales Analysis'!G16</f>
        <v>3220</v>
      </c>
      <c r="H19" s="229">
        <f>'Feb 2025 -Prodn&amp; Sales Analysis'!H16</f>
        <v>60804</v>
      </c>
      <c r="I19" s="229">
        <f>'Feb 2025 -Prodn&amp; Sales Analysis'!I16</f>
        <v>940660.26</v>
      </c>
      <c r="J19" s="229">
        <f>'Feb 2025 -Prodn&amp; Sales Analysis'!J16</f>
        <v>9715.5300000000007</v>
      </c>
      <c r="K19" s="229">
        <f>'Feb 2025 -Prodn&amp; Sales Analysis'!K16</f>
        <v>950375.79</v>
      </c>
      <c r="L19" s="626">
        <f>(F19+F20)/(C19+C20)</f>
        <v>0.86807422933387868</v>
      </c>
      <c r="M19" s="230">
        <f t="shared" si="1"/>
        <v>16.335444915254236</v>
      </c>
      <c r="N19" s="231">
        <f t="shared" si="0"/>
        <v>0.12633471418857764</v>
      </c>
      <c r="O19" s="232">
        <f>'Jan 2025-Prodn &amp; Sales Analysis'!O15</f>
        <v>5371.8646153846139</v>
      </c>
      <c r="P19" s="233">
        <f t="shared" si="2"/>
        <v>157.87814115253497</v>
      </c>
      <c r="Q19" s="628">
        <f>(K19+K20)*12/(O19+O20)/129.3029</f>
        <v>15.237736993908053</v>
      </c>
    </row>
    <row r="20" spans="2:18" s="16" customFormat="1" ht="15" customHeight="1" thickBot="1" x14ac:dyDescent="0.25">
      <c r="B20" s="340" t="s">
        <v>31</v>
      </c>
      <c r="C20" s="242">
        <f>'Feb 2025 -Prodn&amp; Sales Analysis'!C20</f>
        <v>27130</v>
      </c>
      <c r="D20" s="242">
        <f>'Feb 2025 -Prodn&amp; Sales Analysis'!D20</f>
        <v>587</v>
      </c>
      <c r="E20" s="242">
        <f>'Feb 2025 -Prodn&amp; Sales Analysis'!E20</f>
        <v>26543</v>
      </c>
      <c r="F20" s="242">
        <f>'Feb 2025 -Prodn&amp; Sales Analysis'!F20</f>
        <v>27318</v>
      </c>
      <c r="G20" s="242">
        <f>'Feb 2025 -Prodn&amp; Sales Analysis'!G20</f>
        <v>640</v>
      </c>
      <c r="H20" s="242">
        <f>'Feb 2025 -Prodn&amp; Sales Analysis'!H20</f>
        <v>27958</v>
      </c>
      <c r="I20" s="242">
        <f>'Feb 2025 -Prodn&amp; Sales Analysis'!I20</f>
        <v>418574.05</v>
      </c>
      <c r="J20" s="242">
        <f>'Feb 2025 -Prodn&amp; Sales Analysis'!J20</f>
        <v>1931.04</v>
      </c>
      <c r="K20" s="242">
        <f>'Feb 2025 -Prodn&amp; Sales Analysis'!K20</f>
        <v>420505.08999999997</v>
      </c>
      <c r="L20" s="627"/>
      <c r="M20" s="236">
        <f t="shared" si="1"/>
        <v>15.322280181565269</v>
      </c>
      <c r="N20" s="237">
        <f t="shared" si="0"/>
        <v>0.11849912246024853</v>
      </c>
      <c r="O20" s="238">
        <f>'Jan 2025-Prodn &amp; Sales Analysis'!O17</f>
        <v>2977.4769230769234</v>
      </c>
      <c r="P20" s="239">
        <f t="shared" si="2"/>
        <v>109.3408978174603</v>
      </c>
      <c r="Q20" s="629"/>
      <c r="R20" s="16" t="s">
        <v>118</v>
      </c>
    </row>
    <row r="21" spans="2:18" s="16" customFormat="1" ht="15" customHeight="1" thickBot="1" x14ac:dyDescent="0.25">
      <c r="B21" s="266" t="s">
        <v>33</v>
      </c>
      <c r="C21" s="267">
        <f>'Feb 2025 -Prodn&amp; Sales Analysis'!C21</f>
        <v>26607</v>
      </c>
      <c r="D21" s="267">
        <f>'Feb 2025 -Prodn&amp; Sales Analysis'!D21</f>
        <v>591</v>
      </c>
      <c r="E21" s="267">
        <f>'Feb 2025 -Prodn&amp; Sales Analysis'!E21</f>
        <v>26016</v>
      </c>
      <c r="F21" s="267">
        <f>'Feb 2025 -Prodn&amp; Sales Analysis'!F21</f>
        <v>20035</v>
      </c>
      <c r="G21" s="267">
        <f>'Feb 2025 -Prodn&amp; Sales Analysis'!G21</f>
        <v>940</v>
      </c>
      <c r="H21" s="267">
        <f>'Feb 2025 -Prodn&amp; Sales Analysis'!H21</f>
        <v>20975</v>
      </c>
      <c r="I21" s="267">
        <f>'Feb 2025 -Prodn&amp; Sales Analysis'!I21</f>
        <v>299096.01</v>
      </c>
      <c r="J21" s="267">
        <f>'Feb 2025 -Prodn&amp; Sales Analysis'!J21</f>
        <v>2836.21</v>
      </c>
      <c r="K21" s="267">
        <f>'Feb 2025 -Prodn&amp; Sales Analysis'!K21</f>
        <v>301932.22000000003</v>
      </c>
      <c r="L21" s="268">
        <f>F21/E21</f>
        <v>0.77010301353013533</v>
      </c>
      <c r="M21" s="269">
        <f>I21/F21</f>
        <v>14.928675318193163</v>
      </c>
      <c r="N21" s="342">
        <f t="shared" si="0"/>
        <v>0.11545506959390055</v>
      </c>
      <c r="O21" s="14">
        <f>'Jan 2025-Prodn &amp; Sales Analysis'!O16</f>
        <v>2605.292307692308</v>
      </c>
      <c r="P21" s="14">
        <f>C21/O21*12</f>
        <v>122.55208333333333</v>
      </c>
      <c r="Q21" s="218">
        <f>(K21*12/O21)/129.3029</f>
        <v>10.755385563156281</v>
      </c>
    </row>
    <row r="22" spans="2:18" ht="17.25" customHeight="1" thickBot="1" x14ac:dyDescent="0.25">
      <c r="B22" s="270" t="s">
        <v>35</v>
      </c>
      <c r="C22" s="271">
        <f>SUM(C6:C21)</f>
        <v>1256796</v>
      </c>
      <c r="D22" s="271">
        <f t="shared" ref="D22:K22" si="8">SUM(D6:D21)</f>
        <v>16428</v>
      </c>
      <c r="E22" s="271">
        <f t="shared" si="8"/>
        <v>1240368</v>
      </c>
      <c r="F22" s="271">
        <f t="shared" si="8"/>
        <v>1236069</v>
      </c>
      <c r="G22" s="271">
        <f t="shared" si="8"/>
        <v>67200</v>
      </c>
      <c r="H22" s="271">
        <f t="shared" si="8"/>
        <v>1303269</v>
      </c>
      <c r="I22" s="271">
        <f t="shared" si="8"/>
        <v>25050071.379999999</v>
      </c>
      <c r="J22" s="271">
        <f t="shared" si="8"/>
        <v>260620.80000000005</v>
      </c>
      <c r="K22" s="271">
        <f t="shared" si="8"/>
        <v>25310692.179999996</v>
      </c>
      <c r="L22" s="377">
        <f>F22/E22</f>
        <v>0.9965340931078519</v>
      </c>
      <c r="M22" s="23">
        <f>I22/F22</f>
        <v>20.265916692352935</v>
      </c>
      <c r="N22" s="273">
        <f t="shared" si="0"/>
        <v>0.1567321126776966</v>
      </c>
      <c r="O22" s="52">
        <f>SUM(O6:O21)</f>
        <v>86952.369230769211</v>
      </c>
      <c r="P22" s="25">
        <f>C22/O22*12</f>
        <v>173.44613071984242</v>
      </c>
      <c r="Q22" s="274">
        <f>(K22*12/O22)/129.3029</f>
        <v>27.014415972463844</v>
      </c>
    </row>
    <row r="23" spans="2:18" ht="17.25" customHeight="1" thickTop="1" thickBot="1" x14ac:dyDescent="0.25">
      <c r="B23" s="26" t="s">
        <v>36</v>
      </c>
      <c r="C23" s="27"/>
      <c r="D23" s="275">
        <f>D22/C22</f>
        <v>1.3071333772545424E-2</v>
      </c>
      <c r="E23" s="276">
        <f>E22/C22</f>
        <v>0.98692866622745457</v>
      </c>
      <c r="F23" s="30"/>
      <c r="G23" s="31"/>
      <c r="H23" s="30"/>
      <c r="I23" s="30"/>
      <c r="J23" s="30"/>
      <c r="K23" s="30"/>
      <c r="L23" s="32"/>
      <c r="M23" s="30"/>
      <c r="N23" s="33"/>
      <c r="O23" s="34"/>
      <c r="P23" s="34"/>
      <c r="Q23" s="35"/>
    </row>
    <row r="24" spans="2:18" ht="21" customHeight="1" thickTop="1" thickBot="1" x14ac:dyDescent="0.3">
      <c r="B24" s="623" t="s">
        <v>37</v>
      </c>
      <c r="C24" s="620"/>
      <c r="D24" s="620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0"/>
      <c r="P24" s="620"/>
      <c r="Q24" s="620"/>
    </row>
    <row r="25" spans="2:18" ht="15.75" customHeight="1" x14ac:dyDescent="0.2">
      <c r="B25" s="316" t="s">
        <v>51</v>
      </c>
      <c r="C25" s="304">
        <f>'Feb 2025 -Prodn&amp; Sales Analysis'!C25</f>
        <v>75777</v>
      </c>
      <c r="D25" s="304">
        <f>'Feb 2025 -Prodn&amp; Sales Analysis'!D25</f>
        <v>882</v>
      </c>
      <c r="E25" s="304">
        <f>'Feb 2025 -Prodn&amp; Sales Analysis'!E25</f>
        <v>74895</v>
      </c>
      <c r="F25" s="304">
        <f>'Feb 2025 -Prodn&amp; Sales Analysis'!F25</f>
        <v>75430</v>
      </c>
      <c r="G25" s="304">
        <f>'Feb 2025 -Prodn&amp; Sales Analysis'!G25</f>
        <v>6240</v>
      </c>
      <c r="H25" s="304">
        <f>'Feb 2025 -Prodn&amp; Sales Analysis'!H25</f>
        <v>81670</v>
      </c>
      <c r="I25" s="304">
        <f>'Feb 2025 -Prodn&amp; Sales Analysis'!I25</f>
        <v>3634112.9</v>
      </c>
      <c r="J25" s="304">
        <f>'Feb 2025 -Prodn&amp; Sales Analysis'!J25</f>
        <v>64551.74</v>
      </c>
      <c r="K25" s="304">
        <f>'Feb 2025 -Prodn&amp; Sales Analysis'!K25</f>
        <v>3698664.64</v>
      </c>
      <c r="L25" s="626">
        <f>(F25+F26)/(E25+E26)</f>
        <v>1.0132096069868997</v>
      </c>
      <c r="M25" s="279">
        <f t="shared" ref="M25:M34" si="9">I25/F25</f>
        <v>48.178614609571788</v>
      </c>
      <c r="N25" s="231">
        <f t="shared" ref="N25:N54" si="10">M25/129.3029</f>
        <v>0.37260273829567464</v>
      </c>
      <c r="O25" s="281">
        <f>'Jan 2025-Prodn &amp; Sales Analysis'!O26</f>
        <v>8436.1846153846163</v>
      </c>
      <c r="P25" s="229">
        <f t="shared" ref="P25:P34" si="11">C25/O25*12</f>
        <v>107.78853728991595</v>
      </c>
      <c r="Q25" s="628">
        <f>(K25+K26)*12/(O25+O26)/129.3029</f>
        <v>40.655796245264717</v>
      </c>
    </row>
    <row r="26" spans="2:18" ht="15.75" customHeight="1" thickBot="1" x14ac:dyDescent="0.25">
      <c r="B26" s="317" t="s">
        <v>42</v>
      </c>
      <c r="C26" s="296">
        <f>'Feb 2025 -Prodn&amp; Sales Analysis'!C26</f>
        <v>17052</v>
      </c>
      <c r="D26" s="296">
        <f>'Feb 2025 -Prodn&amp; Sales Analysis'!D26</f>
        <v>347</v>
      </c>
      <c r="E26" s="296">
        <f>'Feb 2025 -Prodn&amp; Sales Analysis'!E26</f>
        <v>16705</v>
      </c>
      <c r="F26" s="296">
        <f>'Feb 2025 -Prodn&amp; Sales Analysis'!F26</f>
        <v>17380</v>
      </c>
      <c r="G26" s="296">
        <f>'Feb 2025 -Prodn&amp; Sales Analysis'!G26</f>
        <v>980</v>
      </c>
      <c r="H26" s="296">
        <f>'Feb 2025 -Prodn&amp; Sales Analysis'!H26</f>
        <v>18360</v>
      </c>
      <c r="I26" s="296">
        <f>'Feb 2025 -Prodn&amp; Sales Analysis'!I26</f>
        <v>1017713.9200000002</v>
      </c>
      <c r="J26" s="296">
        <f>'Feb 2025 -Prodn&amp; Sales Analysis'!J26</f>
        <v>11931.04</v>
      </c>
      <c r="K26" s="296">
        <f>'Feb 2025 -Prodn&amp; Sales Analysis'!K26</f>
        <v>1029644.9600000002</v>
      </c>
      <c r="L26" s="627"/>
      <c r="M26" s="306">
        <f t="shared" si="9"/>
        <v>58.556612197928665</v>
      </c>
      <c r="N26" s="237">
        <f t="shared" si="10"/>
        <v>0.45286387388008054</v>
      </c>
      <c r="O26" s="299">
        <f>'Jan 2025-Prodn &amp; Sales Analysis'!O37</f>
        <v>2357.1692307692306</v>
      </c>
      <c r="P26" s="20">
        <f t="shared" si="11"/>
        <v>86.809210526315795</v>
      </c>
      <c r="Q26" s="633"/>
      <c r="R26" s="16"/>
    </row>
    <row r="27" spans="2:18" ht="15.75" customHeight="1" x14ac:dyDescent="0.2">
      <c r="B27" s="286" t="s">
        <v>43</v>
      </c>
      <c r="C27" s="278">
        <f>'Feb 2025 -Prodn&amp; Sales Analysis'!C32</f>
        <v>28827</v>
      </c>
      <c r="D27" s="278">
        <f>'Feb 2025 -Prodn&amp; Sales Analysis'!D32</f>
        <v>260</v>
      </c>
      <c r="E27" s="278">
        <f>'Feb 2025 -Prodn&amp; Sales Analysis'!E32</f>
        <v>28567</v>
      </c>
      <c r="F27" s="278">
        <f>'Feb 2025 -Prodn&amp; Sales Analysis'!F32</f>
        <v>24140</v>
      </c>
      <c r="G27" s="278">
        <f>'Feb 2025 -Prodn&amp; Sales Analysis'!G32</f>
        <v>580</v>
      </c>
      <c r="H27" s="278">
        <f>'Feb 2025 -Prodn&amp; Sales Analysis'!H32</f>
        <v>24720</v>
      </c>
      <c r="I27" s="278">
        <f>'Feb 2025 -Prodn&amp; Sales Analysis'!I32</f>
        <v>891889.1</v>
      </c>
      <c r="J27" s="278">
        <f>'Feb 2025 -Prodn&amp; Sales Analysis'!J32</f>
        <v>2103.44</v>
      </c>
      <c r="K27" s="278">
        <f>'Feb 2025 -Prodn&amp; Sales Analysis'!K32</f>
        <v>893992.53999999992</v>
      </c>
      <c r="L27" s="626">
        <f>(F27+F28)/(E27+E28)</f>
        <v>0.90113757163280017</v>
      </c>
      <c r="M27" s="287">
        <f t="shared" si="9"/>
        <v>36.946524440762218</v>
      </c>
      <c r="N27" s="231">
        <f t="shared" si="10"/>
        <v>0.28573623979634039</v>
      </c>
      <c r="O27" s="281">
        <f>'Jan 2025-Prodn &amp; Sales Analysis'!O31</f>
        <v>2605.292307692308</v>
      </c>
      <c r="P27" s="288">
        <f t="shared" si="11"/>
        <v>132.77742346938774</v>
      </c>
      <c r="Q27" s="628">
        <f>(K27+K28)*12/(O27+O28)/129.3029</f>
        <v>33.454603298795746</v>
      </c>
    </row>
    <row r="28" spans="2:18" ht="15.75" customHeight="1" thickBot="1" x14ac:dyDescent="0.25">
      <c r="B28" s="289" t="s">
        <v>52</v>
      </c>
      <c r="C28" s="283">
        <f>'Feb 2025 -Prodn&amp; Sales Analysis'!C28</f>
        <v>53881</v>
      </c>
      <c r="D28" s="283">
        <f>'Feb 2025 -Prodn&amp; Sales Analysis'!D28</f>
        <v>607</v>
      </c>
      <c r="E28" s="283">
        <f>'Feb 2025 -Prodn&amp; Sales Analysis'!E28</f>
        <v>53274</v>
      </c>
      <c r="F28" s="283">
        <f>'Feb 2025 -Prodn&amp; Sales Analysis'!F28</f>
        <v>49610</v>
      </c>
      <c r="G28" s="283">
        <f>'Feb 2025 -Prodn&amp; Sales Analysis'!G28</f>
        <v>3480</v>
      </c>
      <c r="H28" s="283">
        <f>'Feb 2025 -Prodn&amp; Sales Analysis'!H28</f>
        <v>53090</v>
      </c>
      <c r="I28" s="283">
        <f>'Feb 2025 -Prodn&amp; Sales Analysis'!I28</f>
        <v>1844403.19</v>
      </c>
      <c r="J28" s="283">
        <f>'Feb 2025 -Prodn&amp; Sales Analysis'!J28</f>
        <v>11999.98</v>
      </c>
      <c r="K28" s="283">
        <f>'Feb 2025 -Prodn&amp; Sales Analysis'!K28</f>
        <v>1856403.17</v>
      </c>
      <c r="L28" s="627"/>
      <c r="M28" s="290">
        <f t="shared" si="9"/>
        <v>37.178052610360815</v>
      </c>
      <c r="N28" s="237">
        <f t="shared" si="10"/>
        <v>0.28752682739799973</v>
      </c>
      <c r="O28" s="257">
        <f>'Jan 2025-Prodn &amp; Sales Analysis'!O30</f>
        <v>5024.4923076923069</v>
      </c>
      <c r="P28" s="291">
        <f t="shared" si="11"/>
        <v>128.68404614932396</v>
      </c>
      <c r="Q28" s="629"/>
    </row>
    <row r="29" spans="2:18" ht="15.75" customHeight="1" x14ac:dyDescent="0.2">
      <c r="B29" s="292" t="s">
        <v>49</v>
      </c>
      <c r="C29" s="278">
        <f>'Feb 2025 -Prodn&amp; Sales Analysis'!C30</f>
        <v>49471</v>
      </c>
      <c r="D29" s="278">
        <f>'Feb 2025 -Prodn&amp; Sales Analysis'!D30</f>
        <v>463</v>
      </c>
      <c r="E29" s="278">
        <f>'Feb 2025 -Prodn&amp; Sales Analysis'!E30</f>
        <v>49008</v>
      </c>
      <c r="F29" s="278">
        <f>'Feb 2025 -Prodn&amp; Sales Analysis'!F30</f>
        <v>46940</v>
      </c>
      <c r="G29" s="278">
        <f>'Feb 2025 -Prodn&amp; Sales Analysis'!G30</f>
        <v>2420</v>
      </c>
      <c r="H29" s="278">
        <f>'Feb 2025 -Prodn&amp; Sales Analysis'!H30</f>
        <v>49360</v>
      </c>
      <c r="I29" s="278">
        <f>'Feb 2025 -Prodn&amp; Sales Analysis'!I30</f>
        <v>1746017.3900000001</v>
      </c>
      <c r="J29" s="278">
        <f>'Feb 2025 -Prodn&amp; Sales Analysis'!J30</f>
        <v>9379.31</v>
      </c>
      <c r="K29" s="278">
        <f>'Feb 2025 -Prodn&amp; Sales Analysis'!K30</f>
        <v>1755396.7000000002</v>
      </c>
      <c r="L29" s="626">
        <f>(F29+F30)/(E29+E30)</f>
        <v>0.85461450913694548</v>
      </c>
      <c r="M29" s="287">
        <f t="shared" si="9"/>
        <v>37.196791435875589</v>
      </c>
      <c r="N29" s="231">
        <f t="shared" si="10"/>
        <v>0.28767174932561906</v>
      </c>
      <c r="O29" s="281">
        <f>'Jan 2025-Prodn &amp; Sales Analysis'!O27</f>
        <v>5024.4923076923069</v>
      </c>
      <c r="P29" s="288">
        <f t="shared" si="11"/>
        <v>118.15163874191654</v>
      </c>
      <c r="Q29" s="628">
        <f>(K29+K30)*12/(O29+O30)/129.3029</f>
        <v>30.325463930874928</v>
      </c>
    </row>
    <row r="30" spans="2:18" ht="15.75" customHeight="1" thickBot="1" x14ac:dyDescent="0.25">
      <c r="B30" s="293" t="s">
        <v>62</v>
      </c>
      <c r="C30" s="283">
        <f>'Feb 2025 -Prodn&amp; Sales Analysis'!C36</f>
        <v>29812</v>
      </c>
      <c r="D30" s="283">
        <f>'Feb 2025 -Prodn&amp; Sales Analysis'!D36</f>
        <v>621</v>
      </c>
      <c r="E30" s="283">
        <f>'Feb 2025 -Prodn&amp; Sales Analysis'!E36</f>
        <v>29191</v>
      </c>
      <c r="F30" s="283">
        <f>'Feb 2025 -Prodn&amp; Sales Analysis'!F36</f>
        <v>19890</v>
      </c>
      <c r="G30" s="283">
        <f>'Feb 2025 -Prodn&amp; Sales Analysis'!G36</f>
        <v>2460</v>
      </c>
      <c r="H30" s="283">
        <f>'Feb 2025 -Prodn&amp; Sales Analysis'!H36</f>
        <v>22350</v>
      </c>
      <c r="I30" s="283">
        <f>'Feb 2025 -Prodn&amp; Sales Analysis'!I36</f>
        <v>749530.47</v>
      </c>
      <c r="J30" s="283">
        <f>'Feb 2025 -Prodn&amp; Sales Analysis'!J36</f>
        <v>8482.75</v>
      </c>
      <c r="K30" s="283">
        <f>'Feb 2025 -Prodn&amp; Sales Analysis'!K36</f>
        <v>758013.22</v>
      </c>
      <c r="L30" s="627"/>
      <c r="M30" s="290">
        <f t="shared" si="9"/>
        <v>37.683784313725489</v>
      </c>
      <c r="N30" s="237">
        <f t="shared" si="10"/>
        <v>0.2914380444191545</v>
      </c>
      <c r="O30" s="257">
        <f>'Jan 2025-Prodn &amp; Sales Analysis'!O35</f>
        <v>2667.3230769230763</v>
      </c>
      <c r="P30" s="291">
        <f t="shared" si="11"/>
        <v>134.12098560354377</v>
      </c>
      <c r="Q30" s="629"/>
    </row>
    <row r="31" spans="2:18" ht="15.75" customHeight="1" x14ac:dyDescent="0.2">
      <c r="B31" s="303" t="s">
        <v>44</v>
      </c>
      <c r="C31" s="304">
        <f>'Feb 2025 -Prodn&amp; Sales Analysis'!C38</f>
        <v>17362</v>
      </c>
      <c r="D31" s="304">
        <f>'Feb 2025 -Prodn&amp; Sales Analysis'!D38</f>
        <v>294</v>
      </c>
      <c r="E31" s="304">
        <f>'Feb 2025 -Prodn&amp; Sales Analysis'!E38</f>
        <v>17068</v>
      </c>
      <c r="F31" s="304">
        <f>'Feb 2025 -Prodn&amp; Sales Analysis'!F38</f>
        <v>16430</v>
      </c>
      <c r="G31" s="304">
        <f>'Feb 2025 -Prodn&amp; Sales Analysis'!G38</f>
        <v>1080</v>
      </c>
      <c r="H31" s="304">
        <f>'Feb 2025 -Prodn&amp; Sales Analysis'!H38</f>
        <v>17510</v>
      </c>
      <c r="I31" s="304">
        <f>'Feb 2025 -Prodn&amp; Sales Analysis'!I38</f>
        <v>654174.68000000005</v>
      </c>
      <c r="J31" s="304">
        <f>'Feb 2025 -Prodn&amp; Sales Analysis'!J38</f>
        <v>4034.47</v>
      </c>
      <c r="K31" s="304">
        <f>'Feb 2025 -Prodn&amp; Sales Analysis'!K38</f>
        <v>658209.15</v>
      </c>
      <c r="L31" s="630">
        <f>(F31+F32+F33+F34)/(E31+E32+E33+E34)</f>
        <v>0.80544256325016916</v>
      </c>
      <c r="M31" s="279">
        <f t="shared" si="9"/>
        <v>39.815866098600125</v>
      </c>
      <c r="N31" s="280">
        <f t="shared" si="10"/>
        <v>0.30792709288500203</v>
      </c>
      <c r="O31" s="281">
        <f>'Jan 2025-Prodn &amp; Sales Analysis'!O36</f>
        <v>2357.1692307692306</v>
      </c>
      <c r="P31" s="229">
        <f t="shared" si="11"/>
        <v>88.387374686716797</v>
      </c>
      <c r="Q31" s="628">
        <f>(K31+K32+K33+K34)*12/(O31+O32+O33+O34)/129.3029</f>
        <v>29.443635636434959</v>
      </c>
    </row>
    <row r="32" spans="2:18" ht="15.75" customHeight="1" x14ac:dyDescent="0.2">
      <c r="B32" s="305" t="s">
        <v>41</v>
      </c>
      <c r="C32" s="296">
        <f>'Feb 2025 -Prodn&amp; Sales Analysis'!C33</f>
        <v>32152</v>
      </c>
      <c r="D32" s="296">
        <f>'Feb 2025 -Prodn&amp; Sales Analysis'!D33</f>
        <v>499</v>
      </c>
      <c r="E32" s="296">
        <f>'Feb 2025 -Prodn&amp; Sales Analysis'!E33</f>
        <v>31653</v>
      </c>
      <c r="F32" s="296">
        <f>'Feb 2025 -Prodn&amp; Sales Analysis'!F33</f>
        <v>27730</v>
      </c>
      <c r="G32" s="296">
        <f>'Feb 2025 -Prodn&amp; Sales Analysis'!G33</f>
        <v>2080</v>
      </c>
      <c r="H32" s="296">
        <f>'Feb 2025 -Prodn&amp; Sales Analysis'!H33</f>
        <v>29810</v>
      </c>
      <c r="I32" s="296">
        <f>'Feb 2025 -Prodn&amp; Sales Analysis'!I33</f>
        <v>1062111.77</v>
      </c>
      <c r="J32" s="296">
        <f>'Feb 2025 -Prodn&amp; Sales Analysis'!J33</f>
        <v>7172.4</v>
      </c>
      <c r="K32" s="296">
        <f>'Feb 2025 -Prodn&amp; Sales Analysis'!K33</f>
        <v>1069284.17</v>
      </c>
      <c r="L32" s="631"/>
      <c r="M32" s="306">
        <f t="shared" si="9"/>
        <v>38.301902993148218</v>
      </c>
      <c r="N32" s="298">
        <f t="shared" si="10"/>
        <v>0.29621843742985055</v>
      </c>
      <c r="O32" s="299">
        <f>'Jan 2025-Prodn &amp; Sales Analysis'!O41</f>
        <v>3225.5999999999995</v>
      </c>
      <c r="P32" s="20">
        <f t="shared" si="11"/>
        <v>119.61309523809527</v>
      </c>
      <c r="Q32" s="633"/>
    </row>
    <row r="33" spans="2:18" ht="15.75" customHeight="1" x14ac:dyDescent="0.2">
      <c r="B33" s="305" t="s">
        <v>46</v>
      </c>
      <c r="C33" s="296">
        <f>'Feb 2025 -Prodn&amp; Sales Analysis'!C29</f>
        <v>48866</v>
      </c>
      <c r="D33" s="296">
        <f>'Feb 2025 -Prodn&amp; Sales Analysis'!D29</f>
        <v>571</v>
      </c>
      <c r="E33" s="296">
        <f>'Feb 2025 -Prodn&amp; Sales Analysis'!E29</f>
        <v>48295</v>
      </c>
      <c r="F33" s="296">
        <f>'Feb 2025 -Prodn&amp; Sales Analysis'!F29</f>
        <v>39140</v>
      </c>
      <c r="G33" s="296">
        <f>'Feb 2025 -Prodn&amp; Sales Analysis'!G29</f>
        <v>2540</v>
      </c>
      <c r="H33" s="296">
        <f>'Feb 2025 -Prodn&amp; Sales Analysis'!H29</f>
        <v>41680</v>
      </c>
      <c r="I33" s="296">
        <f>'Feb 2025 -Prodn&amp; Sales Analysis'!I29</f>
        <v>1762019.67</v>
      </c>
      <c r="J33" s="296">
        <f>'Feb 2025 -Prodn&amp; Sales Analysis'!J29</f>
        <v>8758.6200000000008</v>
      </c>
      <c r="K33" s="296">
        <f>'Feb 2025 -Prodn&amp; Sales Analysis'!K29</f>
        <v>1770778.29</v>
      </c>
      <c r="L33" s="631"/>
      <c r="M33" s="306">
        <f t="shared" si="9"/>
        <v>45.018387072049052</v>
      </c>
      <c r="N33" s="298">
        <f t="shared" si="10"/>
        <v>0.34816223821777437</v>
      </c>
      <c r="O33" s="299">
        <f>'Jan 2025-Prodn &amp; Sales Analysis'!O34</f>
        <v>5027.4461538461537</v>
      </c>
      <c r="P33" s="20">
        <f t="shared" si="11"/>
        <v>116.63814629847239</v>
      </c>
      <c r="Q33" s="633"/>
    </row>
    <row r="34" spans="2:18" ht="15.75" customHeight="1" thickBot="1" x14ac:dyDescent="0.25">
      <c r="B34" s="307" t="s">
        <v>59</v>
      </c>
      <c r="C34" s="302">
        <f>'Feb 2025 -Prodn&amp; Sales Analysis'!C39</f>
        <v>23063</v>
      </c>
      <c r="D34" s="302">
        <f>'Feb 2025 -Prodn&amp; Sales Analysis'!D39</f>
        <v>356</v>
      </c>
      <c r="E34" s="302">
        <f>'Feb 2025 -Prodn&amp; Sales Analysis'!E39</f>
        <v>22707</v>
      </c>
      <c r="F34" s="302">
        <f>'Feb 2025 -Prodn&amp; Sales Analysis'!F39</f>
        <v>13130</v>
      </c>
      <c r="G34" s="302">
        <f>'Feb 2025 -Prodn&amp; Sales Analysis'!G39</f>
        <v>5130</v>
      </c>
      <c r="H34" s="302">
        <f>'Feb 2025 -Prodn&amp; Sales Analysis'!H39</f>
        <v>18260</v>
      </c>
      <c r="I34" s="302">
        <f>'Feb 2025 -Prodn&amp; Sales Analysis'!I39</f>
        <v>632524.98</v>
      </c>
      <c r="J34" s="302">
        <f>'Feb 2025 -Prodn&amp; Sales Analysis'!J39</f>
        <v>22625.59</v>
      </c>
      <c r="K34" s="302">
        <f>'Feb 2025 -Prodn&amp; Sales Analysis'!K39</f>
        <v>655150.56999999995</v>
      </c>
      <c r="L34" s="632"/>
      <c r="M34" s="284">
        <f t="shared" si="9"/>
        <v>48.174027418126428</v>
      </c>
      <c r="N34" s="285">
        <f t="shared" si="10"/>
        <v>0.3725672619726737</v>
      </c>
      <c r="O34" s="257">
        <f>'Jan 2025-Prodn &amp; Sales Analysis'!O48</f>
        <v>2481.2307692307691</v>
      </c>
      <c r="P34" s="242">
        <f t="shared" si="11"/>
        <v>111.53980654761907</v>
      </c>
      <c r="Q34" s="629"/>
    </row>
    <row r="35" spans="2:18" ht="15.75" customHeight="1" x14ac:dyDescent="0.2">
      <c r="B35" s="277" t="s">
        <v>53</v>
      </c>
      <c r="C35" s="278">
        <f>'Feb 2025 -Prodn&amp; Sales Analysis'!C35</f>
        <v>62267</v>
      </c>
      <c r="D35" s="278">
        <f>'Feb 2025 -Prodn&amp; Sales Analysis'!D35</f>
        <v>368</v>
      </c>
      <c r="E35" s="278">
        <f>'Feb 2025 -Prodn&amp; Sales Analysis'!E35</f>
        <v>61899</v>
      </c>
      <c r="F35" s="278">
        <f>'Feb 2025 -Prodn&amp; Sales Analysis'!F35</f>
        <v>56610</v>
      </c>
      <c r="G35" s="278">
        <f>'Feb 2025 -Prodn&amp; Sales Analysis'!G35</f>
        <v>660</v>
      </c>
      <c r="H35" s="278">
        <f>'Feb 2025 -Prodn&amp; Sales Analysis'!H35</f>
        <v>57270</v>
      </c>
      <c r="I35" s="278">
        <f>'Feb 2025 -Prodn&amp; Sales Analysis'!I35</f>
        <v>2154756.91</v>
      </c>
      <c r="J35" s="278">
        <f>'Feb 2025 -Prodn&amp; Sales Analysis'!J35</f>
        <v>2275.86</v>
      </c>
      <c r="K35" s="278">
        <f>'Feb 2025 -Prodn&amp; Sales Analysis'!K35</f>
        <v>2157032.77</v>
      </c>
      <c r="L35" s="626">
        <f>(F35+F36)/(E35+E36)</f>
        <v>0.95206366833240796</v>
      </c>
      <c r="M35" s="279">
        <f t="shared" ref="M35:M52" si="12">I35/F35</f>
        <v>38.063185126302777</v>
      </c>
      <c r="N35" s="231">
        <f t="shared" si="10"/>
        <v>0.29437224630153525</v>
      </c>
      <c r="O35" s="281">
        <f>'Jan 2025-Prodn &amp; Sales Analysis'!O29</f>
        <v>7381.6615384615379</v>
      </c>
      <c r="P35" s="229">
        <f t="shared" ref="P35:P52" si="13">C35/O35*12</f>
        <v>101.22436474589837</v>
      </c>
      <c r="Q35" s="628">
        <f>(K35+K36)*12/(O35+O36)/129.3029</f>
        <v>28.396689934273446</v>
      </c>
    </row>
    <row r="36" spans="2:18" ht="15.75" customHeight="1" thickBot="1" x14ac:dyDescent="0.25">
      <c r="B36" s="282" t="s">
        <v>45</v>
      </c>
      <c r="C36" s="283">
        <f>'Feb 2025 -Prodn&amp; Sales Analysis'!C31</f>
        <v>19415</v>
      </c>
      <c r="D36" s="283">
        <f>'Feb 2025 -Prodn&amp; Sales Analysis'!D31</f>
        <v>269</v>
      </c>
      <c r="E36" s="283">
        <f>'Feb 2025 -Prodn&amp; Sales Analysis'!E31</f>
        <v>19146</v>
      </c>
      <c r="F36" s="283">
        <f>'Feb 2025 -Prodn&amp; Sales Analysis'!F31</f>
        <v>20550</v>
      </c>
      <c r="G36" s="283">
        <f>'Feb 2025 -Prodn&amp; Sales Analysis'!G31</f>
        <v>20</v>
      </c>
      <c r="H36" s="283">
        <f>'Feb 2025 -Prodn&amp; Sales Analysis'!H31</f>
        <v>20570</v>
      </c>
      <c r="I36" s="283">
        <f>'Feb 2025 -Prodn&amp; Sales Analysis'!I31</f>
        <v>860757.85</v>
      </c>
      <c r="J36" s="283">
        <f>'Feb 2025 -Prodn&amp; Sales Analysis'!J31</f>
        <v>68.97</v>
      </c>
      <c r="K36" s="283">
        <f>'Feb 2025 -Prodn&amp; Sales Analysis'!K31</f>
        <v>860826.82</v>
      </c>
      <c r="L36" s="627"/>
      <c r="M36" s="284">
        <f t="shared" si="12"/>
        <v>41.886026763990266</v>
      </c>
      <c r="N36" s="237">
        <f t="shared" si="10"/>
        <v>0.32393725712254146</v>
      </c>
      <c r="O36" s="257">
        <f>'Jan 2025-Prodn &amp; Sales Analysis'!O38</f>
        <v>2481.2307692307691</v>
      </c>
      <c r="P36" s="242">
        <f t="shared" si="13"/>
        <v>93.896949404761912</v>
      </c>
      <c r="Q36" s="629"/>
    </row>
    <row r="37" spans="2:18" ht="15.75" customHeight="1" thickBot="1" x14ac:dyDescent="0.25">
      <c r="B37" s="350" t="s">
        <v>40</v>
      </c>
      <c r="C37" s="296">
        <f>'Feb 2025 -Prodn&amp; Sales Analysis'!C37</f>
        <v>17817</v>
      </c>
      <c r="D37" s="296">
        <f>'Feb 2025 -Prodn&amp; Sales Analysis'!D37</f>
        <v>140</v>
      </c>
      <c r="E37" s="296">
        <f>'Feb 2025 -Prodn&amp; Sales Analysis'!E37</f>
        <v>17677</v>
      </c>
      <c r="F37" s="296">
        <f>'Feb 2025 -Prodn&amp; Sales Analysis'!F37</f>
        <v>17090</v>
      </c>
      <c r="G37" s="296">
        <f>'Feb 2025 -Prodn&amp; Sales Analysis'!G37</f>
        <v>640</v>
      </c>
      <c r="H37" s="296">
        <f>'Feb 2025 -Prodn&amp; Sales Analysis'!H37</f>
        <v>17730</v>
      </c>
      <c r="I37" s="296">
        <f>'Feb 2025 -Prodn&amp; Sales Analysis'!I37</f>
        <v>695744.42</v>
      </c>
      <c r="J37" s="296">
        <f>'Feb 2025 -Prodn&amp; Sales Analysis'!J37</f>
        <v>2620.6799999999998</v>
      </c>
      <c r="K37" s="296">
        <f>'Feb 2025 -Prodn&amp; Sales Analysis'!K37</f>
        <v>698365.10000000009</v>
      </c>
      <c r="L37" s="324">
        <f>F37/E37</f>
        <v>0.96679300786332523</v>
      </c>
      <c r="M37" s="347">
        <f>I37/F37</f>
        <v>40.710615564657694</v>
      </c>
      <c r="N37" s="348">
        <f t="shared" si="10"/>
        <v>0.31484688715146913</v>
      </c>
      <c r="O37" s="20">
        <f>'Jan 2025-Prodn &amp; Sales Analysis'!O42</f>
        <v>2481.2307692307691</v>
      </c>
      <c r="P37" s="20">
        <f>C37/O37*12</f>
        <v>86.168526785714292</v>
      </c>
      <c r="Q37" s="349">
        <f>(K37)*12/(O37)/129.3029</f>
        <v>26.120912866039287</v>
      </c>
      <c r="R37" s="16"/>
    </row>
    <row r="38" spans="2:18" ht="15.75" customHeight="1" x14ac:dyDescent="0.2">
      <c r="B38" s="311" t="s">
        <v>66</v>
      </c>
      <c r="C38" s="304">
        <f>'Feb 2025 -Prodn&amp; Sales Analysis'!C46</f>
        <v>15311</v>
      </c>
      <c r="D38" s="304">
        <f>'Feb 2025 -Prodn&amp; Sales Analysis'!D46</f>
        <v>165</v>
      </c>
      <c r="E38" s="304">
        <f>'Feb 2025 -Prodn&amp; Sales Analysis'!E46</f>
        <v>15146</v>
      </c>
      <c r="F38" s="304">
        <f>'Feb 2025 -Prodn&amp; Sales Analysis'!F46</f>
        <v>13560</v>
      </c>
      <c r="G38" s="304">
        <f>'Feb 2025 -Prodn&amp; Sales Analysis'!G46</f>
        <v>0</v>
      </c>
      <c r="H38" s="304">
        <f>'Feb 2025 -Prodn&amp; Sales Analysis'!H46</f>
        <v>13560</v>
      </c>
      <c r="I38" s="304">
        <f>'Feb 2025 -Prodn&amp; Sales Analysis'!I46</f>
        <v>441008.06</v>
      </c>
      <c r="J38" s="304">
        <f>'Feb 2025 -Prodn&amp; Sales Analysis'!J46</f>
        <v>0</v>
      </c>
      <c r="K38" s="304">
        <f>'Feb 2025 -Prodn&amp; Sales Analysis'!K46</f>
        <v>441008.06</v>
      </c>
      <c r="L38" s="626">
        <f>(F38+F39)/(E38+E39)</f>
        <v>0.89185666649740181</v>
      </c>
      <c r="M38" s="279">
        <f t="shared" si="12"/>
        <v>32.522718289085546</v>
      </c>
      <c r="N38" s="231">
        <f t="shared" si="10"/>
        <v>0.25152350248204447</v>
      </c>
      <c r="O38" s="281">
        <f>'Jan 2025-Prodn &amp; Sales Analysis'!O47</f>
        <v>2605.292307692308</v>
      </c>
      <c r="P38" s="229">
        <f t="shared" si="13"/>
        <v>70.522604875283434</v>
      </c>
      <c r="Q38" s="628">
        <f>(K38+K39)*12/(O38+O39)/129.3029</f>
        <v>21.422769050699671</v>
      </c>
      <c r="R38" s="16"/>
    </row>
    <row r="39" spans="2:18" ht="15.75" customHeight="1" thickBot="1" x14ac:dyDescent="0.25">
      <c r="B39" s="312" t="s">
        <v>39</v>
      </c>
      <c r="C39" s="283">
        <f>'Feb 2025 -Prodn&amp; Sales Analysis'!C41</f>
        <v>44350</v>
      </c>
      <c r="D39" s="283">
        <f>'Feb 2025 -Prodn&amp; Sales Analysis'!D41</f>
        <v>417</v>
      </c>
      <c r="E39" s="283">
        <f>'Feb 2025 -Prodn&amp; Sales Analysis'!E41</f>
        <v>43933</v>
      </c>
      <c r="F39" s="283">
        <f>'Feb 2025 -Prodn&amp; Sales Analysis'!F41</f>
        <v>39130</v>
      </c>
      <c r="G39" s="283">
        <f>'Feb 2025 -Prodn&amp; Sales Analysis'!G41</f>
        <v>400</v>
      </c>
      <c r="H39" s="283">
        <f>'Feb 2025 -Prodn&amp; Sales Analysis'!H41</f>
        <v>39530</v>
      </c>
      <c r="I39" s="283">
        <f>'Feb 2025 -Prodn&amp; Sales Analysis'!I41</f>
        <v>1347475.69</v>
      </c>
      <c r="J39" s="283">
        <f>'Feb 2025 -Prodn&amp; Sales Analysis'!J41</f>
        <v>1379.31</v>
      </c>
      <c r="K39" s="283">
        <f>'Feb 2025 -Prodn&amp; Sales Analysis'!K41</f>
        <v>1348855</v>
      </c>
      <c r="L39" s="627"/>
      <c r="M39" s="284">
        <f t="shared" si="12"/>
        <v>34.435872476360849</v>
      </c>
      <c r="N39" s="237">
        <f t="shared" si="10"/>
        <v>0.26631941338021692</v>
      </c>
      <c r="O39" s="257">
        <f>'Jan 2025-Prodn &amp; Sales Analysis'!O32</f>
        <v>5148.5538461538454</v>
      </c>
      <c r="P39" s="242">
        <f t="shared" si="13"/>
        <v>103.36883247274815</v>
      </c>
      <c r="Q39" s="629"/>
      <c r="R39" s="16"/>
    </row>
    <row r="40" spans="2:18" ht="15.75" customHeight="1" x14ac:dyDescent="0.2">
      <c r="B40" s="308" t="s">
        <v>55</v>
      </c>
      <c r="C40" s="309">
        <f>'Feb 2025 -Prodn&amp; Sales Analysis'!C40</f>
        <v>40457</v>
      </c>
      <c r="D40" s="309">
        <f>'Feb 2025 -Prodn&amp; Sales Analysis'!D40</f>
        <v>401</v>
      </c>
      <c r="E40" s="309">
        <f>'Feb 2025 -Prodn&amp; Sales Analysis'!E40</f>
        <v>40056</v>
      </c>
      <c r="F40" s="309">
        <f>'Feb 2025 -Prodn&amp; Sales Analysis'!F40</f>
        <v>32200</v>
      </c>
      <c r="G40" s="309">
        <f>'Feb 2025 -Prodn&amp; Sales Analysis'!G40</f>
        <v>4540</v>
      </c>
      <c r="H40" s="309">
        <f>'Feb 2025 -Prodn&amp; Sales Analysis'!H40</f>
        <v>36740</v>
      </c>
      <c r="I40" s="309">
        <f>'Feb 2025 -Prodn&amp; Sales Analysis'!I40</f>
        <v>1308938.6000000001</v>
      </c>
      <c r="J40" s="309">
        <f>'Feb 2025 -Prodn&amp; Sales Analysis'!J40</f>
        <v>15655.17</v>
      </c>
      <c r="K40" s="309">
        <f>'Feb 2025 -Prodn&amp; Sales Analysis'!K40</f>
        <v>1324593.77</v>
      </c>
      <c r="L40" s="626">
        <f>(F40+F41)/(E40+E41)</f>
        <v>0.60876732606647832</v>
      </c>
      <c r="M40" s="287">
        <f>I40/F40</f>
        <v>40.650267080745344</v>
      </c>
      <c r="N40" s="231">
        <f t="shared" si="10"/>
        <v>0.31438016533848312</v>
      </c>
      <c r="O40" s="281">
        <f>'Jan 2025-Prodn &amp; Sales Analysis'!O39</f>
        <v>5055.5076923076922</v>
      </c>
      <c r="P40" s="288">
        <f>C40/O40*12</f>
        <v>96.030711364300316</v>
      </c>
      <c r="Q40" s="628">
        <f>(K40+K41)*12/(O40+O41)/129.3029</f>
        <v>19.161424374936029</v>
      </c>
      <c r="R40" s="16"/>
    </row>
    <row r="41" spans="2:18" ht="15.75" customHeight="1" thickBot="1" x14ac:dyDescent="0.25">
      <c r="B41" s="310" t="s">
        <v>63</v>
      </c>
      <c r="C41" s="283">
        <f>'Feb 2025 -Prodn&amp; Sales Analysis'!C50</f>
        <v>19461</v>
      </c>
      <c r="D41" s="283">
        <f>'Feb 2025 -Prodn&amp; Sales Analysis'!D50</f>
        <v>69</v>
      </c>
      <c r="E41" s="283">
        <f>'Feb 2025 -Prodn&amp; Sales Analysis'!E50</f>
        <v>19392</v>
      </c>
      <c r="F41" s="283">
        <f>'Feb 2025 -Prodn&amp; Sales Analysis'!F50</f>
        <v>3990</v>
      </c>
      <c r="G41" s="283">
        <f>'Feb 2025 -Prodn&amp; Sales Analysis'!G50</f>
        <v>7560</v>
      </c>
      <c r="H41" s="283">
        <f>'Feb 2025 -Prodn&amp; Sales Analysis'!H50</f>
        <v>11550</v>
      </c>
      <c r="I41" s="283">
        <f>'Feb 2025 -Prodn&amp; Sales Analysis'!I50</f>
        <v>205439.94</v>
      </c>
      <c r="J41" s="283">
        <f>'Feb 2025 -Prodn&amp; Sales Analysis'!J50</f>
        <v>26068.98</v>
      </c>
      <c r="K41" s="283">
        <f>'Feb 2025 -Prodn&amp; Sales Analysis'!K50</f>
        <v>231508.92</v>
      </c>
      <c r="L41" s="627"/>
      <c r="M41" s="290">
        <f>I41/F41</f>
        <v>51.488706766917296</v>
      </c>
      <c r="N41" s="237">
        <f t="shared" si="10"/>
        <v>0.39820225816217036</v>
      </c>
      <c r="O41" s="257">
        <f>'Jan 2025-Prodn &amp; Sales Analysis'!O50</f>
        <v>2481.2307692307691</v>
      </c>
      <c r="P41" s="291">
        <f>C41/O41*12</f>
        <v>94.119419642857153</v>
      </c>
      <c r="Q41" s="629"/>
      <c r="R41" s="16"/>
    </row>
    <row r="42" spans="2:18" ht="15.75" customHeight="1" x14ac:dyDescent="0.2">
      <c r="B42" s="294" t="s">
        <v>50</v>
      </c>
      <c r="C42" s="278">
        <f>'Feb 2025 -Prodn&amp; Sales Analysis'!C34</f>
        <v>17681</v>
      </c>
      <c r="D42" s="278">
        <f>'Feb 2025 -Prodn&amp; Sales Analysis'!D34</f>
        <v>243</v>
      </c>
      <c r="E42" s="278">
        <f>'Feb 2025 -Prodn&amp; Sales Analysis'!E34</f>
        <v>17438</v>
      </c>
      <c r="F42" s="278">
        <f>'Feb 2025 -Prodn&amp; Sales Analysis'!F34</f>
        <v>22810</v>
      </c>
      <c r="G42" s="278">
        <f>'Feb 2025 -Prodn&amp; Sales Analysis'!G34</f>
        <v>1300</v>
      </c>
      <c r="H42" s="278">
        <f>'Feb 2025 -Prodn&amp; Sales Analysis'!H34</f>
        <v>24110</v>
      </c>
      <c r="I42" s="278">
        <f>'Feb 2025 -Prodn&amp; Sales Analysis'!I34</f>
        <v>789014.69</v>
      </c>
      <c r="J42" s="278">
        <f>'Feb 2025 -Prodn&amp; Sales Analysis'!J34</f>
        <v>4482.75</v>
      </c>
      <c r="K42" s="278">
        <f>'Feb 2025 -Prodn&amp; Sales Analysis'!K34</f>
        <v>793497.44</v>
      </c>
      <c r="L42" s="626">
        <f>(F42+F43+F44)/(C42+C43+C44)</f>
        <v>0.838483615938584</v>
      </c>
      <c r="M42" s="287">
        <f>I42/F42</f>
        <v>34.590736080666375</v>
      </c>
      <c r="N42" s="280">
        <f t="shared" si="10"/>
        <v>0.26751709420799052</v>
      </c>
      <c r="O42" s="281">
        <f>'Jan 2025-Prodn &amp; Sales Analysis'!O28</f>
        <v>2667.3230769230763</v>
      </c>
      <c r="P42" s="288">
        <f>C42/O42*12</f>
        <v>79.544919712070893</v>
      </c>
      <c r="Q42" s="628">
        <f>(K42+K43+K44)*12/(O42+O43+O44)/129.3029</f>
        <v>19.10565483326193</v>
      </c>
    </row>
    <row r="43" spans="2:18" ht="15.75" customHeight="1" x14ac:dyDescent="0.2">
      <c r="B43" s="295" t="s">
        <v>65</v>
      </c>
      <c r="C43" s="296">
        <f>'Feb 2025 -Prodn&amp; Sales Analysis'!C42</f>
        <v>17743</v>
      </c>
      <c r="D43" s="296">
        <f>'Feb 2025 -Prodn&amp; Sales Analysis'!D42</f>
        <v>404</v>
      </c>
      <c r="E43" s="296">
        <f>'Feb 2025 -Prodn&amp; Sales Analysis'!E42</f>
        <v>17339</v>
      </c>
      <c r="F43" s="296">
        <f>'Feb 2025 -Prodn&amp; Sales Analysis'!F42</f>
        <v>17690</v>
      </c>
      <c r="G43" s="296">
        <f>'Feb 2025 -Prodn&amp; Sales Analysis'!G42</f>
        <v>720</v>
      </c>
      <c r="H43" s="296">
        <f>'Feb 2025 -Prodn&amp; Sales Analysis'!H42</f>
        <v>18410</v>
      </c>
      <c r="I43" s="296">
        <f>'Feb 2025 -Prodn&amp; Sales Analysis'!I42</f>
        <v>596014.46</v>
      </c>
      <c r="J43" s="296">
        <f>'Feb 2025 -Prodn&amp; Sales Analysis'!J42</f>
        <v>2482.75</v>
      </c>
      <c r="K43" s="296">
        <f>'Feb 2025 -Prodn&amp; Sales Analysis'!K42</f>
        <v>598497.21</v>
      </c>
      <c r="L43" s="634"/>
      <c r="M43" s="297">
        <f>I43/F43</f>
        <v>33.692168456755226</v>
      </c>
      <c r="N43" s="298">
        <f t="shared" si="10"/>
        <v>0.26056777115405166</v>
      </c>
      <c r="O43" s="299">
        <f>'Jan 2025-Prodn &amp; Sales Analysis'!O45</f>
        <v>2788.4307692307689</v>
      </c>
      <c r="P43" s="300">
        <f>C43/O43*12</f>
        <v>76.356925317796623</v>
      </c>
      <c r="Q43" s="633"/>
    </row>
    <row r="44" spans="2:18" ht="15.75" customHeight="1" thickBot="1" x14ac:dyDescent="0.25">
      <c r="B44" s="301" t="s">
        <v>61</v>
      </c>
      <c r="C44" s="302">
        <f>'Feb 2025 -Prodn&amp; Sales Analysis'!C49</f>
        <v>21369</v>
      </c>
      <c r="D44" s="302">
        <f>'Feb 2025 -Prodn&amp; Sales Analysis'!D49</f>
        <v>424</v>
      </c>
      <c r="E44" s="302">
        <f>'Feb 2025 -Prodn&amp; Sales Analysis'!E49</f>
        <v>20945</v>
      </c>
      <c r="F44" s="302">
        <f>'Feb 2025 -Prodn&amp; Sales Analysis'!F49</f>
        <v>7120</v>
      </c>
      <c r="G44" s="302">
        <f>'Feb 2025 -Prodn&amp; Sales Analysis'!G49</f>
        <v>0</v>
      </c>
      <c r="H44" s="302">
        <f>'Feb 2025 -Prodn&amp; Sales Analysis'!H49</f>
        <v>7120</v>
      </c>
      <c r="I44" s="302">
        <f>'Feb 2025 -Prodn&amp; Sales Analysis'!I49</f>
        <v>241976.88</v>
      </c>
      <c r="J44" s="302">
        <f>'Feb 2025 -Prodn&amp; Sales Analysis'!J49</f>
        <v>0</v>
      </c>
      <c r="K44" s="302">
        <f>'Feb 2025 -Prodn&amp; Sales Analysis'!K49</f>
        <v>241976.88</v>
      </c>
      <c r="L44" s="627"/>
      <c r="M44" s="290">
        <f>I44/F44</f>
        <v>33.985516853932587</v>
      </c>
      <c r="N44" s="285">
        <f t="shared" si="10"/>
        <v>0.26283646270835836</v>
      </c>
      <c r="O44" s="257">
        <f>'Jan 2025-Prodn &amp; Sales Analysis'!O51</f>
        <v>2481.2307692307695</v>
      </c>
      <c r="P44" s="291">
        <f>C44/O44*12</f>
        <v>103.34709821428569</v>
      </c>
      <c r="Q44" s="629"/>
    </row>
    <row r="45" spans="2:18" ht="15.75" customHeight="1" x14ac:dyDescent="0.2">
      <c r="B45" s="322" t="s">
        <v>54</v>
      </c>
      <c r="C45" s="278">
        <f>'Feb 2025 -Prodn&amp; Sales Analysis'!C44</f>
        <v>40850</v>
      </c>
      <c r="D45" s="278">
        <f>'Feb 2025 -Prodn&amp; Sales Analysis'!D44</f>
        <v>353</v>
      </c>
      <c r="E45" s="278">
        <f>'Feb 2025 -Prodn&amp; Sales Analysis'!E44</f>
        <v>40497</v>
      </c>
      <c r="F45" s="278">
        <f>'Feb 2025 -Prodn&amp; Sales Analysis'!F44</f>
        <v>21820</v>
      </c>
      <c r="G45" s="278">
        <f>'Feb 2025 -Prodn&amp; Sales Analysis'!G44</f>
        <v>13120</v>
      </c>
      <c r="H45" s="278">
        <f>'Feb 2025 -Prodn&amp; Sales Analysis'!H44</f>
        <v>34940</v>
      </c>
      <c r="I45" s="278">
        <f>'Feb 2025 -Prodn&amp; Sales Analysis'!I44</f>
        <v>865894.37000000011</v>
      </c>
      <c r="J45" s="278">
        <f>'Feb 2025 -Prodn&amp; Sales Analysis'!J44</f>
        <v>45241.38</v>
      </c>
      <c r="K45" s="278">
        <f>'Feb 2025 -Prodn&amp; Sales Analysis'!K44</f>
        <v>911135.75000000012</v>
      </c>
      <c r="L45" s="626">
        <f>(F45+F46)/(E45+E46)</f>
        <v>0.62762470098343226</v>
      </c>
      <c r="M45" s="287">
        <f t="shared" si="12"/>
        <v>39.683518331805686</v>
      </c>
      <c r="N45" s="231">
        <f t="shared" si="10"/>
        <v>0.30690354455936941</v>
      </c>
      <c r="O45" s="281">
        <f>'Jan 2025-Prodn &amp; Sales Analysis'!O44</f>
        <v>4652.3076923076915</v>
      </c>
      <c r="P45" s="288">
        <f t="shared" si="13"/>
        <v>105.36706349206349</v>
      </c>
      <c r="Q45" s="628">
        <f>(K45+K46)*12/(O45+O46)/129.3029</f>
        <v>17.77242307213503</v>
      </c>
      <c r="R45" s="16"/>
    </row>
    <row r="46" spans="2:18" ht="15.75" customHeight="1" thickBot="1" x14ac:dyDescent="0.25">
      <c r="B46" s="323" t="s">
        <v>60</v>
      </c>
      <c r="C46" s="283">
        <f>'Feb 2025 -Prodn&amp; Sales Analysis'!C45</f>
        <v>16232</v>
      </c>
      <c r="D46" s="283">
        <f>'Feb 2025 -Prodn&amp; Sales Analysis'!D45</f>
        <v>294</v>
      </c>
      <c r="E46" s="283">
        <f>'Feb 2025 -Prodn&amp; Sales Analysis'!E45</f>
        <v>15938</v>
      </c>
      <c r="F46" s="283">
        <f>'Feb 2025 -Prodn&amp; Sales Analysis'!F45</f>
        <v>13600</v>
      </c>
      <c r="G46" s="283">
        <f>'Feb 2025 -Prodn&amp; Sales Analysis'!G45</f>
        <v>20</v>
      </c>
      <c r="H46" s="283">
        <f>'Feb 2025 -Prodn&amp; Sales Analysis'!H45</f>
        <v>13620</v>
      </c>
      <c r="I46" s="283">
        <f>'Feb 2025 -Prodn&amp; Sales Analysis'!I45</f>
        <v>478641.30999999994</v>
      </c>
      <c r="J46" s="283">
        <f>'Feb 2025 -Prodn&amp; Sales Analysis'!J45</f>
        <v>68.97</v>
      </c>
      <c r="K46" s="283">
        <f>'Feb 2025 -Prodn&amp; Sales Analysis'!K45</f>
        <v>478710.27999999991</v>
      </c>
      <c r="L46" s="627"/>
      <c r="M46" s="290">
        <f t="shared" si="12"/>
        <v>35.19421397058823</v>
      </c>
      <c r="N46" s="237">
        <f t="shared" si="10"/>
        <v>0.27218425859426382</v>
      </c>
      <c r="O46" s="257">
        <f>'Jan 2025-Prodn &amp; Sales Analysis'!O33</f>
        <v>2605.292307692308</v>
      </c>
      <c r="P46" s="291">
        <f t="shared" si="13"/>
        <v>74.76473922902494</v>
      </c>
      <c r="Q46" s="629"/>
      <c r="R46" s="16"/>
    </row>
    <row r="47" spans="2:18" ht="15.75" customHeight="1" x14ac:dyDescent="0.2">
      <c r="B47" s="318" t="s">
        <v>58</v>
      </c>
      <c r="C47" s="309">
        <f>'Feb 2025 -Prodn&amp; Sales Analysis'!C27</f>
        <v>57071</v>
      </c>
      <c r="D47" s="309">
        <f>'Feb 2025 -Prodn&amp; Sales Analysis'!D27</f>
        <v>962</v>
      </c>
      <c r="E47" s="309">
        <f>'Feb 2025 -Prodn&amp; Sales Analysis'!E27</f>
        <v>56109</v>
      </c>
      <c r="F47" s="309">
        <f>'Feb 2025 -Prodn&amp; Sales Analysis'!F27</f>
        <v>63130</v>
      </c>
      <c r="G47" s="309">
        <f>'Feb 2025 -Prodn&amp; Sales Analysis'!G27</f>
        <v>1200</v>
      </c>
      <c r="H47" s="309">
        <f>'Feb 2025 -Prodn&amp; Sales Analysis'!H27</f>
        <v>64330</v>
      </c>
      <c r="I47" s="309">
        <f>'Feb 2025 -Prodn&amp; Sales Analysis'!I27</f>
        <v>2247751.4899999998</v>
      </c>
      <c r="J47" s="309">
        <f>'Feb 2025 -Prodn&amp; Sales Analysis'!J27</f>
        <v>4137.92</v>
      </c>
      <c r="K47" s="309">
        <f>'Feb 2025 -Prodn&amp; Sales Analysis'!K27</f>
        <v>2251889.4099999997</v>
      </c>
      <c r="L47" s="630">
        <f>(F47+F48+F49+F50)/(E47+E48+E49+E50)</f>
        <v>0.65791123138978402</v>
      </c>
      <c r="M47" s="287">
        <f>I47/F47</f>
        <v>35.605124188183112</v>
      </c>
      <c r="N47" s="280">
        <f t="shared" si="10"/>
        <v>0.27536214723863978</v>
      </c>
      <c r="O47" s="281">
        <f>'Jan 2025-Prodn &amp; Sales Analysis'!O25</f>
        <v>5210.584615384616</v>
      </c>
      <c r="P47" s="288">
        <f>C47/O47*12</f>
        <v>131.43477182539681</v>
      </c>
      <c r="Q47" s="628">
        <f>(K47+K48+K49+K50)*12/(O47+O48+O49+O50)/129.3029</f>
        <v>17.464133094041113</v>
      </c>
      <c r="R47" s="16"/>
    </row>
    <row r="48" spans="2:18" ht="15.75" customHeight="1" x14ac:dyDescent="0.2">
      <c r="B48" s="319" t="s">
        <v>47</v>
      </c>
      <c r="C48" s="320">
        <f>'Feb 2025 -Prodn&amp; Sales Analysis'!C52</f>
        <v>41052</v>
      </c>
      <c r="D48" s="320">
        <f>'Feb 2025 -Prodn&amp; Sales Analysis'!D52</f>
        <v>624</v>
      </c>
      <c r="E48" s="320">
        <f>'Feb 2025 -Prodn&amp; Sales Analysis'!E52</f>
        <v>40428</v>
      </c>
      <c r="F48" s="320">
        <f>'Feb 2025 -Prodn&amp; Sales Analysis'!F52</f>
        <v>10650</v>
      </c>
      <c r="G48" s="320">
        <f>'Feb 2025 -Prodn&amp; Sales Analysis'!G52</f>
        <v>12660</v>
      </c>
      <c r="H48" s="320">
        <f>'Feb 2025 -Prodn&amp; Sales Analysis'!H52</f>
        <v>23310</v>
      </c>
      <c r="I48" s="320">
        <f>'Feb 2025 -Prodn&amp; Sales Analysis'!I52</f>
        <v>384390.29</v>
      </c>
      <c r="J48" s="320">
        <f>'Feb 2025 -Prodn&amp; Sales Analysis'!J52</f>
        <v>47896.55</v>
      </c>
      <c r="K48" s="320">
        <f>'Feb 2025 -Prodn&amp; Sales Analysis'!K52</f>
        <v>432286.83999999997</v>
      </c>
      <c r="L48" s="631"/>
      <c r="M48" s="297">
        <f>I48/F48</f>
        <v>36.09298497652582</v>
      </c>
      <c r="N48" s="298">
        <f t="shared" si="10"/>
        <v>0.2791351545597649</v>
      </c>
      <c r="O48" s="299">
        <f>'Jan 2025-Prodn &amp; Sales Analysis'!O52</f>
        <v>4993.4769230769225</v>
      </c>
      <c r="P48" s="300">
        <f>C48/O48*12</f>
        <v>98.65350488021295</v>
      </c>
      <c r="Q48" s="633"/>
      <c r="R48" s="16"/>
    </row>
    <row r="49" spans="1:18" ht="15.75" customHeight="1" x14ac:dyDescent="0.2">
      <c r="B49" s="319" t="s">
        <v>64</v>
      </c>
      <c r="C49" s="296">
        <f>'Feb 2025 -Prodn&amp; Sales Analysis'!C51</f>
        <v>24517</v>
      </c>
      <c r="D49" s="296">
        <f>'Feb 2025 -Prodn&amp; Sales Analysis'!D51</f>
        <v>436</v>
      </c>
      <c r="E49" s="296">
        <f>'Feb 2025 -Prodn&amp; Sales Analysis'!E51</f>
        <v>24081</v>
      </c>
      <c r="F49" s="296">
        <f>'Feb 2025 -Prodn&amp; Sales Analysis'!F51</f>
        <v>11290</v>
      </c>
      <c r="G49" s="296">
        <f>'Feb 2025 -Prodn&amp; Sales Analysis'!G51</f>
        <v>17680</v>
      </c>
      <c r="H49" s="296">
        <f>'Feb 2025 -Prodn&amp; Sales Analysis'!H51</f>
        <v>28970</v>
      </c>
      <c r="I49" s="296">
        <f>'Feb 2025 -Prodn&amp; Sales Analysis'!I51</f>
        <v>385557.93</v>
      </c>
      <c r="J49" s="296">
        <f>'Feb 2025 -Prodn&amp; Sales Analysis'!J51</f>
        <v>61689.68</v>
      </c>
      <c r="K49" s="296">
        <f>'Feb 2025 -Prodn&amp; Sales Analysis'!K51</f>
        <v>447247.61</v>
      </c>
      <c r="L49" s="631"/>
      <c r="M49" s="297">
        <f>I49/F49</f>
        <v>34.150392382639502</v>
      </c>
      <c r="N49" s="298">
        <f t="shared" si="10"/>
        <v>0.26411157354273962</v>
      </c>
      <c r="O49" s="299">
        <f>'Jan 2025-Prodn &amp; Sales Analysis'!O53</f>
        <v>5009.7230769230764</v>
      </c>
      <c r="P49" s="300">
        <f>C49/O49*12</f>
        <v>58.726599351415103</v>
      </c>
      <c r="Q49" s="633"/>
      <c r="R49" s="16" t="s">
        <v>118</v>
      </c>
    </row>
    <row r="50" spans="1:18" ht="15.75" customHeight="1" thickBot="1" x14ac:dyDescent="0.25">
      <c r="B50" s="321" t="s">
        <v>57</v>
      </c>
      <c r="C50" s="315">
        <f>'Feb 2025 -Prodn&amp; Sales Analysis'!C53</f>
        <v>15182</v>
      </c>
      <c r="D50" s="315">
        <f>'Feb 2025 -Prodn&amp; Sales Analysis'!D53</f>
        <v>189</v>
      </c>
      <c r="E50" s="315">
        <f>'Feb 2025 -Prodn&amp; Sales Analysis'!E53</f>
        <v>14993</v>
      </c>
      <c r="F50" s="315">
        <f>'Feb 2025 -Prodn&amp; Sales Analysis'!F53</f>
        <v>4150</v>
      </c>
      <c r="G50" s="315">
        <f>'Feb 2025 -Prodn&amp; Sales Analysis'!G53</f>
        <v>14800</v>
      </c>
      <c r="H50" s="315">
        <f>'Feb 2025 -Prodn&amp; Sales Analysis'!H53</f>
        <v>18950</v>
      </c>
      <c r="I50" s="315">
        <f>'Feb 2025 -Prodn&amp; Sales Analysis'!I53</f>
        <v>142669.99999999997</v>
      </c>
      <c r="J50" s="315">
        <f>'Feb 2025 -Prodn&amp; Sales Analysis'!J53</f>
        <v>55758.64</v>
      </c>
      <c r="K50" s="315">
        <f>'Feb 2025 -Prodn&amp; Sales Analysis'!K53</f>
        <v>198428.63999999996</v>
      </c>
      <c r="L50" s="632"/>
      <c r="M50" s="290">
        <f>I50/F50</f>
        <v>34.378313253012038</v>
      </c>
      <c r="N50" s="285">
        <f t="shared" si="10"/>
        <v>0.26587426309086681</v>
      </c>
      <c r="O50" s="257">
        <f>'Jan 2025-Prodn &amp; Sales Analysis'!O49</f>
        <v>2481.2307692307691</v>
      </c>
      <c r="P50" s="291">
        <f>C50/O50*12</f>
        <v>73.424851190476204</v>
      </c>
      <c r="Q50" s="629"/>
      <c r="R50" s="16"/>
    </row>
    <row r="51" spans="1:18" ht="15.75" customHeight="1" x14ac:dyDescent="0.2">
      <c r="B51" s="313" t="s">
        <v>48</v>
      </c>
      <c r="C51" s="278">
        <f>'Feb 2025 -Prodn&amp; Sales Analysis'!C43</f>
        <v>11026</v>
      </c>
      <c r="D51" s="278">
        <f>'Feb 2025 -Prodn&amp; Sales Analysis'!D43</f>
        <v>158</v>
      </c>
      <c r="E51" s="278">
        <f>'Feb 2025 -Prodn&amp; Sales Analysis'!E43</f>
        <v>10868</v>
      </c>
      <c r="F51" s="278">
        <f>'Feb 2025 -Prodn&amp; Sales Analysis'!F43</f>
        <v>10480</v>
      </c>
      <c r="G51" s="278">
        <f>'Feb 2025 -Prodn&amp; Sales Analysis'!G43</f>
        <v>0</v>
      </c>
      <c r="H51" s="278">
        <f>'Feb 2025 -Prodn&amp; Sales Analysis'!H43</f>
        <v>10480</v>
      </c>
      <c r="I51" s="278">
        <f>'Feb 2025 -Prodn&amp; Sales Analysis'!I43</f>
        <v>357868.2</v>
      </c>
      <c r="J51" s="278">
        <f>'Feb 2025 -Prodn&amp; Sales Analysis'!J43</f>
        <v>0</v>
      </c>
      <c r="K51" s="278">
        <f>'Feb 2025 -Prodn&amp; Sales Analysis'!K43</f>
        <v>357868.2</v>
      </c>
      <c r="L51" s="626">
        <f>(F51+F52)/(E51+E52)</f>
        <v>0.73153772963478003</v>
      </c>
      <c r="M51" s="287">
        <f t="shared" si="12"/>
        <v>34.147729007633586</v>
      </c>
      <c r="N51" s="231">
        <f t="shared" si="10"/>
        <v>0.26409097559013439</v>
      </c>
      <c r="O51" s="281">
        <f>'Jan 2025-Prodn &amp; Sales Analysis'!O40</f>
        <v>1736.8615384615382</v>
      </c>
      <c r="P51" s="288">
        <f t="shared" si="13"/>
        <v>76.178784013605451</v>
      </c>
      <c r="Q51" s="628">
        <f>(K51+K52)*12/(O51+O52)/129.3029</f>
        <v>15.44733155033018</v>
      </c>
    </row>
    <row r="52" spans="1:18" ht="15.75" customHeight="1" thickBot="1" x14ac:dyDescent="0.25">
      <c r="B52" s="314" t="s">
        <v>56</v>
      </c>
      <c r="C52" s="315">
        <f>'Feb 2025 -Prodn&amp; Sales Analysis'!C47</f>
        <v>16608</v>
      </c>
      <c r="D52" s="315">
        <f>'Feb 2025 -Prodn&amp; Sales Analysis'!D47</f>
        <v>150</v>
      </c>
      <c r="E52" s="315">
        <f>'Feb 2025 -Prodn&amp; Sales Analysis'!E47</f>
        <v>16458</v>
      </c>
      <c r="F52" s="315">
        <f>'Feb 2025 -Prodn&amp; Sales Analysis'!F47</f>
        <v>9510</v>
      </c>
      <c r="G52" s="315">
        <f>'Feb 2025 -Prodn&amp; Sales Analysis'!G47</f>
        <v>3780</v>
      </c>
      <c r="H52" s="315">
        <f>'Feb 2025 -Prodn&amp; Sales Analysis'!H47</f>
        <v>13290</v>
      </c>
      <c r="I52" s="315">
        <f>'Feb 2025 -Prodn&amp; Sales Analysis'!I47</f>
        <v>331193.43000000005</v>
      </c>
      <c r="J52" s="315">
        <f>'Feb 2025 -Prodn&amp; Sales Analysis'!J47</f>
        <v>13034.48</v>
      </c>
      <c r="K52" s="315">
        <f>'Feb 2025 -Prodn&amp; Sales Analysis'!K47</f>
        <v>344227.91000000003</v>
      </c>
      <c r="L52" s="627"/>
      <c r="M52" s="290">
        <f t="shared" si="12"/>
        <v>34.825807570977922</v>
      </c>
      <c r="N52" s="237">
        <f t="shared" si="10"/>
        <v>0.2693350850675269</v>
      </c>
      <c r="O52" s="257">
        <f>'Jan 2025-Prodn &amp; Sales Analysis'!O43</f>
        <v>2481.2307692307691</v>
      </c>
      <c r="P52" s="291">
        <f t="shared" si="13"/>
        <v>80.321428571428584</v>
      </c>
      <c r="Q52" s="629"/>
    </row>
    <row r="53" spans="1:18" ht="15.75" customHeight="1" x14ac:dyDescent="0.2">
      <c r="B53" s="343" t="s">
        <v>38</v>
      </c>
      <c r="C53" s="344">
        <f>'Feb 2025 -Prodn&amp; Sales Analysis'!C48</f>
        <v>16705</v>
      </c>
      <c r="D53" s="344">
        <f>'Feb 2025 -Prodn&amp; Sales Analysis'!D48</f>
        <v>192</v>
      </c>
      <c r="E53" s="344">
        <f>'Feb 2025 -Prodn&amp; Sales Analysis'!E48</f>
        <v>16513</v>
      </c>
      <c r="F53" s="344">
        <f>'Feb 2025 -Prodn&amp; Sales Analysis'!F48</f>
        <v>8020</v>
      </c>
      <c r="G53" s="344">
        <f>'Feb 2025 -Prodn&amp; Sales Analysis'!G48</f>
        <v>6860</v>
      </c>
      <c r="H53" s="344">
        <f>'Feb 2025 -Prodn&amp; Sales Analysis'!H48</f>
        <v>14880</v>
      </c>
      <c r="I53" s="344">
        <f>'Feb 2025 -Prodn&amp; Sales Analysis'!I48</f>
        <v>321478.83999999997</v>
      </c>
      <c r="J53" s="344">
        <f>'Feb 2025 -Prodn&amp; Sales Analysis'!J48</f>
        <v>23655.17</v>
      </c>
      <c r="K53" s="344">
        <f>'Feb 2025 -Prodn&amp; Sales Analysis'!K48</f>
        <v>345134.00999999995</v>
      </c>
      <c r="L53" s="324">
        <f>F53/E53</f>
        <v>0.48567795070550474</v>
      </c>
      <c r="M53" s="345">
        <f>I53/F53</f>
        <v>40.08464339152119</v>
      </c>
      <c r="N53" s="346">
        <f t="shared" si="10"/>
        <v>0.31000575695921123</v>
      </c>
      <c r="O53" s="250">
        <f>'Jan 2025-Prodn &amp; Sales Analysis'!O46</f>
        <v>3039.5076923076917</v>
      </c>
      <c r="P53" s="250">
        <f>C53/O53*12</f>
        <v>65.951469873663768</v>
      </c>
      <c r="Q53" s="325">
        <f>(K53*12/O53)/129.3029</f>
        <v>10.537982943442177</v>
      </c>
      <c r="R53" s="16"/>
    </row>
    <row r="54" spans="1:18" ht="17.25" customHeight="1" thickBot="1" x14ac:dyDescent="0.25">
      <c r="B54" s="21" t="s">
        <v>35</v>
      </c>
      <c r="C54" s="39">
        <f>SUM(C25:C53)</f>
        <v>891377</v>
      </c>
      <c r="D54" s="39">
        <f t="shared" ref="D54:K54" si="14">SUM(D25:D53)</f>
        <v>11158</v>
      </c>
      <c r="E54" s="39">
        <f t="shared" si="14"/>
        <v>880219</v>
      </c>
      <c r="F54" s="39">
        <f t="shared" si="14"/>
        <v>713220</v>
      </c>
      <c r="G54" s="39">
        <f t="shared" si="14"/>
        <v>112950</v>
      </c>
      <c r="H54" s="39">
        <f t="shared" si="14"/>
        <v>826170</v>
      </c>
      <c r="I54" s="39">
        <f t="shared" si="14"/>
        <v>28151071.430000003</v>
      </c>
      <c r="J54" s="39">
        <f t="shared" si="14"/>
        <v>457556.6</v>
      </c>
      <c r="K54" s="39">
        <f t="shared" si="14"/>
        <v>28608628.030000009</v>
      </c>
      <c r="L54" s="326">
        <f>F54/E54</f>
        <v>0.81027562458888069</v>
      </c>
      <c r="M54" s="39">
        <f>I54/F54</f>
        <v>39.470389823616841</v>
      </c>
      <c r="N54" s="327">
        <f t="shared" si="10"/>
        <v>0.30525525586523461</v>
      </c>
      <c r="O54" s="52">
        <f>SUM(O25:O53)</f>
        <v>106988.30769230764</v>
      </c>
      <c r="P54" s="328">
        <f>(C54/O54)*12</f>
        <v>99.978439053009438</v>
      </c>
      <c r="Q54" s="329">
        <f>(K54*12/O54)/129.3029</f>
        <v>24.81610932617755</v>
      </c>
      <c r="R54" s="330"/>
    </row>
    <row r="55" spans="1:18" ht="17.25" customHeight="1" thickTop="1" thickBot="1" x14ac:dyDescent="0.25">
      <c r="B55" s="26" t="s">
        <v>36</v>
      </c>
      <c r="C55" s="331"/>
      <c r="D55" s="275">
        <f>D54/C54</f>
        <v>1.251771136118612E-2</v>
      </c>
      <c r="E55" s="332">
        <f>E54/C54</f>
        <v>0.98748228863881393</v>
      </c>
      <c r="F55" s="333"/>
      <c r="G55" s="30"/>
      <c r="H55" s="30"/>
      <c r="I55" s="30"/>
      <c r="J55" s="30"/>
      <c r="K55" s="30"/>
      <c r="L55" s="32"/>
      <c r="M55" s="30"/>
      <c r="N55" s="43"/>
      <c r="O55" s="34"/>
      <c r="P55" s="34"/>
      <c r="Q55" s="34"/>
    </row>
    <row r="56" spans="1:18" ht="18.75" customHeight="1" thickTop="1" x14ac:dyDescent="0.2">
      <c r="M56" s="45"/>
      <c r="N56" s="46"/>
      <c r="O56" s="47"/>
    </row>
    <row r="57" spans="1:18" s="48" customFormat="1" ht="15" customHeight="1" thickBot="1" x14ac:dyDescent="0.25">
      <c r="B57" s="49" t="s">
        <v>68</v>
      </c>
      <c r="C57" s="50">
        <f t="shared" ref="C57:K57" si="15">C22+C54</f>
        <v>2148173</v>
      </c>
      <c r="D57" s="51">
        <f t="shared" si="15"/>
        <v>27586</v>
      </c>
      <c r="E57" s="51">
        <f t="shared" si="15"/>
        <v>2120587</v>
      </c>
      <c r="F57" s="52">
        <f t="shared" si="15"/>
        <v>1949289</v>
      </c>
      <c r="G57" s="334">
        <f t="shared" si="15"/>
        <v>180150</v>
      </c>
      <c r="H57" s="23">
        <f t="shared" si="15"/>
        <v>2129439</v>
      </c>
      <c r="I57" s="53">
        <f t="shared" si="15"/>
        <v>53201142.810000002</v>
      </c>
      <c r="J57" s="334">
        <f t="shared" si="15"/>
        <v>718177.4</v>
      </c>
      <c r="K57" s="52">
        <f t="shared" si="15"/>
        <v>53919320.210000008</v>
      </c>
      <c r="L57" s="335">
        <f>F57/E57</f>
        <v>0.91922142312482347</v>
      </c>
      <c r="M57" s="53">
        <f>I57/F57</f>
        <v>27.292588636164265</v>
      </c>
      <c r="N57" s="327">
        <f>M57/129.3029</f>
        <v>0.21107483773499486</v>
      </c>
      <c r="O57" s="52">
        <f>O54+O22</f>
        <v>193940.67692307686</v>
      </c>
      <c r="P57" s="328">
        <f>(C57/O57)*12</f>
        <v>132.91732507577262</v>
      </c>
      <c r="Q57" s="329">
        <f>(K57*12/O57)/129.3029</f>
        <v>25.801709532503299</v>
      </c>
    </row>
    <row r="58" spans="1:18" ht="16.5" customHeight="1" thickTop="1" thickBot="1" x14ac:dyDescent="0.25">
      <c r="B58" s="26" t="s">
        <v>36</v>
      </c>
      <c r="C58" s="336"/>
      <c r="D58" s="337">
        <f>D57/C57</f>
        <v>1.2841610056545725E-2</v>
      </c>
      <c r="E58" s="338">
        <f>E57/C57</f>
        <v>0.98715838994345428</v>
      </c>
      <c r="G58" s="56"/>
      <c r="N58" s="46"/>
    </row>
    <row r="59" spans="1:18" ht="16.5" customHeight="1" thickTop="1" x14ac:dyDescent="0.2">
      <c r="G59" s="57"/>
      <c r="H59" s="45"/>
    </row>
    <row r="60" spans="1:18" ht="16.5" customHeight="1" x14ac:dyDescent="0.2">
      <c r="A60" s="16"/>
      <c r="B60" s="48" t="s">
        <v>69</v>
      </c>
    </row>
    <row r="61" spans="1:18" ht="16.5" customHeight="1" x14ac:dyDescent="0.2">
      <c r="A61" s="16">
        <v>1</v>
      </c>
      <c r="B61" s="16" t="s">
        <v>70</v>
      </c>
    </row>
    <row r="62" spans="1:18" ht="16.5" customHeight="1" x14ac:dyDescent="0.2"/>
    <row r="63" spans="1:18" ht="16.5" customHeight="1" x14ac:dyDescent="0.2"/>
    <row r="64" spans="1:18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</sheetData>
  <mergeCells count="37">
    <mergeCell ref="L45:L46"/>
    <mergeCell ref="Q45:Q46"/>
    <mergeCell ref="L51:L52"/>
    <mergeCell ref="Q51:Q52"/>
    <mergeCell ref="L35:L36"/>
    <mergeCell ref="Q35:Q36"/>
    <mergeCell ref="L42:L44"/>
    <mergeCell ref="Q42:Q44"/>
    <mergeCell ref="L40:L41"/>
    <mergeCell ref="Q40:Q41"/>
    <mergeCell ref="L47:L50"/>
    <mergeCell ref="Q47:Q50"/>
    <mergeCell ref="Q15:Q17"/>
    <mergeCell ref="L29:L30"/>
    <mergeCell ref="Q29:Q30"/>
    <mergeCell ref="L38:L39"/>
    <mergeCell ref="Q38:Q39"/>
    <mergeCell ref="L27:L28"/>
    <mergeCell ref="Q27:Q28"/>
    <mergeCell ref="L31:L34"/>
    <mergeCell ref="Q31:Q34"/>
    <mergeCell ref="B24:Q24"/>
    <mergeCell ref="L25:L26"/>
    <mergeCell ref="Q25:Q26"/>
    <mergeCell ref="L19:L20"/>
    <mergeCell ref="Q19:Q20"/>
    <mergeCell ref="L15:L17"/>
    <mergeCell ref="B1:Q1"/>
    <mergeCell ref="B2:Q2"/>
    <mergeCell ref="B3:Q3"/>
    <mergeCell ref="B5:Q5"/>
    <mergeCell ref="L11:L12"/>
    <mergeCell ref="Q11:Q12"/>
    <mergeCell ref="L8:L9"/>
    <mergeCell ref="Q8:Q9"/>
    <mergeCell ref="L6:L7"/>
    <mergeCell ref="Q6:Q7"/>
  </mergeCells>
  <conditionalFormatting sqref="P6:P21">
    <cfRule type="cellIs" dxfId="57" priority="2" operator="lessThan">
      <formula>140</formula>
    </cfRule>
    <cfRule type="cellIs" priority="3" operator="lessThan">
      <formula>140</formula>
    </cfRule>
    <cfRule type="cellIs" dxfId="56" priority="4" operator="lessThan">
      <formula>140</formula>
    </cfRule>
    <cfRule type="cellIs" dxfId="55" priority="5" operator="lessThan">
      <formula>80</formula>
    </cfRule>
  </conditionalFormatting>
  <conditionalFormatting sqref="P25:P54">
    <cfRule type="cellIs" dxfId="54" priority="1" operator="between">
      <formula>0</formula>
      <formula>78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00B050"/>
  </sheetPr>
  <dimension ref="A1:V118"/>
  <sheetViews>
    <sheetView workbookViewId="0">
      <pane ySplit="4" topLeftCell="A21" activePane="bottomLeft" state="frozen"/>
      <selection pane="bottomLeft" activeCell="O28" sqref="O28"/>
    </sheetView>
  </sheetViews>
  <sheetFormatPr defaultColWidth="9.140625" defaultRowHeight="12" x14ac:dyDescent="0.2"/>
  <cols>
    <col min="1" max="1" width="2" style="1" customWidth="1"/>
    <col min="2" max="2" width="30.28515625" style="1" customWidth="1"/>
    <col min="3" max="3" width="10.5703125" style="44" customWidth="1"/>
    <col min="4" max="4" width="8.28515625" style="1" customWidth="1"/>
    <col min="5" max="5" width="10.7109375" style="1" customWidth="1"/>
    <col min="6" max="6" width="9.7109375" style="44" customWidth="1"/>
    <col min="7" max="7" width="9" style="1" customWidth="1"/>
    <col min="8" max="8" width="10.140625" style="1" customWidth="1"/>
    <col min="9" max="9" width="11.28515625" style="45" customWidth="1"/>
    <col min="10" max="10" width="10.5703125" style="45" customWidth="1"/>
    <col min="11" max="11" width="10.7109375" style="45" customWidth="1"/>
    <col min="12" max="12" width="8.7109375" style="1" customWidth="1"/>
    <col min="13" max="14" width="10.42578125" style="1" customWidth="1"/>
    <col min="15" max="15" width="9.140625" style="1" customWidth="1"/>
    <col min="16" max="16" width="9.85546875" style="47" customWidth="1"/>
    <col min="17" max="17" width="8.5703125" style="16" customWidth="1"/>
    <col min="18" max="18" width="10.5703125" style="1" customWidth="1"/>
    <col min="19" max="19" width="1.42578125" style="1" customWidth="1"/>
    <col min="20" max="20" width="30.42578125" style="1" customWidth="1"/>
    <col min="21" max="21" width="10.140625" style="585" bestFit="1" customWidth="1"/>
    <col min="22" max="22" width="12.42578125" style="585" bestFit="1" customWidth="1"/>
    <col min="23" max="16384" width="9.140625" style="1"/>
  </cols>
  <sheetData>
    <row r="1" spans="2:22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22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22" ht="15" x14ac:dyDescent="0.25">
      <c r="B3" s="622">
        <v>45747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22" ht="34.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454" t="s">
        <v>15</v>
      </c>
      <c r="P4" s="455" t="s">
        <v>16</v>
      </c>
      <c r="Q4" s="456" t="s">
        <v>17</v>
      </c>
    </row>
    <row r="5" spans="2:22" ht="16.5" customHeight="1" x14ac:dyDescent="0.25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  <c r="T5" s="16"/>
      <c r="U5" s="586"/>
      <c r="V5" s="586"/>
    </row>
    <row r="6" spans="2:22" s="16" customFormat="1" ht="15.75" customHeight="1" x14ac:dyDescent="0.2">
      <c r="B6" s="10" t="s">
        <v>27</v>
      </c>
      <c r="C6" s="352">
        <v>195718</v>
      </c>
      <c r="D6" s="388">
        <v>755</v>
      </c>
      <c r="E6" s="190">
        <f t="shared" ref="E6:E21" si="0">C6-D6</f>
        <v>194963</v>
      </c>
      <c r="F6" s="353">
        <v>178330</v>
      </c>
      <c r="G6" s="353">
        <v>4840</v>
      </c>
      <c r="H6" s="190">
        <f t="shared" ref="H6:H21" si="1">F6+G6</f>
        <v>183170</v>
      </c>
      <c r="I6" s="353">
        <v>3308770.31</v>
      </c>
      <c r="J6" s="353">
        <v>14603.45</v>
      </c>
      <c r="K6" s="198">
        <f t="shared" ref="K6:K21" si="2">I6+J6</f>
        <v>3323373.7600000002</v>
      </c>
      <c r="L6" s="11">
        <f t="shared" ref="L6:L21" si="3">F6/E6</f>
        <v>0.91468637638936623</v>
      </c>
      <c r="M6" s="12">
        <f t="shared" ref="M6:M21" si="4">I6/F6</f>
        <v>18.554199013065666</v>
      </c>
      <c r="N6" s="13">
        <f t="shared" ref="N6:N22" si="5">M6/129.3348</f>
        <v>0.14345867479646365</v>
      </c>
      <c r="O6" s="14">
        <v>8684.3076923076933</v>
      </c>
      <c r="P6" s="14">
        <f t="shared" ref="P6:P21" si="6">C6/O6*12</f>
        <v>270.44366496598639</v>
      </c>
      <c r="Q6" s="15">
        <f t="shared" ref="Q6:Q22" si="7">(K6*12/O6)/129.3348</f>
        <v>35.506661043755471</v>
      </c>
      <c r="T6" s="587" t="s">
        <v>158</v>
      </c>
      <c r="U6" s="588">
        <v>56267</v>
      </c>
      <c r="V6" s="588">
        <v>970615.21</v>
      </c>
    </row>
    <row r="7" spans="2:22" s="16" customFormat="1" ht="15.75" customHeight="1" x14ac:dyDescent="0.2">
      <c r="B7" s="10" t="s">
        <v>32</v>
      </c>
      <c r="C7" s="352">
        <v>79006</v>
      </c>
      <c r="D7" s="388">
        <v>1628</v>
      </c>
      <c r="E7" s="190">
        <f t="shared" si="0"/>
        <v>77378</v>
      </c>
      <c r="F7" s="353">
        <v>65290</v>
      </c>
      <c r="G7" s="353">
        <v>7040</v>
      </c>
      <c r="H7" s="190">
        <f t="shared" si="1"/>
        <v>72330</v>
      </c>
      <c r="I7" s="353">
        <v>1714527.98</v>
      </c>
      <c r="J7" s="353">
        <v>21241.39</v>
      </c>
      <c r="K7" s="198">
        <f t="shared" si="2"/>
        <v>1735769.3699999999</v>
      </c>
      <c r="L7" s="11">
        <f t="shared" si="3"/>
        <v>0.84377988575564111</v>
      </c>
      <c r="M7" s="12">
        <f t="shared" si="4"/>
        <v>26.260192678817582</v>
      </c>
      <c r="N7" s="13">
        <f t="shared" si="5"/>
        <v>0.20304042437779762</v>
      </c>
      <c r="O7" s="14">
        <v>4962.4615384615381</v>
      </c>
      <c r="P7" s="14">
        <f t="shared" si="6"/>
        <v>191.04873511904762</v>
      </c>
      <c r="Q7" s="15">
        <f t="shared" si="7"/>
        <v>32.453438422094663</v>
      </c>
      <c r="T7" s="587" t="s">
        <v>159</v>
      </c>
      <c r="U7" s="588">
        <v>110369</v>
      </c>
      <c r="V7" s="588">
        <v>1674541.88</v>
      </c>
    </row>
    <row r="8" spans="2:22" s="16" customFormat="1" ht="15.75" customHeight="1" x14ac:dyDescent="0.2">
      <c r="B8" s="10" t="s">
        <v>34</v>
      </c>
      <c r="C8" s="352">
        <v>97210</v>
      </c>
      <c r="D8" s="388">
        <v>389</v>
      </c>
      <c r="E8" s="190">
        <f>C8-D8</f>
        <v>96821</v>
      </c>
      <c r="F8" s="353">
        <v>83241</v>
      </c>
      <c r="G8" s="353">
        <v>620</v>
      </c>
      <c r="H8" s="190">
        <f>F8+G8</f>
        <v>83861</v>
      </c>
      <c r="I8" s="353">
        <v>1675306.8800000004</v>
      </c>
      <c r="J8" s="353">
        <v>2000</v>
      </c>
      <c r="K8" s="198">
        <f>I8+J8</f>
        <v>1677306.8800000004</v>
      </c>
      <c r="L8" s="11">
        <f>F8/E8</f>
        <v>0.85974117185321364</v>
      </c>
      <c r="M8" s="12">
        <f>I8/F8</f>
        <v>20.125982148220231</v>
      </c>
      <c r="N8" s="13">
        <f>M8/129.3348</f>
        <v>0.15561149936614299</v>
      </c>
      <c r="O8" s="14">
        <v>5334.6461538461526</v>
      </c>
      <c r="P8" s="14">
        <f>C8/O8*12</f>
        <v>218.66867386489483</v>
      </c>
      <c r="Q8" s="15">
        <f>(K8*12/O8)/129.3348</f>
        <v>29.172440353632194</v>
      </c>
      <c r="T8" s="587" t="s">
        <v>161</v>
      </c>
      <c r="U8" s="588">
        <v>40948</v>
      </c>
      <c r="V8" s="588">
        <v>698109.68</v>
      </c>
    </row>
    <row r="9" spans="2:22" s="16" customFormat="1" ht="15.75" customHeight="1" x14ac:dyDescent="0.2">
      <c r="B9" s="10" t="s">
        <v>19</v>
      </c>
      <c r="C9" s="352">
        <v>73612</v>
      </c>
      <c r="D9" s="388">
        <v>550</v>
      </c>
      <c r="E9" s="190">
        <f t="shared" si="0"/>
        <v>73062</v>
      </c>
      <c r="F9" s="353">
        <v>56267</v>
      </c>
      <c r="G9" s="353">
        <v>1980</v>
      </c>
      <c r="H9" s="190">
        <f t="shared" si="1"/>
        <v>58247</v>
      </c>
      <c r="I9" s="353">
        <v>970615.21</v>
      </c>
      <c r="J9" s="353">
        <v>5974.14</v>
      </c>
      <c r="K9" s="198">
        <f t="shared" si="2"/>
        <v>976589.35</v>
      </c>
      <c r="L9" s="11">
        <f t="shared" si="3"/>
        <v>0.77012674167145712</v>
      </c>
      <c r="M9" s="12">
        <f t="shared" si="4"/>
        <v>17.25016812696607</v>
      </c>
      <c r="N9" s="13">
        <f t="shared" si="5"/>
        <v>0.13337607609835922</v>
      </c>
      <c r="O9" s="14">
        <v>3349.6615384615388</v>
      </c>
      <c r="P9" s="14">
        <f t="shared" si="6"/>
        <v>263.71141975308637</v>
      </c>
      <c r="Q9" s="15">
        <f t="shared" si="7"/>
        <v>27.05060030966402</v>
      </c>
      <c r="T9" s="587" t="s">
        <v>160</v>
      </c>
      <c r="U9" s="588">
        <v>57510</v>
      </c>
      <c r="V9" s="588">
        <v>1306315.98</v>
      </c>
    </row>
    <row r="10" spans="2:22" s="16" customFormat="1" ht="15.75" customHeight="1" x14ac:dyDescent="0.2">
      <c r="B10" s="10" t="s">
        <v>30</v>
      </c>
      <c r="C10" s="352">
        <v>242948</v>
      </c>
      <c r="D10" s="388">
        <v>531</v>
      </c>
      <c r="E10" s="190">
        <f t="shared" si="0"/>
        <v>242417</v>
      </c>
      <c r="F10" s="353">
        <v>150006</v>
      </c>
      <c r="G10" s="353">
        <v>17520</v>
      </c>
      <c r="H10" s="190">
        <f t="shared" si="1"/>
        <v>167526</v>
      </c>
      <c r="I10" s="353">
        <v>2293840.4000000004</v>
      </c>
      <c r="J10" s="353">
        <v>51318.96</v>
      </c>
      <c r="K10" s="198">
        <f t="shared" si="2"/>
        <v>2345159.3600000003</v>
      </c>
      <c r="L10" s="11">
        <f t="shared" si="3"/>
        <v>0.61879323644793893</v>
      </c>
      <c r="M10" s="12">
        <f t="shared" si="4"/>
        <v>15.291657667026655</v>
      </c>
      <c r="N10" s="13">
        <f t="shared" si="5"/>
        <v>0.11823312570960526</v>
      </c>
      <c r="O10" s="20">
        <v>8374.1538461538439</v>
      </c>
      <c r="P10" s="14">
        <f t="shared" si="6"/>
        <v>348.13977072310416</v>
      </c>
      <c r="Q10" s="15">
        <f t="shared" si="7"/>
        <v>25.983477501501536</v>
      </c>
      <c r="T10" s="587" t="s">
        <v>162</v>
      </c>
      <c r="U10" s="588">
        <v>33124</v>
      </c>
      <c r="V10" s="588">
        <v>525225.14</v>
      </c>
    </row>
    <row r="11" spans="2:22" s="16" customFormat="1" ht="15.75" customHeight="1" x14ac:dyDescent="0.2">
      <c r="B11" s="10" t="s">
        <v>29</v>
      </c>
      <c r="C11" s="352">
        <v>45670</v>
      </c>
      <c r="D11" s="388">
        <v>422</v>
      </c>
      <c r="E11" s="190">
        <f t="shared" si="0"/>
        <v>45248</v>
      </c>
      <c r="F11" s="353">
        <v>38956</v>
      </c>
      <c r="G11" s="353">
        <v>920</v>
      </c>
      <c r="H11" s="190">
        <f t="shared" si="1"/>
        <v>39876</v>
      </c>
      <c r="I11" s="353">
        <v>583963.25000000012</v>
      </c>
      <c r="J11" s="353">
        <v>2775.87</v>
      </c>
      <c r="K11" s="198">
        <f t="shared" si="2"/>
        <v>586739.12000000011</v>
      </c>
      <c r="L11" s="11">
        <f t="shared" si="3"/>
        <v>0.86094413012729842</v>
      </c>
      <c r="M11" s="12">
        <f t="shared" si="4"/>
        <v>14.990328832529011</v>
      </c>
      <c r="N11" s="13">
        <f t="shared" si="5"/>
        <v>0.11590329000801804</v>
      </c>
      <c r="O11" s="14">
        <v>2109.0461538461541</v>
      </c>
      <c r="P11" s="14">
        <f t="shared" si="6"/>
        <v>259.85206582633049</v>
      </c>
      <c r="Q11" s="15">
        <f t="shared" si="7"/>
        <v>25.812187521411545</v>
      </c>
      <c r="T11" s="587" t="s">
        <v>163</v>
      </c>
      <c r="U11" s="588">
        <v>59268</v>
      </c>
      <c r="V11" s="588">
        <v>790144.36</v>
      </c>
    </row>
    <row r="12" spans="2:22" s="16" customFormat="1" ht="15.75" customHeight="1" x14ac:dyDescent="0.2">
      <c r="B12" s="10" t="s">
        <v>21</v>
      </c>
      <c r="C12" s="352">
        <v>68114</v>
      </c>
      <c r="D12" s="388">
        <v>518</v>
      </c>
      <c r="E12" s="190">
        <f t="shared" si="0"/>
        <v>67596</v>
      </c>
      <c r="F12" s="353">
        <v>57510</v>
      </c>
      <c r="G12" s="353">
        <v>700</v>
      </c>
      <c r="H12" s="190">
        <f t="shared" si="1"/>
        <v>58210</v>
      </c>
      <c r="I12" s="353">
        <v>1306315.98</v>
      </c>
      <c r="J12" s="353">
        <v>2241.38</v>
      </c>
      <c r="K12" s="198">
        <f t="shared" si="2"/>
        <v>1308557.3599999999</v>
      </c>
      <c r="L12" s="11">
        <f t="shared" si="3"/>
        <v>0.85078998757322921</v>
      </c>
      <c r="M12" s="12">
        <f t="shared" si="4"/>
        <v>22.71458841940532</v>
      </c>
      <c r="N12" s="13">
        <f t="shared" si="5"/>
        <v>0.17562626933667752</v>
      </c>
      <c r="O12" s="14">
        <v>5371.8646153846139</v>
      </c>
      <c r="P12" s="14">
        <f t="shared" si="6"/>
        <v>152.15722258880461</v>
      </c>
      <c r="Q12" s="15">
        <f t="shared" si="7"/>
        <v>22.601307073410112</v>
      </c>
      <c r="T12" s="587" t="s">
        <v>164</v>
      </c>
      <c r="U12" s="588">
        <v>64934</v>
      </c>
      <c r="V12" s="588">
        <v>1146405.07</v>
      </c>
    </row>
    <row r="13" spans="2:22" s="16" customFormat="1" ht="15.75" customHeight="1" x14ac:dyDescent="0.2">
      <c r="B13" s="10" t="s">
        <v>25</v>
      </c>
      <c r="C13" s="352">
        <v>90037</v>
      </c>
      <c r="D13" s="388">
        <v>469</v>
      </c>
      <c r="E13" s="190">
        <f t="shared" si="0"/>
        <v>89568</v>
      </c>
      <c r="F13" s="353">
        <v>64934</v>
      </c>
      <c r="G13" s="353">
        <v>3260</v>
      </c>
      <c r="H13" s="190">
        <f t="shared" si="1"/>
        <v>68194</v>
      </c>
      <c r="I13" s="353">
        <v>1146405.07</v>
      </c>
      <c r="J13" s="353">
        <v>9836.2000000000007</v>
      </c>
      <c r="K13" s="198">
        <f t="shared" si="2"/>
        <v>1156241.27</v>
      </c>
      <c r="L13" s="11">
        <f t="shared" si="3"/>
        <v>0.72496873883529833</v>
      </c>
      <c r="M13" s="12">
        <f t="shared" si="4"/>
        <v>17.654927618812948</v>
      </c>
      <c r="N13" s="13">
        <f t="shared" si="5"/>
        <v>0.13650562430848426</v>
      </c>
      <c r="O13" s="14">
        <v>4794.0923076923082</v>
      </c>
      <c r="P13" s="14">
        <f t="shared" si="6"/>
        <v>225.36987831176828</v>
      </c>
      <c r="Q13" s="15">
        <f t="shared" si="7"/>
        <v>22.37731240553266</v>
      </c>
      <c r="T13" s="587" t="s">
        <v>165</v>
      </c>
      <c r="U13" s="588">
        <v>21395</v>
      </c>
      <c r="V13" s="588">
        <v>365421.22</v>
      </c>
    </row>
    <row r="14" spans="2:22" s="16" customFormat="1" ht="15.75" customHeight="1" x14ac:dyDescent="0.2">
      <c r="B14" s="10" t="s">
        <v>28</v>
      </c>
      <c r="C14" s="352">
        <v>143915</v>
      </c>
      <c r="D14" s="388">
        <v>505</v>
      </c>
      <c r="E14" s="190">
        <f t="shared" si="0"/>
        <v>143410</v>
      </c>
      <c r="F14" s="353">
        <v>101514</v>
      </c>
      <c r="G14" s="353">
        <v>1640</v>
      </c>
      <c r="H14" s="190">
        <f t="shared" si="1"/>
        <v>103154</v>
      </c>
      <c r="I14" s="353">
        <v>1966948.6900000002</v>
      </c>
      <c r="J14" s="353">
        <v>4948.2700000000004</v>
      </c>
      <c r="K14" s="198">
        <f t="shared" si="2"/>
        <v>1971896.9600000002</v>
      </c>
      <c r="L14" s="11">
        <f t="shared" si="3"/>
        <v>0.70785858726727569</v>
      </c>
      <c r="M14" s="12">
        <f t="shared" si="4"/>
        <v>19.376132257619641</v>
      </c>
      <c r="N14" s="13">
        <f t="shared" si="5"/>
        <v>0.14981375668126165</v>
      </c>
      <c r="O14" s="14">
        <v>10048.984615384614</v>
      </c>
      <c r="P14" s="14">
        <f t="shared" si="6"/>
        <v>171.85616916519697</v>
      </c>
      <c r="Q14" s="15">
        <f t="shared" si="7"/>
        <v>18.20655956597027</v>
      </c>
      <c r="T14" s="587" t="s">
        <v>166</v>
      </c>
      <c r="U14" s="588">
        <v>178330</v>
      </c>
      <c r="V14" s="588">
        <v>3308770.31</v>
      </c>
    </row>
    <row r="15" spans="2:22" s="16" customFormat="1" ht="15.75" customHeight="1" x14ac:dyDescent="0.2">
      <c r="B15" s="10" t="s">
        <v>20</v>
      </c>
      <c r="C15" s="352">
        <v>191820</v>
      </c>
      <c r="D15" s="388">
        <v>1052</v>
      </c>
      <c r="E15" s="190">
        <f t="shared" si="0"/>
        <v>190768</v>
      </c>
      <c r="F15" s="353">
        <v>110369</v>
      </c>
      <c r="G15" s="353">
        <v>17940</v>
      </c>
      <c r="H15" s="190">
        <f t="shared" si="1"/>
        <v>128309</v>
      </c>
      <c r="I15" s="353">
        <v>1674541.88</v>
      </c>
      <c r="J15" s="353">
        <v>54129.32</v>
      </c>
      <c r="K15" s="198">
        <f t="shared" si="2"/>
        <v>1728671.2</v>
      </c>
      <c r="L15" s="11">
        <f t="shared" si="3"/>
        <v>0.578550910005871</v>
      </c>
      <c r="M15" s="12">
        <f t="shared" si="4"/>
        <v>15.172212124781414</v>
      </c>
      <c r="N15" s="13">
        <f t="shared" si="5"/>
        <v>0.11730958817566048</v>
      </c>
      <c r="O15" s="14">
        <v>10545.230769230768</v>
      </c>
      <c r="P15" s="14">
        <f t="shared" si="6"/>
        <v>218.2825630252101</v>
      </c>
      <c r="Q15" s="15">
        <f t="shared" si="7"/>
        <v>15.209752905946862</v>
      </c>
      <c r="T15" s="587" t="s">
        <v>167</v>
      </c>
      <c r="U15" s="588">
        <v>101514</v>
      </c>
      <c r="V15" s="588">
        <v>1966948.6900000002</v>
      </c>
    </row>
    <row r="16" spans="2:22" s="16" customFormat="1" ht="15.75" customHeight="1" x14ac:dyDescent="0.2">
      <c r="B16" s="10" t="s">
        <v>26</v>
      </c>
      <c r="C16" s="352">
        <v>40133</v>
      </c>
      <c r="D16" s="388">
        <v>598</v>
      </c>
      <c r="E16" s="190">
        <f t="shared" si="0"/>
        <v>39535</v>
      </c>
      <c r="F16" s="353">
        <v>21395</v>
      </c>
      <c r="G16" s="353">
        <v>780</v>
      </c>
      <c r="H16" s="190">
        <f t="shared" si="1"/>
        <v>22175</v>
      </c>
      <c r="I16" s="353">
        <v>365421.22</v>
      </c>
      <c r="J16" s="353">
        <v>2353.4499999999998</v>
      </c>
      <c r="K16" s="198">
        <f t="shared" si="2"/>
        <v>367774.67</v>
      </c>
      <c r="L16" s="11">
        <f t="shared" si="3"/>
        <v>0.54116605539395468</v>
      </c>
      <c r="M16" s="12">
        <f t="shared" si="4"/>
        <v>17.079748539378357</v>
      </c>
      <c r="N16" s="13">
        <f t="shared" si="5"/>
        <v>0.13205841381730482</v>
      </c>
      <c r="O16" s="14">
        <v>2357.1692307692306</v>
      </c>
      <c r="P16" s="14">
        <f t="shared" si="6"/>
        <v>204.31116854636593</v>
      </c>
      <c r="Q16" s="15">
        <f t="shared" si="7"/>
        <v>14.476277554450725</v>
      </c>
      <c r="T16" s="587" t="s">
        <v>168</v>
      </c>
      <c r="U16" s="588">
        <v>38956</v>
      </c>
      <c r="V16" s="588">
        <v>583963.25000000012</v>
      </c>
    </row>
    <row r="17" spans="2:22" s="16" customFormat="1" ht="15.75" customHeight="1" x14ac:dyDescent="0.2">
      <c r="B17" s="10" t="s">
        <v>24</v>
      </c>
      <c r="C17" s="352">
        <v>88701</v>
      </c>
      <c r="D17" s="388">
        <v>327</v>
      </c>
      <c r="E17" s="190">
        <f t="shared" si="0"/>
        <v>88374</v>
      </c>
      <c r="F17" s="353">
        <v>59268</v>
      </c>
      <c r="G17" s="353">
        <v>4220</v>
      </c>
      <c r="H17" s="190">
        <f t="shared" si="1"/>
        <v>63488</v>
      </c>
      <c r="I17" s="353">
        <v>790144.36</v>
      </c>
      <c r="J17" s="353">
        <v>12732.77</v>
      </c>
      <c r="K17" s="198">
        <f t="shared" si="2"/>
        <v>802877.13</v>
      </c>
      <c r="L17" s="11">
        <f t="shared" si="3"/>
        <v>0.67064973861090371</v>
      </c>
      <c r="M17" s="12">
        <f t="shared" si="4"/>
        <v>13.331719646352163</v>
      </c>
      <c r="N17" s="13">
        <f t="shared" si="5"/>
        <v>0.10307913760528614</v>
      </c>
      <c r="O17" s="14">
        <v>5302.1538461538457</v>
      </c>
      <c r="P17" s="14">
        <f t="shared" si="6"/>
        <v>200.75087047353762</v>
      </c>
      <c r="Q17" s="15">
        <f t="shared" si="7"/>
        <v>14.049556411679726</v>
      </c>
      <c r="T17" s="587" t="s">
        <v>169</v>
      </c>
      <c r="U17" s="588">
        <v>150006</v>
      </c>
      <c r="V17" s="588">
        <v>2293840.4000000004</v>
      </c>
    </row>
    <row r="18" spans="2:22" s="16" customFormat="1" ht="15.75" customHeight="1" x14ac:dyDescent="0.2">
      <c r="B18" s="10" t="s">
        <v>22</v>
      </c>
      <c r="C18" s="352">
        <v>64646</v>
      </c>
      <c r="D18" s="388">
        <v>391</v>
      </c>
      <c r="E18" s="190">
        <f t="shared" si="0"/>
        <v>64255</v>
      </c>
      <c r="F18" s="353">
        <v>40948</v>
      </c>
      <c r="G18" s="353">
        <v>3180</v>
      </c>
      <c r="H18" s="190">
        <f t="shared" si="1"/>
        <v>44128</v>
      </c>
      <c r="I18" s="353">
        <v>698109.68</v>
      </c>
      <c r="J18" s="353">
        <v>9594.83</v>
      </c>
      <c r="K18" s="198">
        <f t="shared" si="2"/>
        <v>707704.51</v>
      </c>
      <c r="L18" s="11">
        <f t="shared" si="3"/>
        <v>0.63727336394054934</v>
      </c>
      <c r="M18" s="12">
        <f t="shared" si="4"/>
        <v>17.048688092214519</v>
      </c>
      <c r="N18" s="13">
        <f t="shared" si="5"/>
        <v>0.13181825844408868</v>
      </c>
      <c r="O18" s="351">
        <v>4962.4615384615381</v>
      </c>
      <c r="P18" s="14">
        <f t="shared" si="6"/>
        <v>156.32403273809524</v>
      </c>
      <c r="Q18" s="15">
        <f t="shared" si="7"/>
        <v>13.231852764128266</v>
      </c>
      <c r="T18" s="587" t="s">
        <v>170</v>
      </c>
      <c r="U18" s="588">
        <v>29518</v>
      </c>
      <c r="V18" s="588">
        <v>404502.29</v>
      </c>
    </row>
    <row r="19" spans="2:22" s="16" customFormat="1" ht="15.75" customHeight="1" x14ac:dyDescent="0.2">
      <c r="B19" s="10" t="s">
        <v>31</v>
      </c>
      <c r="C19" s="352">
        <v>25897</v>
      </c>
      <c r="D19" s="388">
        <v>288</v>
      </c>
      <c r="E19" s="190">
        <f t="shared" si="0"/>
        <v>25609</v>
      </c>
      <c r="F19" s="353">
        <v>29518</v>
      </c>
      <c r="G19" s="353">
        <v>1780</v>
      </c>
      <c r="H19" s="190">
        <f t="shared" si="1"/>
        <v>31298</v>
      </c>
      <c r="I19" s="353">
        <v>404502.29</v>
      </c>
      <c r="J19" s="353">
        <v>5370.69</v>
      </c>
      <c r="K19" s="198">
        <f t="shared" si="2"/>
        <v>409872.98</v>
      </c>
      <c r="L19" s="11">
        <f t="shared" si="3"/>
        <v>1.1526416494201257</v>
      </c>
      <c r="M19" s="12">
        <f t="shared" si="4"/>
        <v>13.703580527135983</v>
      </c>
      <c r="N19" s="13">
        <f t="shared" si="5"/>
        <v>0.10595431799589888</v>
      </c>
      <c r="O19" s="14">
        <v>2977.4769230769234</v>
      </c>
      <c r="P19" s="14">
        <f t="shared" si="6"/>
        <v>104.37158978174601</v>
      </c>
      <c r="Q19" s="15">
        <f t="shared" si="7"/>
        <v>12.772230139182636</v>
      </c>
      <c r="R19" s="16" t="s">
        <v>118</v>
      </c>
      <c r="T19" s="587" t="s">
        <v>171</v>
      </c>
      <c r="U19" s="588">
        <v>65290</v>
      </c>
      <c r="V19" s="588">
        <v>1714527.98</v>
      </c>
    </row>
    <row r="20" spans="2:22" s="16" customFormat="1" ht="15.75" customHeight="1" x14ac:dyDescent="0.2">
      <c r="B20" s="10" t="s">
        <v>33</v>
      </c>
      <c r="C20" s="352">
        <v>29735</v>
      </c>
      <c r="D20" s="388">
        <v>277</v>
      </c>
      <c r="E20" s="190">
        <f t="shared" si="0"/>
        <v>29458</v>
      </c>
      <c r="F20" s="353">
        <v>22600</v>
      </c>
      <c r="G20" s="353">
        <v>3800</v>
      </c>
      <c r="H20" s="190">
        <f t="shared" si="1"/>
        <v>26400</v>
      </c>
      <c r="I20" s="353">
        <v>317370.72000000003</v>
      </c>
      <c r="J20" s="353">
        <v>11465.51</v>
      </c>
      <c r="K20" s="198">
        <f t="shared" si="2"/>
        <v>328836.23000000004</v>
      </c>
      <c r="L20" s="11">
        <f t="shared" si="3"/>
        <v>0.76719397107746623</v>
      </c>
      <c r="M20" s="12">
        <f t="shared" si="4"/>
        <v>14.042952212389382</v>
      </c>
      <c r="N20" s="13">
        <f t="shared" si="5"/>
        <v>0.1085782961151166</v>
      </c>
      <c r="O20" s="14">
        <v>2605.292307692308</v>
      </c>
      <c r="P20" s="14">
        <f t="shared" si="6"/>
        <v>136.95967970521542</v>
      </c>
      <c r="Q20" s="15">
        <f t="shared" si="7"/>
        <v>11.710867129508392</v>
      </c>
      <c r="T20" s="587" t="s">
        <v>172</v>
      </c>
      <c r="U20" s="588">
        <v>22600</v>
      </c>
      <c r="V20" s="588">
        <v>317370.72000000003</v>
      </c>
    </row>
    <row r="21" spans="2:22" s="16" customFormat="1" ht="15.75" customHeight="1" x14ac:dyDescent="0.2">
      <c r="B21" s="17" t="s">
        <v>23</v>
      </c>
      <c r="C21" s="355">
        <v>64057</v>
      </c>
      <c r="D21" s="390">
        <v>312</v>
      </c>
      <c r="E21" s="193">
        <f t="shared" si="0"/>
        <v>63745</v>
      </c>
      <c r="F21" s="356">
        <v>33124</v>
      </c>
      <c r="G21" s="356">
        <v>3920</v>
      </c>
      <c r="H21" s="193">
        <f t="shared" si="1"/>
        <v>37044</v>
      </c>
      <c r="I21" s="356">
        <v>525225.14</v>
      </c>
      <c r="J21" s="356">
        <v>11982.76</v>
      </c>
      <c r="K21" s="205">
        <f t="shared" si="2"/>
        <v>537207.9</v>
      </c>
      <c r="L21" s="358">
        <f t="shared" si="3"/>
        <v>0.51963291238528508</v>
      </c>
      <c r="M21" s="18">
        <f t="shared" si="4"/>
        <v>15.856331964738558</v>
      </c>
      <c r="N21" s="13">
        <f t="shared" si="5"/>
        <v>0.12259911458276163</v>
      </c>
      <c r="O21" s="19">
        <v>5173.3661538461538</v>
      </c>
      <c r="P21" s="19">
        <f t="shared" si="6"/>
        <v>148.58488209432454</v>
      </c>
      <c r="Q21" s="15">
        <f t="shared" si="7"/>
        <v>9.6346296089088881</v>
      </c>
      <c r="T21" s="587" t="s">
        <v>173</v>
      </c>
      <c r="U21" s="588">
        <v>83241</v>
      </c>
      <c r="V21" s="588">
        <v>1675306.8800000004</v>
      </c>
    </row>
    <row r="22" spans="2:22" ht="15.75" customHeight="1" thickBot="1" x14ac:dyDescent="0.25">
      <c r="B22" s="21" t="s">
        <v>35</v>
      </c>
      <c r="C22" s="39">
        <f t="shared" ref="C22:K22" si="8">SUM(C6:C21)</f>
        <v>1541219</v>
      </c>
      <c r="D22" s="39">
        <f t="shared" si="8"/>
        <v>9012</v>
      </c>
      <c r="E22" s="39">
        <f t="shared" si="8"/>
        <v>1532207</v>
      </c>
      <c r="F22" s="39">
        <f t="shared" si="8"/>
        <v>1113270</v>
      </c>
      <c r="G22" s="39">
        <f t="shared" si="8"/>
        <v>74140</v>
      </c>
      <c r="H22" s="39">
        <f t="shared" si="8"/>
        <v>1187410</v>
      </c>
      <c r="I22" s="39">
        <f t="shared" si="8"/>
        <v>19742009.059999999</v>
      </c>
      <c r="J22" s="39">
        <f t="shared" si="8"/>
        <v>222568.99000000002</v>
      </c>
      <c r="K22" s="39">
        <f t="shared" si="8"/>
        <v>19964578.050000001</v>
      </c>
      <c r="L22" s="22">
        <f t="shared" ref="L22" si="9">F22/E22</f>
        <v>0.7265793721083379</v>
      </c>
      <c r="M22" s="23">
        <f t="shared" ref="M22" si="10">I22/F22</f>
        <v>17.733352250577127</v>
      </c>
      <c r="N22" s="24">
        <f t="shared" si="5"/>
        <v>0.13711199345092834</v>
      </c>
      <c r="O22" s="39">
        <f>SUM(O6:O21)</f>
        <v>86952.369230769225</v>
      </c>
      <c r="P22" s="25">
        <f t="shared" ref="P22" si="11">C22/O22*12</f>
        <v>212.69837916567587</v>
      </c>
      <c r="Q22" s="24">
        <f t="shared" si="7"/>
        <v>21.303186337836248</v>
      </c>
      <c r="T22" s="16"/>
      <c r="U22" s="586"/>
      <c r="V22" s="586"/>
    </row>
    <row r="23" spans="2:22" ht="17.25" customHeight="1" thickTop="1" thickBot="1" x14ac:dyDescent="0.25">
      <c r="B23" s="26" t="s">
        <v>36</v>
      </c>
      <c r="C23" s="27"/>
      <c r="D23" s="28">
        <f>D22/C22</f>
        <v>5.8473195567923832E-3</v>
      </c>
      <c r="E23" s="29">
        <f>E22/C22</f>
        <v>0.99415268044320759</v>
      </c>
      <c r="F23" s="30"/>
      <c r="G23" s="31"/>
      <c r="H23" s="30"/>
      <c r="I23" s="30"/>
      <c r="J23" s="30"/>
      <c r="K23" s="30"/>
      <c r="L23" s="32"/>
      <c r="M23" s="30"/>
      <c r="N23" s="33"/>
      <c r="O23" s="34"/>
      <c r="P23" s="34"/>
      <c r="Q23" s="35"/>
      <c r="T23" s="16"/>
      <c r="U23" s="586"/>
      <c r="V23" s="586"/>
    </row>
    <row r="24" spans="2:22" ht="21" customHeight="1" thickTop="1" x14ac:dyDescent="0.25">
      <c r="B24" s="624" t="s">
        <v>37</v>
      </c>
      <c r="C24" s="620"/>
      <c r="D24" s="620"/>
      <c r="E24" s="620"/>
      <c r="F24" s="620"/>
      <c r="G24" s="620"/>
      <c r="H24" s="620"/>
      <c r="I24" s="620"/>
      <c r="J24" s="620"/>
      <c r="K24" s="620"/>
      <c r="L24" s="625"/>
      <c r="M24" s="625"/>
      <c r="N24" s="625"/>
      <c r="O24" s="625"/>
      <c r="P24" s="625"/>
      <c r="Q24" s="625"/>
      <c r="T24" s="16"/>
      <c r="U24" s="586"/>
      <c r="V24" s="586"/>
    </row>
    <row r="25" spans="2:22" ht="15.75" customHeight="1" x14ac:dyDescent="0.2">
      <c r="B25" s="208" t="s">
        <v>52</v>
      </c>
      <c r="C25" s="199">
        <v>54770</v>
      </c>
      <c r="D25" s="391">
        <v>424</v>
      </c>
      <c r="E25" s="200">
        <f t="shared" ref="E25:E53" si="12">C25-D25</f>
        <v>54346</v>
      </c>
      <c r="F25" s="201">
        <v>50610</v>
      </c>
      <c r="G25" s="201">
        <v>2460</v>
      </c>
      <c r="H25" s="202">
        <f t="shared" ref="H25:H53" si="13">F25+G25</f>
        <v>53070</v>
      </c>
      <c r="I25" s="201">
        <v>2077487.0000000002</v>
      </c>
      <c r="J25" s="201">
        <v>8482.76</v>
      </c>
      <c r="K25" s="200">
        <f t="shared" ref="K25:K53" si="14">I25+J25</f>
        <v>2085969.7600000002</v>
      </c>
      <c r="L25" s="36">
        <f t="shared" ref="L25:L53" si="15">F25/E25</f>
        <v>0.93125529017774999</v>
      </c>
      <c r="M25" s="20">
        <f t="shared" ref="M25:M53" si="16">I25/F25</f>
        <v>41.048942896660741</v>
      </c>
      <c r="N25" s="37">
        <f t="shared" ref="N25:N54" si="17">M25/129.3348</f>
        <v>0.31738513452420186</v>
      </c>
      <c r="O25" s="20">
        <v>5024.4923076923069</v>
      </c>
      <c r="P25" s="14">
        <f t="shared" ref="P25:P53" si="18">C25/O25*12</f>
        <v>130.80724573780131</v>
      </c>
      <c r="Q25" s="15">
        <f t="shared" ref="Q25:Q54" si="19">(K25*12/O25)/129.3348</f>
        <v>38.519591498586941</v>
      </c>
      <c r="T25" s="16"/>
      <c r="U25" s="586"/>
      <c r="V25" s="586"/>
    </row>
    <row r="26" spans="2:22" ht="15.75" customHeight="1" x14ac:dyDescent="0.2">
      <c r="B26" s="208" t="s">
        <v>43</v>
      </c>
      <c r="C26" s="199">
        <v>27889</v>
      </c>
      <c r="D26" s="391">
        <v>244</v>
      </c>
      <c r="E26" s="200">
        <f t="shared" si="12"/>
        <v>27645</v>
      </c>
      <c r="F26" s="201">
        <v>26950</v>
      </c>
      <c r="G26" s="201">
        <v>480</v>
      </c>
      <c r="H26" s="202">
        <f t="shared" si="13"/>
        <v>27430</v>
      </c>
      <c r="I26" s="201">
        <v>1019497.02</v>
      </c>
      <c r="J26" s="201">
        <v>1655.17</v>
      </c>
      <c r="K26" s="200">
        <f t="shared" si="14"/>
        <v>1021152.1900000001</v>
      </c>
      <c r="L26" s="36">
        <f t="shared" si="15"/>
        <v>0.97485982998733944</v>
      </c>
      <c r="M26" s="20">
        <f t="shared" si="16"/>
        <v>37.829202968460109</v>
      </c>
      <c r="N26" s="37">
        <f t="shared" si="17"/>
        <v>0.29249052048219126</v>
      </c>
      <c r="O26" s="20">
        <v>2605.292307692308</v>
      </c>
      <c r="P26" s="14">
        <f t="shared" si="18"/>
        <v>128.45698696145124</v>
      </c>
      <c r="Q26" s="15">
        <f t="shared" si="19"/>
        <v>36.366362721335506</v>
      </c>
      <c r="T26" s="16"/>
      <c r="U26" s="586"/>
      <c r="V26" s="586"/>
    </row>
    <row r="27" spans="2:22" ht="15.75" customHeight="1" x14ac:dyDescent="0.2">
      <c r="B27" s="208" t="s">
        <v>50</v>
      </c>
      <c r="C27" s="199">
        <v>23170</v>
      </c>
      <c r="D27" s="391">
        <v>274</v>
      </c>
      <c r="E27" s="200">
        <f t="shared" si="12"/>
        <v>22896</v>
      </c>
      <c r="F27" s="201">
        <v>30240</v>
      </c>
      <c r="G27" s="201">
        <v>360</v>
      </c>
      <c r="H27" s="202">
        <f t="shared" si="13"/>
        <v>30600</v>
      </c>
      <c r="I27" s="201">
        <v>1039915.58</v>
      </c>
      <c r="J27" s="201">
        <v>1241.3800000000001</v>
      </c>
      <c r="K27" s="200">
        <f t="shared" si="14"/>
        <v>1041156.96</v>
      </c>
      <c r="L27" s="36">
        <f t="shared" si="15"/>
        <v>1.320754716981132</v>
      </c>
      <c r="M27" s="20">
        <f t="shared" si="16"/>
        <v>34.388742724867726</v>
      </c>
      <c r="N27" s="37">
        <f t="shared" si="17"/>
        <v>0.26588932541642096</v>
      </c>
      <c r="O27" s="20">
        <v>2667.3230769230763</v>
      </c>
      <c r="P27" s="14">
        <f t="shared" si="18"/>
        <v>104.23934108527135</v>
      </c>
      <c r="Q27" s="15">
        <f t="shared" si="19"/>
        <v>36.216496428332803</v>
      </c>
      <c r="T27" s="16"/>
      <c r="U27" s="586"/>
      <c r="V27" s="586"/>
    </row>
    <row r="28" spans="2:22" ht="15.75" customHeight="1" x14ac:dyDescent="0.2">
      <c r="B28" s="208" t="s">
        <v>58</v>
      </c>
      <c r="C28" s="199">
        <v>42150</v>
      </c>
      <c r="D28" s="391">
        <v>480</v>
      </c>
      <c r="E28" s="200">
        <f t="shared" si="12"/>
        <v>41670</v>
      </c>
      <c r="F28" s="201">
        <v>54250</v>
      </c>
      <c r="G28" s="201">
        <v>980</v>
      </c>
      <c r="H28" s="202">
        <f t="shared" si="13"/>
        <v>55230</v>
      </c>
      <c r="I28" s="201">
        <v>1981199.91</v>
      </c>
      <c r="J28" s="201">
        <v>3379.3</v>
      </c>
      <c r="K28" s="200">
        <f t="shared" si="14"/>
        <v>1984579.21</v>
      </c>
      <c r="L28" s="36">
        <f t="shared" si="15"/>
        <v>1.3018958483321335</v>
      </c>
      <c r="M28" s="20">
        <f t="shared" si="16"/>
        <v>36.519814009216589</v>
      </c>
      <c r="N28" s="37">
        <f t="shared" si="17"/>
        <v>0.28236649385329077</v>
      </c>
      <c r="O28" s="20">
        <v>5210.584615384616</v>
      </c>
      <c r="P28" s="14">
        <f t="shared" si="18"/>
        <v>97.071641156462576</v>
      </c>
      <c r="Q28" s="15">
        <f t="shared" si="19"/>
        <v>35.338477509450115</v>
      </c>
      <c r="T28" s="16"/>
      <c r="U28" s="586"/>
      <c r="V28" s="586"/>
    </row>
    <row r="29" spans="2:22" ht="15.75" customHeight="1" x14ac:dyDescent="0.2">
      <c r="B29" s="208" t="s">
        <v>62</v>
      </c>
      <c r="C29" s="199">
        <v>24697</v>
      </c>
      <c r="D29" s="391">
        <v>625</v>
      </c>
      <c r="E29" s="200">
        <f t="shared" si="12"/>
        <v>24072</v>
      </c>
      <c r="F29" s="201">
        <v>23600</v>
      </c>
      <c r="G29" s="201">
        <v>1600</v>
      </c>
      <c r="H29" s="202">
        <f t="shared" si="13"/>
        <v>25200</v>
      </c>
      <c r="I29" s="201">
        <v>1002210.19</v>
      </c>
      <c r="J29" s="201">
        <v>5517.23</v>
      </c>
      <c r="K29" s="200">
        <f t="shared" si="14"/>
        <v>1007727.4199999999</v>
      </c>
      <c r="L29" s="36">
        <f t="shared" si="15"/>
        <v>0.98039215686274506</v>
      </c>
      <c r="M29" s="20">
        <f t="shared" si="16"/>
        <v>42.466533474576266</v>
      </c>
      <c r="N29" s="37">
        <f t="shared" si="17"/>
        <v>0.32834576211952443</v>
      </c>
      <c r="O29" s="20">
        <v>2667.3230769230763</v>
      </c>
      <c r="P29" s="14">
        <f t="shared" si="18"/>
        <v>111.109150055371</v>
      </c>
      <c r="Q29" s="15">
        <f t="shared" si="19"/>
        <v>35.053654645081593</v>
      </c>
      <c r="T29" s="16"/>
      <c r="U29" s="586"/>
      <c r="V29" s="586"/>
    </row>
    <row r="30" spans="2:22" ht="15.75" customHeight="1" x14ac:dyDescent="0.2">
      <c r="B30" s="208" t="s">
        <v>39</v>
      </c>
      <c r="C30" s="199">
        <v>53020</v>
      </c>
      <c r="D30" s="391">
        <v>347</v>
      </c>
      <c r="E30" s="200">
        <f t="shared" si="12"/>
        <v>52673</v>
      </c>
      <c r="F30" s="201">
        <v>48610</v>
      </c>
      <c r="G30" s="203">
        <v>0</v>
      </c>
      <c r="H30" s="202">
        <f t="shared" si="13"/>
        <v>48610</v>
      </c>
      <c r="I30" s="201">
        <v>1709122.52</v>
      </c>
      <c r="J30" s="203">
        <v>0</v>
      </c>
      <c r="K30" s="200">
        <f t="shared" si="14"/>
        <v>1709122.52</v>
      </c>
      <c r="L30" s="36">
        <f t="shared" si="15"/>
        <v>0.92286370626317094</v>
      </c>
      <c r="M30" s="20">
        <f t="shared" si="16"/>
        <v>35.159895494754167</v>
      </c>
      <c r="N30" s="37">
        <f t="shared" si="17"/>
        <v>0.27185177921761328</v>
      </c>
      <c r="O30" s="20">
        <v>5148.5538461538454</v>
      </c>
      <c r="P30" s="14">
        <f t="shared" si="18"/>
        <v>123.57644865174989</v>
      </c>
      <c r="Q30" s="15">
        <f t="shared" si="19"/>
        <v>30.800217807118901</v>
      </c>
      <c r="T30" s="16"/>
      <c r="U30" s="586"/>
      <c r="V30" s="586"/>
    </row>
    <row r="31" spans="2:22" ht="15.75" customHeight="1" x14ac:dyDescent="0.2">
      <c r="B31" s="208" t="s">
        <v>51</v>
      </c>
      <c r="C31" s="199">
        <v>79513</v>
      </c>
      <c r="D31" s="391">
        <v>417</v>
      </c>
      <c r="E31" s="200">
        <f t="shared" si="12"/>
        <v>79096</v>
      </c>
      <c r="F31" s="201">
        <f>76240+30</f>
        <v>76270</v>
      </c>
      <c r="G31" s="201">
        <v>360</v>
      </c>
      <c r="H31" s="202">
        <f t="shared" si="13"/>
        <v>76630</v>
      </c>
      <c r="I31" s="201">
        <f>2609162.64+2562.65</f>
        <v>2611725.29</v>
      </c>
      <c r="J31" s="201">
        <v>1241.3699999999999</v>
      </c>
      <c r="K31" s="200">
        <f t="shared" si="14"/>
        <v>2612966.66</v>
      </c>
      <c r="L31" s="36">
        <f t="shared" si="15"/>
        <v>0.96427126529786589</v>
      </c>
      <c r="M31" s="20">
        <f t="shared" si="16"/>
        <v>34.243153140159961</v>
      </c>
      <c r="N31" s="37">
        <f t="shared" si="17"/>
        <v>0.26476364551659692</v>
      </c>
      <c r="O31" s="20">
        <v>8436.1846153846163</v>
      </c>
      <c r="P31" s="14">
        <f t="shared" si="18"/>
        <v>113.10278799019608</v>
      </c>
      <c r="Q31" s="15">
        <f t="shared" si="19"/>
        <v>28.737808301889089</v>
      </c>
      <c r="T31" s="16"/>
      <c r="U31" s="586"/>
      <c r="V31" s="586"/>
    </row>
    <row r="32" spans="2:22" ht="15.75" customHeight="1" x14ac:dyDescent="0.2">
      <c r="B32" s="208" t="s">
        <v>53</v>
      </c>
      <c r="C32" s="199">
        <v>67438</v>
      </c>
      <c r="D32" s="391">
        <v>279</v>
      </c>
      <c r="E32" s="200">
        <f t="shared" si="12"/>
        <v>67159</v>
      </c>
      <c r="F32" s="201">
        <v>60600</v>
      </c>
      <c r="G32" s="201">
        <v>1020</v>
      </c>
      <c r="H32" s="202">
        <f t="shared" si="13"/>
        <v>61620</v>
      </c>
      <c r="I32" s="201">
        <v>2172684.98</v>
      </c>
      <c r="J32" s="201">
        <v>3517.25</v>
      </c>
      <c r="K32" s="200">
        <f t="shared" si="14"/>
        <v>2176202.23</v>
      </c>
      <c r="L32" s="36">
        <f t="shared" si="15"/>
        <v>0.90233624681725455</v>
      </c>
      <c r="M32" s="20">
        <f t="shared" si="16"/>
        <v>35.852887458745876</v>
      </c>
      <c r="N32" s="37">
        <f t="shared" si="17"/>
        <v>0.27720990374397203</v>
      </c>
      <c r="O32" s="20">
        <v>7381.6615384615379</v>
      </c>
      <c r="P32" s="14">
        <f t="shared" si="18"/>
        <v>109.63060224089637</v>
      </c>
      <c r="Q32" s="15">
        <f t="shared" si="19"/>
        <v>27.3533783733264</v>
      </c>
      <c r="T32" s="16"/>
      <c r="U32" s="586"/>
      <c r="V32" s="586"/>
    </row>
    <row r="33" spans="2:22" ht="15.75" customHeight="1" x14ac:dyDescent="0.2">
      <c r="B33" s="208" t="s">
        <v>49</v>
      </c>
      <c r="C33" s="199">
        <v>48855</v>
      </c>
      <c r="D33" s="391">
        <v>282</v>
      </c>
      <c r="E33" s="200">
        <f t="shared" si="12"/>
        <v>48573</v>
      </c>
      <c r="F33" s="201">
        <v>39170</v>
      </c>
      <c r="G33" s="201">
        <v>1080</v>
      </c>
      <c r="H33" s="202">
        <f t="shared" si="13"/>
        <v>40250</v>
      </c>
      <c r="I33" s="201">
        <v>1392947.1400000001</v>
      </c>
      <c r="J33" s="201">
        <v>3724.14</v>
      </c>
      <c r="K33" s="200">
        <f t="shared" si="14"/>
        <v>1396671.28</v>
      </c>
      <c r="L33" s="36">
        <f t="shared" si="15"/>
        <v>0.80641508657072858</v>
      </c>
      <c r="M33" s="20">
        <f t="shared" si="16"/>
        <v>35.561581312228746</v>
      </c>
      <c r="N33" s="37">
        <f t="shared" si="17"/>
        <v>0.27495756217374401</v>
      </c>
      <c r="O33" s="20">
        <v>5024.4923076923069</v>
      </c>
      <c r="P33" s="14">
        <f t="shared" si="18"/>
        <v>116.68044532627867</v>
      </c>
      <c r="Q33" s="15">
        <f t="shared" si="19"/>
        <v>25.790981343568724</v>
      </c>
      <c r="T33" s="16"/>
      <c r="U33" s="586"/>
      <c r="V33" s="586"/>
    </row>
    <row r="34" spans="2:22" ht="15.75" customHeight="1" x14ac:dyDescent="0.2">
      <c r="B34" s="208" t="s">
        <v>44</v>
      </c>
      <c r="C34" s="199">
        <v>19615</v>
      </c>
      <c r="D34" s="391">
        <v>263</v>
      </c>
      <c r="E34" s="200">
        <f t="shared" si="12"/>
        <v>19352</v>
      </c>
      <c r="F34" s="201">
        <v>17080</v>
      </c>
      <c r="G34" s="201">
        <v>240</v>
      </c>
      <c r="H34" s="202">
        <f t="shared" si="13"/>
        <v>17320</v>
      </c>
      <c r="I34" s="201">
        <v>648331.38</v>
      </c>
      <c r="J34" s="201">
        <v>827.58</v>
      </c>
      <c r="K34" s="200">
        <f t="shared" si="14"/>
        <v>649158.96</v>
      </c>
      <c r="L34" s="36">
        <f t="shared" si="15"/>
        <v>0.88259611409673422</v>
      </c>
      <c r="M34" s="20">
        <f t="shared" si="16"/>
        <v>37.958511709601872</v>
      </c>
      <c r="N34" s="37">
        <f t="shared" si="17"/>
        <v>0.29349031899845884</v>
      </c>
      <c r="O34" s="20">
        <v>2357.1692307692306</v>
      </c>
      <c r="P34" s="14">
        <f t="shared" si="18"/>
        <v>99.857064536340857</v>
      </c>
      <c r="Q34" s="15">
        <f t="shared" si="19"/>
        <v>25.55207318089246</v>
      </c>
      <c r="T34" s="16"/>
      <c r="U34" s="586"/>
      <c r="V34" s="586"/>
    </row>
    <row r="35" spans="2:22" ht="15.75" customHeight="1" x14ac:dyDescent="0.2">
      <c r="B35" s="208" t="s">
        <v>46</v>
      </c>
      <c r="C35" s="199">
        <v>30036</v>
      </c>
      <c r="D35" s="391">
        <v>284</v>
      </c>
      <c r="E35" s="200">
        <f t="shared" si="12"/>
        <v>29752</v>
      </c>
      <c r="F35" s="201">
        <v>32330</v>
      </c>
      <c r="G35" s="201">
        <v>1880</v>
      </c>
      <c r="H35" s="202">
        <f t="shared" si="13"/>
        <v>34210</v>
      </c>
      <c r="I35" s="201">
        <v>1351156.6199999999</v>
      </c>
      <c r="J35" s="201">
        <v>6482.74</v>
      </c>
      <c r="K35" s="200">
        <f t="shared" si="14"/>
        <v>1357639.3599999999</v>
      </c>
      <c r="L35" s="36">
        <f t="shared" si="15"/>
        <v>1.0866496369991934</v>
      </c>
      <c r="M35" s="20">
        <f t="shared" si="16"/>
        <v>41.792657593566346</v>
      </c>
      <c r="N35" s="37">
        <f t="shared" si="17"/>
        <v>0.32313544068237121</v>
      </c>
      <c r="O35" s="20">
        <v>5027.4461538461537</v>
      </c>
      <c r="P35" s="14">
        <f t="shared" si="18"/>
        <v>71.692861339600469</v>
      </c>
      <c r="Q35" s="15">
        <f t="shared" si="19"/>
        <v>25.05548666891503</v>
      </c>
      <c r="T35" s="16"/>
      <c r="U35" s="586"/>
      <c r="V35" s="586"/>
    </row>
    <row r="36" spans="2:22" ht="15.75" customHeight="1" x14ac:dyDescent="0.2">
      <c r="B36" s="208" t="s">
        <v>42</v>
      </c>
      <c r="C36" s="199">
        <v>22023</v>
      </c>
      <c r="D36" s="391">
        <v>225</v>
      </c>
      <c r="E36" s="200">
        <f t="shared" si="12"/>
        <v>21798</v>
      </c>
      <c r="F36" s="201">
        <v>16270</v>
      </c>
      <c r="G36" s="203">
        <v>0</v>
      </c>
      <c r="H36" s="202">
        <f t="shared" si="13"/>
        <v>16270</v>
      </c>
      <c r="I36" s="201">
        <v>620895.80000000005</v>
      </c>
      <c r="J36" s="203">
        <v>0</v>
      </c>
      <c r="K36" s="200">
        <f t="shared" si="14"/>
        <v>620895.80000000005</v>
      </c>
      <c r="L36" s="36">
        <f t="shared" si="15"/>
        <v>0.74639875217909901</v>
      </c>
      <c r="M36" s="20">
        <f t="shared" si="16"/>
        <v>38.162003687768902</v>
      </c>
      <c r="N36" s="37">
        <f t="shared" si="17"/>
        <v>0.2950636927398419</v>
      </c>
      <c r="O36" s="20">
        <v>2357.1692307692306</v>
      </c>
      <c r="P36" s="14">
        <f t="shared" si="18"/>
        <v>112.11583646616542</v>
      </c>
      <c r="Q36" s="15">
        <f t="shared" si="19"/>
        <v>24.439583980029749</v>
      </c>
      <c r="T36" s="16"/>
      <c r="U36" s="586"/>
      <c r="V36" s="586"/>
    </row>
    <row r="37" spans="2:22" ht="15.75" customHeight="1" x14ac:dyDescent="0.2">
      <c r="B37" s="208" t="s">
        <v>40</v>
      </c>
      <c r="C37" s="199">
        <v>15502</v>
      </c>
      <c r="D37" s="391">
        <v>119</v>
      </c>
      <c r="E37" s="200">
        <f t="shared" si="12"/>
        <v>15383</v>
      </c>
      <c r="F37" s="201">
        <v>14570</v>
      </c>
      <c r="G37" s="201">
        <v>360</v>
      </c>
      <c r="H37" s="202">
        <f t="shared" si="13"/>
        <v>14930</v>
      </c>
      <c r="I37" s="201">
        <v>630031.23</v>
      </c>
      <c r="J37" s="201">
        <v>1241.3800000000001</v>
      </c>
      <c r="K37" s="200">
        <f t="shared" si="14"/>
        <v>631272.61</v>
      </c>
      <c r="L37" s="36">
        <f t="shared" si="15"/>
        <v>0.9471494506923227</v>
      </c>
      <c r="M37" s="20">
        <f t="shared" si="16"/>
        <v>43.241676733013037</v>
      </c>
      <c r="N37" s="37">
        <f t="shared" si="17"/>
        <v>0.33433906986374151</v>
      </c>
      <c r="O37" s="20">
        <v>2481.2307692307691</v>
      </c>
      <c r="P37" s="14">
        <f t="shared" si="18"/>
        <v>74.972470238095241</v>
      </c>
      <c r="Q37" s="15">
        <f t="shared" si="19"/>
        <v>23.605632326822288</v>
      </c>
      <c r="T37" s="16"/>
      <c r="U37" s="586"/>
      <c r="V37" s="586"/>
    </row>
    <row r="38" spans="2:22" ht="15.75" customHeight="1" x14ac:dyDescent="0.2">
      <c r="B38" s="208" t="s">
        <v>41</v>
      </c>
      <c r="C38" s="199">
        <v>23432</v>
      </c>
      <c r="D38" s="391">
        <v>320</v>
      </c>
      <c r="E38" s="200">
        <f t="shared" si="12"/>
        <v>23112</v>
      </c>
      <c r="F38" s="201">
        <v>21830</v>
      </c>
      <c r="G38" s="201">
        <v>480</v>
      </c>
      <c r="H38" s="202">
        <f t="shared" si="13"/>
        <v>22310</v>
      </c>
      <c r="I38" s="201">
        <v>801093.59000000008</v>
      </c>
      <c r="J38" s="201">
        <v>1655.17</v>
      </c>
      <c r="K38" s="200">
        <f t="shared" si="14"/>
        <v>802748.76000000013</v>
      </c>
      <c r="L38" s="36">
        <f t="shared" si="15"/>
        <v>0.9445309795777086</v>
      </c>
      <c r="M38" s="20">
        <f t="shared" si="16"/>
        <v>36.696912047640865</v>
      </c>
      <c r="N38" s="37">
        <f t="shared" si="17"/>
        <v>0.2837357930552401</v>
      </c>
      <c r="O38" s="20">
        <v>3225.5999999999995</v>
      </c>
      <c r="P38" s="14">
        <f t="shared" si="18"/>
        <v>87.172619047619065</v>
      </c>
      <c r="Q38" s="15">
        <f t="shared" si="19"/>
        <v>23.090587512851481</v>
      </c>
      <c r="T38" s="16"/>
      <c r="U38" s="586"/>
      <c r="V38" s="586"/>
    </row>
    <row r="39" spans="2:22" ht="15.75" customHeight="1" x14ac:dyDescent="0.2">
      <c r="B39" s="208" t="s">
        <v>65</v>
      </c>
      <c r="C39" s="199">
        <v>19471</v>
      </c>
      <c r="D39" s="391">
        <v>235</v>
      </c>
      <c r="E39" s="200">
        <f t="shared" si="12"/>
        <v>19236</v>
      </c>
      <c r="F39" s="201">
        <v>18440</v>
      </c>
      <c r="G39" s="203">
        <v>0</v>
      </c>
      <c r="H39" s="202">
        <f t="shared" si="13"/>
        <v>18440</v>
      </c>
      <c r="I39" s="201">
        <v>688027.69</v>
      </c>
      <c r="J39" s="203">
        <v>0</v>
      </c>
      <c r="K39" s="200">
        <f t="shared" si="14"/>
        <v>688027.69</v>
      </c>
      <c r="L39" s="36">
        <f t="shared" si="15"/>
        <v>0.95861925556248695</v>
      </c>
      <c r="M39" s="20">
        <f t="shared" si="16"/>
        <v>37.311696854663772</v>
      </c>
      <c r="N39" s="37">
        <f t="shared" si="17"/>
        <v>0.28848922992623621</v>
      </c>
      <c r="O39" s="20">
        <v>2788.4307692307689</v>
      </c>
      <c r="P39" s="14">
        <f t="shared" si="18"/>
        <v>83.793365995762727</v>
      </c>
      <c r="Q39" s="15">
        <f t="shared" si="19"/>
        <v>22.893484572933446</v>
      </c>
      <c r="T39" s="16"/>
      <c r="U39" s="586"/>
      <c r="V39" s="586"/>
    </row>
    <row r="40" spans="2:22" ht="15.75" customHeight="1" x14ac:dyDescent="0.2">
      <c r="B40" s="208" t="s">
        <v>60</v>
      </c>
      <c r="C40" s="199">
        <v>15196</v>
      </c>
      <c r="D40" s="391">
        <v>227</v>
      </c>
      <c r="E40" s="200">
        <f t="shared" si="12"/>
        <v>14969</v>
      </c>
      <c r="F40" s="201">
        <v>15940</v>
      </c>
      <c r="G40" s="203">
        <v>0</v>
      </c>
      <c r="H40" s="202">
        <f t="shared" si="13"/>
        <v>15940</v>
      </c>
      <c r="I40" s="201">
        <v>540116.56000000006</v>
      </c>
      <c r="J40" s="203">
        <v>0</v>
      </c>
      <c r="K40" s="200">
        <f t="shared" si="14"/>
        <v>540116.56000000006</v>
      </c>
      <c r="L40" s="36">
        <f t="shared" si="15"/>
        <v>1.064867392611397</v>
      </c>
      <c r="M40" s="20">
        <f t="shared" si="16"/>
        <v>33.884351317440405</v>
      </c>
      <c r="N40" s="37">
        <f t="shared" si="17"/>
        <v>0.26198943607938779</v>
      </c>
      <c r="O40" s="20">
        <v>2605.292307692308</v>
      </c>
      <c r="P40" s="14">
        <f t="shared" si="18"/>
        <v>69.992913832199548</v>
      </c>
      <c r="Q40" s="15">
        <f t="shared" si="19"/>
        <v>19.235207959315026</v>
      </c>
      <c r="T40" s="16"/>
      <c r="U40" s="586"/>
      <c r="V40" s="586"/>
    </row>
    <row r="41" spans="2:22" ht="15.75" customHeight="1" x14ac:dyDescent="0.2">
      <c r="B41" s="208" t="s">
        <v>55</v>
      </c>
      <c r="C41" s="199">
        <v>47966</v>
      </c>
      <c r="D41" s="391">
        <v>189</v>
      </c>
      <c r="E41" s="200">
        <f t="shared" si="12"/>
        <v>47777</v>
      </c>
      <c r="F41" s="201">
        <v>28510</v>
      </c>
      <c r="G41" s="201">
        <v>2120</v>
      </c>
      <c r="H41" s="202">
        <f t="shared" si="13"/>
        <v>30630</v>
      </c>
      <c r="I41" s="201">
        <v>1039865.46</v>
      </c>
      <c r="J41" s="201">
        <v>7310.35</v>
      </c>
      <c r="K41" s="200">
        <f t="shared" si="14"/>
        <v>1047175.8099999999</v>
      </c>
      <c r="L41" s="36">
        <f t="shared" si="15"/>
        <v>0.59673064445235158</v>
      </c>
      <c r="M41" s="20">
        <f t="shared" si="16"/>
        <v>36.473709575587513</v>
      </c>
      <c r="N41" s="37">
        <f t="shared" si="17"/>
        <v>0.2820100203161679</v>
      </c>
      <c r="O41" s="20">
        <v>5055.5076923076922</v>
      </c>
      <c r="P41" s="14">
        <f t="shared" si="18"/>
        <v>113.85444054922583</v>
      </c>
      <c r="Q41" s="15">
        <f t="shared" si="19"/>
        <v>19.218552570607883</v>
      </c>
      <c r="T41" s="16"/>
      <c r="U41" s="586"/>
      <c r="V41" s="586"/>
    </row>
    <row r="42" spans="2:22" ht="15.75" customHeight="1" x14ac:dyDescent="0.2">
      <c r="B42" s="208" t="s">
        <v>56</v>
      </c>
      <c r="C42" s="199">
        <v>19269</v>
      </c>
      <c r="D42" s="391">
        <v>256</v>
      </c>
      <c r="E42" s="200">
        <f t="shared" si="12"/>
        <v>19013</v>
      </c>
      <c r="F42" s="201">
        <v>12730</v>
      </c>
      <c r="G42" s="201">
        <v>960</v>
      </c>
      <c r="H42" s="202">
        <f t="shared" si="13"/>
        <v>13690</v>
      </c>
      <c r="I42" s="201">
        <v>498245.77</v>
      </c>
      <c r="J42" s="201">
        <v>3310.35</v>
      </c>
      <c r="K42" s="200">
        <f t="shared" si="14"/>
        <v>501556.12</v>
      </c>
      <c r="L42" s="36">
        <f t="shared" si="15"/>
        <v>0.66954189238941775</v>
      </c>
      <c r="M42" s="20">
        <f t="shared" si="16"/>
        <v>39.139494893951294</v>
      </c>
      <c r="N42" s="37">
        <f t="shared" si="17"/>
        <v>0.30262152872970999</v>
      </c>
      <c r="O42" s="20">
        <v>2481.2307692307691</v>
      </c>
      <c r="P42" s="14">
        <f t="shared" si="18"/>
        <v>93.190848214285722</v>
      </c>
      <c r="Q42" s="15">
        <f t="shared" si="19"/>
        <v>18.755049993357954</v>
      </c>
      <c r="T42" s="16"/>
      <c r="U42" s="586"/>
      <c r="V42" s="586"/>
    </row>
    <row r="43" spans="2:22" ht="15.75" customHeight="1" x14ac:dyDescent="0.2">
      <c r="B43" s="208" t="s">
        <v>45</v>
      </c>
      <c r="C43" s="199">
        <v>14067</v>
      </c>
      <c r="D43" s="391">
        <v>219</v>
      </c>
      <c r="E43" s="200">
        <f t="shared" si="12"/>
        <v>13848</v>
      </c>
      <c r="F43" s="201">
        <v>14010</v>
      </c>
      <c r="G43" s="203">
        <v>0</v>
      </c>
      <c r="H43" s="202">
        <f t="shared" si="13"/>
        <v>14010</v>
      </c>
      <c r="I43" s="201">
        <v>490387.5</v>
      </c>
      <c r="J43" s="203">
        <v>0</v>
      </c>
      <c r="K43" s="200">
        <f t="shared" si="14"/>
        <v>490387.5</v>
      </c>
      <c r="L43" s="36">
        <f t="shared" si="15"/>
        <v>1.0116984402079723</v>
      </c>
      <c r="M43" s="20">
        <f t="shared" si="16"/>
        <v>35.002676659528909</v>
      </c>
      <c r="N43" s="37">
        <f t="shared" si="17"/>
        <v>0.27063618345200913</v>
      </c>
      <c r="O43" s="20">
        <v>2481.2307692307691</v>
      </c>
      <c r="P43" s="14">
        <f t="shared" si="18"/>
        <v>68.032366071428569</v>
      </c>
      <c r="Q43" s="15">
        <f t="shared" si="19"/>
        <v>18.337413724744948</v>
      </c>
      <c r="T43" s="16"/>
      <c r="U43" s="586"/>
      <c r="V43" s="586"/>
    </row>
    <row r="44" spans="2:22" ht="15.75" customHeight="1" x14ac:dyDescent="0.2">
      <c r="B44" s="208" t="s">
        <v>48</v>
      </c>
      <c r="C44" s="199">
        <v>10560</v>
      </c>
      <c r="D44" s="391">
        <v>190</v>
      </c>
      <c r="E44" s="200">
        <f t="shared" si="12"/>
        <v>10370</v>
      </c>
      <c r="F44" s="201">
        <v>8950</v>
      </c>
      <c r="G44" s="203">
        <v>0</v>
      </c>
      <c r="H44" s="202">
        <f t="shared" si="13"/>
        <v>8950</v>
      </c>
      <c r="I44" s="201">
        <v>316634.48</v>
      </c>
      <c r="J44" s="203">
        <v>0</v>
      </c>
      <c r="K44" s="200">
        <f t="shared" si="14"/>
        <v>316634.48</v>
      </c>
      <c r="L44" s="36">
        <f t="shared" si="15"/>
        <v>0.86306653809064604</v>
      </c>
      <c r="M44" s="20">
        <f t="shared" si="16"/>
        <v>35.378154189944134</v>
      </c>
      <c r="N44" s="37">
        <f t="shared" si="17"/>
        <v>0.27353932731132019</v>
      </c>
      <c r="O44" s="20">
        <v>1736.8615384615382</v>
      </c>
      <c r="P44" s="14">
        <f t="shared" si="18"/>
        <v>72.959183673469397</v>
      </c>
      <c r="Q44" s="15">
        <f t="shared" si="19"/>
        <v>16.914488059455838</v>
      </c>
      <c r="T44" s="16"/>
      <c r="U44" s="586"/>
      <c r="V44" s="586"/>
    </row>
    <row r="45" spans="2:22" ht="15.75" customHeight="1" x14ac:dyDescent="0.2">
      <c r="B45" s="208" t="s">
        <v>66</v>
      </c>
      <c r="C45" s="199">
        <v>13546</v>
      </c>
      <c r="D45" s="391">
        <v>98</v>
      </c>
      <c r="E45" s="200">
        <f t="shared" si="12"/>
        <v>13448</v>
      </c>
      <c r="F45" s="201">
        <v>13380</v>
      </c>
      <c r="G45" s="203">
        <v>0</v>
      </c>
      <c r="H45" s="202">
        <f t="shared" si="13"/>
        <v>13380</v>
      </c>
      <c r="I45" s="201">
        <v>444481.23</v>
      </c>
      <c r="J45" s="203">
        <v>0</v>
      </c>
      <c r="K45" s="200">
        <f t="shared" si="14"/>
        <v>444481.23</v>
      </c>
      <c r="L45" s="36">
        <f t="shared" si="15"/>
        <v>0.99494348602022609</v>
      </c>
      <c r="M45" s="20">
        <f t="shared" si="16"/>
        <v>33.219822869955152</v>
      </c>
      <c r="N45" s="37">
        <f t="shared" si="17"/>
        <v>0.25685138779319372</v>
      </c>
      <c r="O45" s="20">
        <v>2605.292307692308</v>
      </c>
      <c r="P45" s="14">
        <f t="shared" si="18"/>
        <v>62.392998866213148</v>
      </c>
      <c r="Q45" s="15">
        <f t="shared" si="19"/>
        <v>15.829340416931732</v>
      </c>
      <c r="T45" s="16"/>
      <c r="U45" s="586"/>
      <c r="V45" s="586"/>
    </row>
    <row r="46" spans="2:22" ht="15.75" customHeight="1" x14ac:dyDescent="0.2">
      <c r="B46" s="208" t="s">
        <v>38</v>
      </c>
      <c r="C46" s="199">
        <v>21185</v>
      </c>
      <c r="D46" s="391">
        <v>221</v>
      </c>
      <c r="E46" s="200">
        <f t="shared" si="12"/>
        <v>20964</v>
      </c>
      <c r="F46" s="197">
        <v>12330</v>
      </c>
      <c r="G46" s="201">
        <v>720</v>
      </c>
      <c r="H46" s="202">
        <f t="shared" si="13"/>
        <v>13050</v>
      </c>
      <c r="I46" s="201">
        <v>432569.59</v>
      </c>
      <c r="J46" s="201">
        <v>2482.7600000000002</v>
      </c>
      <c r="K46" s="200">
        <f t="shared" si="14"/>
        <v>435052.35000000003</v>
      </c>
      <c r="L46" s="36">
        <f t="shared" si="15"/>
        <v>0.58815111619919858</v>
      </c>
      <c r="M46" s="20">
        <f t="shared" si="16"/>
        <v>35.08269180859692</v>
      </c>
      <c r="N46" s="37">
        <f t="shared" si="17"/>
        <v>0.27125485026919993</v>
      </c>
      <c r="O46" s="20">
        <v>3039.5076923076917</v>
      </c>
      <c r="P46" s="14">
        <f t="shared" si="18"/>
        <v>83.638544703595741</v>
      </c>
      <c r="Q46" s="15">
        <f t="shared" si="19"/>
        <v>13.280184916443183</v>
      </c>
      <c r="T46" s="16"/>
      <c r="U46" s="586"/>
      <c r="V46" s="586"/>
    </row>
    <row r="47" spans="2:22" ht="15.75" customHeight="1" x14ac:dyDescent="0.2">
      <c r="B47" s="208" t="s">
        <v>54</v>
      </c>
      <c r="C47" s="199">
        <v>33272</v>
      </c>
      <c r="D47" s="391">
        <v>583</v>
      </c>
      <c r="E47" s="200">
        <f t="shared" si="12"/>
        <v>32689</v>
      </c>
      <c r="F47" s="201">
        <v>17850</v>
      </c>
      <c r="G47" s="201">
        <v>2020</v>
      </c>
      <c r="H47" s="202">
        <f t="shared" si="13"/>
        <v>19870</v>
      </c>
      <c r="I47" s="201">
        <v>632623.18999999994</v>
      </c>
      <c r="J47" s="201">
        <v>6965.52</v>
      </c>
      <c r="K47" s="200">
        <f t="shared" si="14"/>
        <v>639588.71</v>
      </c>
      <c r="L47" s="36">
        <f t="shared" si="15"/>
        <v>0.54605524794273308</v>
      </c>
      <c r="M47" s="20">
        <f t="shared" si="16"/>
        <v>35.441075070028006</v>
      </c>
      <c r="N47" s="37">
        <f t="shared" si="17"/>
        <v>0.27402582344448678</v>
      </c>
      <c r="O47" s="20">
        <v>4652.3076923076915</v>
      </c>
      <c r="P47" s="14">
        <f t="shared" si="18"/>
        <v>85.82063492063493</v>
      </c>
      <c r="Q47" s="15">
        <f t="shared" si="19"/>
        <v>12.755521203343251</v>
      </c>
      <c r="T47" s="16"/>
      <c r="U47" s="586"/>
      <c r="V47" s="586"/>
    </row>
    <row r="48" spans="2:22" ht="15.75" customHeight="1" x14ac:dyDescent="0.2">
      <c r="B48" s="208" t="s">
        <v>59</v>
      </c>
      <c r="C48" s="199">
        <v>18810</v>
      </c>
      <c r="D48" s="391">
        <v>88</v>
      </c>
      <c r="E48" s="200">
        <f t="shared" si="12"/>
        <v>18722</v>
      </c>
      <c r="F48" s="201">
        <v>7690</v>
      </c>
      <c r="G48" s="201">
        <v>2340</v>
      </c>
      <c r="H48" s="202">
        <f t="shared" si="13"/>
        <v>10030</v>
      </c>
      <c r="I48" s="201">
        <v>312608.16000000003</v>
      </c>
      <c r="J48" s="201">
        <v>8068.96</v>
      </c>
      <c r="K48" s="200">
        <f t="shared" si="14"/>
        <v>320677.12000000005</v>
      </c>
      <c r="L48" s="36">
        <f t="shared" si="15"/>
        <v>0.41074671509454119</v>
      </c>
      <c r="M48" s="20">
        <f t="shared" si="16"/>
        <v>40.65125617685306</v>
      </c>
      <c r="N48" s="37">
        <f t="shared" si="17"/>
        <v>0.31431027207567536</v>
      </c>
      <c r="O48" s="20">
        <v>2481.2307692307691</v>
      </c>
      <c r="P48" s="14">
        <f t="shared" si="18"/>
        <v>90.970982142857139</v>
      </c>
      <c r="Q48" s="15">
        <f t="shared" si="19"/>
        <v>11.991310996915059</v>
      </c>
      <c r="T48" s="16"/>
      <c r="U48" s="586"/>
      <c r="V48" s="586"/>
    </row>
    <row r="49" spans="1:22" ht="15.75" customHeight="1" x14ac:dyDescent="0.2">
      <c r="B49" s="208" t="s">
        <v>57</v>
      </c>
      <c r="C49" s="199">
        <v>16899</v>
      </c>
      <c r="D49" s="391">
        <v>381</v>
      </c>
      <c r="E49" s="200">
        <f t="shared" si="12"/>
        <v>16518</v>
      </c>
      <c r="F49" s="201">
        <v>8910</v>
      </c>
      <c r="G49" s="201">
        <v>2800</v>
      </c>
      <c r="H49" s="202">
        <f t="shared" si="13"/>
        <v>11710</v>
      </c>
      <c r="I49" s="201">
        <v>299106.77999999997</v>
      </c>
      <c r="J49" s="201">
        <v>9655.17</v>
      </c>
      <c r="K49" s="200">
        <f t="shared" si="14"/>
        <v>308761.94999999995</v>
      </c>
      <c r="L49" s="36">
        <f t="shared" si="15"/>
        <v>0.5394115510352343</v>
      </c>
      <c r="M49" s="20">
        <f t="shared" si="16"/>
        <v>33.569784511784505</v>
      </c>
      <c r="N49" s="37">
        <f t="shared" si="17"/>
        <v>0.25955724609141934</v>
      </c>
      <c r="O49" s="20">
        <v>2481.2307692307691</v>
      </c>
      <c r="P49" s="14">
        <f t="shared" si="18"/>
        <v>81.728794642857153</v>
      </c>
      <c r="Q49" s="15">
        <f t="shared" si="19"/>
        <v>11.545758445329485</v>
      </c>
      <c r="T49" s="16"/>
      <c r="U49" s="586"/>
      <c r="V49" s="586"/>
    </row>
    <row r="50" spans="1:22" ht="15.75" customHeight="1" x14ac:dyDescent="0.2">
      <c r="B50" s="208" t="s">
        <v>64</v>
      </c>
      <c r="C50" s="199">
        <v>23743</v>
      </c>
      <c r="D50" s="391">
        <v>425</v>
      </c>
      <c r="E50" s="200">
        <f t="shared" si="12"/>
        <v>23318</v>
      </c>
      <c r="F50" s="201">
        <v>13990</v>
      </c>
      <c r="G50" s="201">
        <v>2640</v>
      </c>
      <c r="H50" s="202">
        <f t="shared" si="13"/>
        <v>16630</v>
      </c>
      <c r="I50" s="201">
        <v>471616.91000000003</v>
      </c>
      <c r="J50" s="201">
        <v>9103.44</v>
      </c>
      <c r="K50" s="200">
        <f t="shared" si="14"/>
        <v>480720.35000000003</v>
      </c>
      <c r="L50" s="36">
        <f t="shared" si="15"/>
        <v>0.59996569174028647</v>
      </c>
      <c r="M50" s="20">
        <f t="shared" si="16"/>
        <v>33.711001429592571</v>
      </c>
      <c r="N50" s="37">
        <f t="shared" si="17"/>
        <v>0.26064911709449096</v>
      </c>
      <c r="O50" s="20">
        <v>5009.7230769230764</v>
      </c>
      <c r="P50" s="14">
        <f t="shared" si="18"/>
        <v>56.872604658018872</v>
      </c>
      <c r="Q50" s="15">
        <f t="shared" si="19"/>
        <v>8.9031694141059088</v>
      </c>
      <c r="R50" s="16" t="s">
        <v>118</v>
      </c>
      <c r="T50" s="16"/>
      <c r="U50" s="586"/>
      <c r="V50" s="586"/>
    </row>
    <row r="51" spans="1:22" ht="15.75" customHeight="1" x14ac:dyDescent="0.2">
      <c r="B51" s="208" t="s">
        <v>61</v>
      </c>
      <c r="C51" s="199">
        <v>19439</v>
      </c>
      <c r="D51" s="391">
        <v>255</v>
      </c>
      <c r="E51" s="200">
        <f t="shared" si="12"/>
        <v>19184</v>
      </c>
      <c r="F51" s="201">
        <v>7000</v>
      </c>
      <c r="G51" s="201">
        <v>120</v>
      </c>
      <c r="H51" s="202">
        <f t="shared" si="13"/>
        <v>7120</v>
      </c>
      <c r="I51" s="201">
        <v>233412.63999999998</v>
      </c>
      <c r="J51" s="201">
        <v>413.79</v>
      </c>
      <c r="K51" s="200">
        <f t="shared" si="14"/>
        <v>233826.43</v>
      </c>
      <c r="L51" s="36">
        <f t="shared" si="15"/>
        <v>0.36488740617180981</v>
      </c>
      <c r="M51" s="20">
        <f t="shared" si="16"/>
        <v>33.344662857142858</v>
      </c>
      <c r="N51" s="37">
        <f t="shared" si="17"/>
        <v>0.25781663447999192</v>
      </c>
      <c r="O51" s="20">
        <v>2481.2307692307695</v>
      </c>
      <c r="P51" s="14">
        <f t="shared" si="18"/>
        <v>94.013020833333314</v>
      </c>
      <c r="Q51" s="15">
        <f t="shared" si="19"/>
        <v>8.743640461247713</v>
      </c>
      <c r="T51" s="16"/>
      <c r="U51" s="586"/>
      <c r="V51" s="586"/>
    </row>
    <row r="52" spans="1:22" ht="15.75" customHeight="1" x14ac:dyDescent="0.2">
      <c r="B52" s="208" t="s">
        <v>63</v>
      </c>
      <c r="C52" s="199">
        <v>18694</v>
      </c>
      <c r="D52" s="391">
        <v>128</v>
      </c>
      <c r="E52" s="200">
        <f t="shared" si="12"/>
        <v>18566</v>
      </c>
      <c r="F52" s="201">
        <v>4750</v>
      </c>
      <c r="G52" s="201">
        <v>4360</v>
      </c>
      <c r="H52" s="202">
        <f t="shared" si="13"/>
        <v>9110</v>
      </c>
      <c r="I52" s="201">
        <v>214197.98</v>
      </c>
      <c r="J52" s="201">
        <v>15034.49</v>
      </c>
      <c r="K52" s="200">
        <f t="shared" si="14"/>
        <v>229232.47</v>
      </c>
      <c r="L52" s="36">
        <f t="shared" si="15"/>
        <v>0.25584401594312184</v>
      </c>
      <c r="M52" s="20">
        <f t="shared" si="16"/>
        <v>45.094311578947369</v>
      </c>
      <c r="N52" s="37">
        <f t="shared" si="17"/>
        <v>0.34866340365429388</v>
      </c>
      <c r="O52" s="20">
        <v>2481.2307692307691</v>
      </c>
      <c r="P52" s="14">
        <f t="shared" si="18"/>
        <v>90.409970238095241</v>
      </c>
      <c r="Q52" s="15">
        <f t="shared" si="19"/>
        <v>8.5718551992764596</v>
      </c>
      <c r="T52" s="16"/>
      <c r="U52" s="586"/>
      <c r="V52" s="586"/>
    </row>
    <row r="53" spans="1:22" ht="15.75" customHeight="1" x14ac:dyDescent="0.2">
      <c r="B53" s="387" t="s">
        <v>47</v>
      </c>
      <c r="C53" s="392">
        <v>33436</v>
      </c>
      <c r="D53" s="393">
        <v>331</v>
      </c>
      <c r="E53" s="359">
        <f t="shared" si="12"/>
        <v>33105</v>
      </c>
      <c r="F53" s="394">
        <v>8340</v>
      </c>
      <c r="G53" s="394">
        <v>5380</v>
      </c>
      <c r="H53" s="357">
        <f t="shared" si="13"/>
        <v>13720</v>
      </c>
      <c r="I53" s="394">
        <v>263266.97000000003</v>
      </c>
      <c r="J53" s="394">
        <v>18551.75</v>
      </c>
      <c r="K53" s="359">
        <f t="shared" si="14"/>
        <v>281818.72000000003</v>
      </c>
      <c r="L53" s="360">
        <f t="shared" si="15"/>
        <v>0.25192569098323514</v>
      </c>
      <c r="M53" s="244">
        <f t="shared" si="16"/>
        <v>31.566782973621105</v>
      </c>
      <c r="N53" s="37">
        <f t="shared" si="17"/>
        <v>0.24407029642154396</v>
      </c>
      <c r="O53" s="244">
        <v>4993.4769230769225</v>
      </c>
      <c r="P53" s="14">
        <f t="shared" si="18"/>
        <v>80.351227447500747</v>
      </c>
      <c r="Q53" s="15">
        <f t="shared" si="19"/>
        <v>5.2363979128743185</v>
      </c>
      <c r="T53" s="16"/>
      <c r="U53" s="586"/>
      <c r="V53" s="586"/>
    </row>
    <row r="54" spans="1:22" ht="15.75" customHeight="1" thickBot="1" x14ac:dyDescent="0.25">
      <c r="B54" s="270" t="s">
        <v>35</v>
      </c>
      <c r="C54" s="389">
        <f>SUM(C25:C53)</f>
        <v>857663</v>
      </c>
      <c r="D54" s="389">
        <f t="shared" ref="D54:K54" si="20">SUM(D25:D53)</f>
        <v>8409</v>
      </c>
      <c r="E54" s="389">
        <f t="shared" si="20"/>
        <v>849254</v>
      </c>
      <c r="F54" s="389">
        <f t="shared" si="20"/>
        <v>705200</v>
      </c>
      <c r="G54" s="389">
        <f t="shared" si="20"/>
        <v>34760</v>
      </c>
      <c r="H54" s="389">
        <f t="shared" si="20"/>
        <v>739960</v>
      </c>
      <c r="I54" s="389">
        <f t="shared" si="20"/>
        <v>25935459.160000008</v>
      </c>
      <c r="J54" s="389">
        <f t="shared" si="20"/>
        <v>119862.05</v>
      </c>
      <c r="K54" s="389">
        <f t="shared" si="20"/>
        <v>26055321.210000005</v>
      </c>
      <c r="L54" s="22">
        <f t="shared" ref="L54" si="21">F54/E54</f>
        <v>0.83037583573347906</v>
      </c>
      <c r="M54" s="39">
        <f t="shared" ref="M54" si="22">I54/F54</f>
        <v>36.777452013613171</v>
      </c>
      <c r="N54" s="212">
        <f t="shared" si="17"/>
        <v>0.2843585176890765</v>
      </c>
      <c r="O54" s="39">
        <f>SUM(O25:O53)</f>
        <v>106988.30769230766</v>
      </c>
      <c r="P54" s="40">
        <f>(C54/O54)*12</f>
        <v>96.197016496410839</v>
      </c>
      <c r="Q54" s="41">
        <f t="shared" si="19"/>
        <v>22.595708514832079</v>
      </c>
      <c r="T54" s="16"/>
      <c r="U54" s="586"/>
      <c r="V54" s="586"/>
    </row>
    <row r="55" spans="1:22" ht="17.25" customHeight="1" thickTop="1" thickBot="1" x14ac:dyDescent="0.25">
      <c r="B55" s="26" t="s">
        <v>36</v>
      </c>
      <c r="C55" s="42"/>
      <c r="D55" s="28">
        <f>D54/C54</f>
        <v>9.8045502720765614E-3</v>
      </c>
      <c r="E55" s="28">
        <f>E54/C54</f>
        <v>0.99019544972792339</v>
      </c>
      <c r="F55" s="30"/>
      <c r="G55" s="30"/>
      <c r="H55" s="30"/>
      <c r="I55" s="30"/>
      <c r="J55" s="30"/>
      <c r="K55" s="30"/>
      <c r="L55" s="32"/>
      <c r="M55" s="30"/>
      <c r="N55" s="43"/>
      <c r="O55" s="34"/>
      <c r="P55" s="34"/>
      <c r="Q55" s="34"/>
    </row>
    <row r="56" spans="1:22" ht="18.75" customHeight="1" thickTop="1" x14ac:dyDescent="0.2">
      <c r="M56" s="45"/>
      <c r="N56" s="46"/>
      <c r="O56" s="47"/>
    </row>
    <row r="57" spans="1:22" s="48" customFormat="1" ht="15" customHeight="1" thickBot="1" x14ac:dyDescent="0.25">
      <c r="B57" s="49" t="s">
        <v>68</v>
      </c>
      <c r="C57" s="50">
        <f t="shared" ref="C57:K57" si="23">C22+C54</f>
        <v>2398882</v>
      </c>
      <c r="D57" s="51">
        <f t="shared" si="23"/>
        <v>17421</v>
      </c>
      <c r="E57" s="51">
        <f t="shared" si="23"/>
        <v>2381461</v>
      </c>
      <c r="F57" s="52">
        <f t="shared" si="23"/>
        <v>1818470</v>
      </c>
      <c r="G57" s="52">
        <f t="shared" si="23"/>
        <v>108900</v>
      </c>
      <c r="H57" s="52">
        <f t="shared" si="23"/>
        <v>1927370</v>
      </c>
      <c r="I57" s="52">
        <f t="shared" si="23"/>
        <v>45677468.220000006</v>
      </c>
      <c r="J57" s="52">
        <f t="shared" si="23"/>
        <v>342431.04000000004</v>
      </c>
      <c r="K57" s="52">
        <f t="shared" si="23"/>
        <v>46019899.260000005</v>
      </c>
      <c r="L57" s="22">
        <f>F57/(E57)</f>
        <v>0.76359428098969495</v>
      </c>
      <c r="M57" s="53">
        <f>I57/F57</f>
        <v>25.118626218744332</v>
      </c>
      <c r="N57" s="212">
        <f>M57/129.3348</f>
        <v>0.19421397967711962</v>
      </c>
      <c r="O57" s="52">
        <f>O54+O22</f>
        <v>193940.67692307688</v>
      </c>
      <c r="P57" s="25">
        <f>(C57/O57)*12</f>
        <v>148.42984182950795</v>
      </c>
      <c r="Q57" s="41">
        <f>(K57*12/O57)/129.3348</f>
        <v>22.016212416560361</v>
      </c>
    </row>
    <row r="58" spans="1:22" ht="16.5" customHeight="1" thickTop="1" thickBot="1" x14ac:dyDescent="0.25">
      <c r="B58" s="26" t="s">
        <v>36</v>
      </c>
      <c r="C58" s="54"/>
      <c r="D58" s="55">
        <f>D57/C57</f>
        <v>7.2621329435962256E-3</v>
      </c>
      <c r="E58" s="55">
        <f>E57/C57</f>
        <v>0.99273786705640377</v>
      </c>
      <c r="G58" s="56"/>
      <c r="N58" s="46"/>
    </row>
    <row r="59" spans="1:22" ht="16.5" customHeight="1" thickTop="1" x14ac:dyDescent="0.2">
      <c r="G59" s="57"/>
      <c r="H59" s="45"/>
      <c r="O59" s="211"/>
    </row>
    <row r="60" spans="1:22" s="16" customFormat="1" ht="15" customHeight="1" x14ac:dyDescent="0.25">
      <c r="B60" s="48" t="s">
        <v>69</v>
      </c>
      <c r="C60" s="47"/>
      <c r="F60" s="47"/>
      <c r="G60" s="58"/>
      <c r="I60" s="59"/>
      <c r="J60" s="59"/>
      <c r="K60" s="59"/>
      <c r="L60" s="38"/>
      <c r="M60" s="60"/>
      <c r="N60"/>
      <c r="O60" s="129"/>
      <c r="P60"/>
      <c r="Q60" s="61"/>
    </row>
    <row r="61" spans="1:22" ht="16.5" customHeight="1" x14ac:dyDescent="0.25">
      <c r="A61" s="16">
        <v>1</v>
      </c>
      <c r="B61" s="16" t="s">
        <v>70</v>
      </c>
      <c r="E61" s="16"/>
      <c r="N61"/>
      <c r="O61"/>
      <c r="P61"/>
      <c r="Q61" s="62"/>
    </row>
    <row r="62" spans="1:22" ht="16.5" customHeight="1" x14ac:dyDescent="0.25">
      <c r="A62" s="16">
        <v>2</v>
      </c>
      <c r="B62" s="16" t="s">
        <v>119</v>
      </c>
      <c r="C62" s="47"/>
      <c r="E62" s="16"/>
      <c r="N62"/>
      <c r="O62"/>
      <c r="P62"/>
    </row>
    <row r="63" spans="1:22" ht="16.5" customHeight="1" x14ac:dyDescent="0.2">
      <c r="A63" s="16">
        <v>3</v>
      </c>
      <c r="B63" s="16" t="s">
        <v>120</v>
      </c>
      <c r="C63" s="47"/>
      <c r="E63" s="16"/>
    </row>
    <row r="64" spans="1:22" ht="16.5" customHeight="1" x14ac:dyDescent="0.2">
      <c r="A64" s="16">
        <v>4</v>
      </c>
      <c r="B64" s="16" t="s">
        <v>121</v>
      </c>
      <c r="C64" s="47"/>
      <c r="E64" s="16"/>
    </row>
    <row r="65" spans="1:5" ht="16.5" customHeight="1" x14ac:dyDescent="0.2">
      <c r="A65" s="16">
        <v>5</v>
      </c>
      <c r="B65" s="16" t="s">
        <v>122</v>
      </c>
      <c r="C65" s="47"/>
      <c r="E65" s="16"/>
    </row>
    <row r="66" spans="1:5" ht="16.5" customHeight="1" x14ac:dyDescent="0.2">
      <c r="A66" s="16">
        <v>6</v>
      </c>
      <c r="B66" s="16" t="s">
        <v>123</v>
      </c>
      <c r="C66" s="47"/>
      <c r="E66" s="16"/>
    </row>
    <row r="67" spans="1:5" ht="16.5" customHeight="1" x14ac:dyDescent="0.2">
      <c r="A67" s="1">
        <v>7</v>
      </c>
      <c r="B67" s="16" t="s">
        <v>124</v>
      </c>
    </row>
    <row r="68" spans="1:5" ht="16.5" customHeight="1" x14ac:dyDescent="0.2"/>
    <row r="69" spans="1:5" ht="16.5" customHeight="1" x14ac:dyDescent="0.2">
      <c r="B69" s="216" t="s">
        <v>108</v>
      </c>
      <c r="C69" s="217" t="s">
        <v>93</v>
      </c>
    </row>
    <row r="70" spans="1:5" ht="16.5" customHeight="1" x14ac:dyDescent="0.2">
      <c r="B70" s="10" t="s">
        <v>103</v>
      </c>
      <c r="C70" s="14">
        <f>O22</f>
        <v>86952.369230769225</v>
      </c>
    </row>
    <row r="71" spans="1:5" ht="16.5" customHeight="1" x14ac:dyDescent="0.2">
      <c r="B71" s="10" t="s">
        <v>106</v>
      </c>
      <c r="C71" s="14">
        <f>O54</f>
        <v>106988.30769230766</v>
      </c>
    </row>
    <row r="72" spans="1:5" ht="16.5" customHeight="1" x14ac:dyDescent="0.2">
      <c r="B72" s="188" t="s">
        <v>67</v>
      </c>
      <c r="C72" s="213">
        <v>1612.8</v>
      </c>
    </row>
    <row r="73" spans="1:5" ht="16.5" customHeight="1" x14ac:dyDescent="0.2">
      <c r="B73" s="188" t="s">
        <v>107</v>
      </c>
      <c r="C73" s="214">
        <v>2171.0769230769229</v>
      </c>
    </row>
    <row r="74" spans="1:5" ht="16.5" customHeight="1" thickBot="1" x14ac:dyDescent="0.25">
      <c r="B74" s="189" t="s">
        <v>101</v>
      </c>
      <c r="C74" s="215">
        <f>SUM(C70:C73)</f>
        <v>197724.55384615381</v>
      </c>
    </row>
    <row r="75" spans="1:5" ht="16.5" customHeight="1" thickTop="1" x14ac:dyDescent="0.2"/>
    <row r="76" spans="1:5" ht="16.5" customHeight="1" x14ac:dyDescent="0.2"/>
    <row r="77" spans="1:5" ht="16.5" customHeight="1" x14ac:dyDescent="0.2"/>
    <row r="78" spans="1:5" ht="16.5" customHeight="1" x14ac:dyDescent="0.2"/>
    <row r="79" spans="1:5" ht="16.5" customHeight="1" x14ac:dyDescent="0.2"/>
    <row r="80" spans="1:5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</sheetData>
  <mergeCells count="5">
    <mergeCell ref="B1:Q1"/>
    <mergeCell ref="B2:Q2"/>
    <mergeCell ref="B3:Q3"/>
    <mergeCell ref="B5:Q5"/>
    <mergeCell ref="B24:Q24"/>
  </mergeCells>
  <conditionalFormatting sqref="P6:P21">
    <cfRule type="cellIs" dxfId="53" priority="4" operator="between">
      <formula>0</formula>
      <formula>140</formula>
    </cfRule>
  </conditionalFormatting>
  <conditionalFormatting sqref="P25:P53">
    <cfRule type="cellIs" dxfId="52" priority="1" operator="between">
      <formula>0</formula>
      <formula>79</formula>
    </cfRule>
  </conditionalFormatting>
  <conditionalFormatting sqref="P54">
    <cfRule type="cellIs" dxfId="51" priority="11" operator="between">
      <formula>0</formula>
      <formula>79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R118"/>
  <sheetViews>
    <sheetView workbookViewId="0">
      <pane ySplit="4" topLeftCell="A5" activePane="bottomLeft" state="frozen"/>
      <selection pane="bottomLeft" activeCell="B16" sqref="B16:F16"/>
    </sheetView>
  </sheetViews>
  <sheetFormatPr defaultColWidth="9.140625" defaultRowHeight="12" x14ac:dyDescent="0.2"/>
  <cols>
    <col min="1" max="1" width="2" style="1" customWidth="1"/>
    <col min="2" max="2" width="30.28515625" style="1" customWidth="1"/>
    <col min="3" max="3" width="10.5703125" style="44" customWidth="1"/>
    <col min="4" max="4" width="8.28515625" style="1" customWidth="1"/>
    <col min="5" max="5" width="10.7109375" style="1" customWidth="1"/>
    <col min="6" max="6" width="9.7109375" style="44" customWidth="1"/>
    <col min="7" max="7" width="9" style="1" customWidth="1"/>
    <col min="8" max="8" width="10.140625" style="1" customWidth="1"/>
    <col min="9" max="9" width="11.28515625" style="45" customWidth="1"/>
    <col min="10" max="10" width="10.5703125" style="45" customWidth="1"/>
    <col min="11" max="11" width="10.7109375" style="45" customWidth="1"/>
    <col min="12" max="12" width="8.7109375" style="1" customWidth="1"/>
    <col min="13" max="14" width="10.42578125" style="1" customWidth="1"/>
    <col min="15" max="15" width="9.140625" style="1" customWidth="1"/>
    <col min="16" max="16" width="9.85546875" style="47" customWidth="1"/>
    <col min="17" max="17" width="8.5703125" style="16" customWidth="1"/>
    <col min="18" max="18" width="10.5703125" style="1" customWidth="1"/>
    <col min="19" max="16384" width="9.140625" style="1"/>
  </cols>
  <sheetData>
    <row r="1" spans="2:17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7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7" ht="15" x14ac:dyDescent="0.25">
      <c r="B3" s="622">
        <v>45777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7" ht="34.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454" t="s">
        <v>15</v>
      </c>
      <c r="P4" s="455" t="s">
        <v>16</v>
      </c>
      <c r="Q4" s="456" t="s">
        <v>17</v>
      </c>
    </row>
    <row r="5" spans="2:17" ht="16.5" customHeight="1" x14ac:dyDescent="0.25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7" s="16" customFormat="1" ht="15.75" customHeight="1" x14ac:dyDescent="0.2">
      <c r="B6" s="10" t="s">
        <v>29</v>
      </c>
      <c r="C6" s="352">
        <v>34870</v>
      </c>
      <c r="D6" s="388">
        <v>285</v>
      </c>
      <c r="E6" s="190">
        <f t="shared" ref="E6:E21" si="0">C6-D6</f>
        <v>34585</v>
      </c>
      <c r="F6" s="192">
        <v>37510</v>
      </c>
      <c r="G6" s="353">
        <v>600</v>
      </c>
      <c r="H6" s="190">
        <f t="shared" ref="H6:H21" si="1">F6+G6</f>
        <v>38110</v>
      </c>
      <c r="I6" s="353">
        <v>544906.37</v>
      </c>
      <c r="J6" s="353">
        <v>1810.35</v>
      </c>
      <c r="K6" s="198">
        <f t="shared" ref="K6:K21" si="2">I6+J6</f>
        <v>546716.72</v>
      </c>
      <c r="L6" s="11">
        <f t="shared" ref="L6:L21" si="3">F6/E6</f>
        <v>1.08457423738615</v>
      </c>
      <c r="M6" s="12">
        <f t="shared" ref="M6:M21" si="4">I6/F6</f>
        <v>14.526962676619569</v>
      </c>
      <c r="N6" s="13">
        <f t="shared" ref="N6:N22" si="5">M6/129.3434</f>
        <v>0.11231313446700464</v>
      </c>
      <c r="O6" s="14">
        <v>2109.0461538461541</v>
      </c>
      <c r="P6" s="14">
        <f t="shared" ref="P6:P21" si="6">C6/O6*12</f>
        <v>198.40248599439775</v>
      </c>
      <c r="Q6" s="15">
        <f t="shared" ref="Q6:Q22" si="7">(K6*12/O6)/129.3434</f>
        <v>24.049898357777042</v>
      </c>
    </row>
    <row r="7" spans="2:17" s="16" customFormat="1" ht="15.75" customHeight="1" x14ac:dyDescent="0.2">
      <c r="B7" s="10" t="s">
        <v>27</v>
      </c>
      <c r="C7" s="352">
        <v>152570</v>
      </c>
      <c r="D7" s="388">
        <v>492</v>
      </c>
      <c r="E7" s="190">
        <f t="shared" si="0"/>
        <v>152078</v>
      </c>
      <c r="F7" s="192">
        <v>119779</v>
      </c>
      <c r="G7" s="353">
        <v>14460</v>
      </c>
      <c r="H7" s="190">
        <f t="shared" si="1"/>
        <v>134239</v>
      </c>
      <c r="I7" s="353">
        <v>1972178.7400000002</v>
      </c>
      <c r="J7" s="353">
        <v>44586.25</v>
      </c>
      <c r="K7" s="198">
        <f t="shared" si="2"/>
        <v>2016764.9900000002</v>
      </c>
      <c r="L7" s="11">
        <f t="shared" si="3"/>
        <v>0.78761556569655045</v>
      </c>
      <c r="M7" s="12">
        <f t="shared" si="4"/>
        <v>16.465146144148811</v>
      </c>
      <c r="N7" s="13">
        <f t="shared" si="5"/>
        <v>0.12729792277107924</v>
      </c>
      <c r="O7" s="14">
        <v>8684.3076923076933</v>
      </c>
      <c r="P7" s="14">
        <f t="shared" si="6"/>
        <v>210.82164115646253</v>
      </c>
      <c r="Q7" s="15">
        <f t="shared" si="7"/>
        <v>21.545524170370431</v>
      </c>
    </row>
    <row r="8" spans="2:17" s="16" customFormat="1" ht="15.75" customHeight="1" x14ac:dyDescent="0.2">
      <c r="B8" s="10" t="s">
        <v>34</v>
      </c>
      <c r="C8" s="352">
        <v>97656</v>
      </c>
      <c r="D8" s="388">
        <v>300</v>
      </c>
      <c r="E8" s="190">
        <f t="shared" si="0"/>
        <v>97356</v>
      </c>
      <c r="F8" s="461">
        <v>81793</v>
      </c>
      <c r="G8" s="353">
        <v>10060</v>
      </c>
      <c r="H8" s="190">
        <f t="shared" si="1"/>
        <v>91853</v>
      </c>
      <c r="I8" s="353">
        <v>1169408.49</v>
      </c>
      <c r="J8" s="353">
        <v>30534.51</v>
      </c>
      <c r="K8" s="198">
        <f t="shared" si="2"/>
        <v>1199943</v>
      </c>
      <c r="L8" s="11">
        <f t="shared" si="3"/>
        <v>0.84014339126504789</v>
      </c>
      <c r="M8" s="12">
        <f t="shared" si="4"/>
        <v>14.297170784785983</v>
      </c>
      <c r="N8" s="13">
        <f t="shared" si="5"/>
        <v>0.1105365313172994</v>
      </c>
      <c r="O8" s="14">
        <v>5334.6461538461526</v>
      </c>
      <c r="P8" s="14">
        <f t="shared" si="6"/>
        <v>219.67192691029908</v>
      </c>
      <c r="Q8" s="15">
        <f t="shared" si="7"/>
        <v>20.868535462452819</v>
      </c>
    </row>
    <row r="9" spans="2:17" s="16" customFormat="1" ht="15.75" customHeight="1" x14ac:dyDescent="0.2">
      <c r="B9" s="10" t="s">
        <v>19</v>
      </c>
      <c r="C9" s="352">
        <v>58102</v>
      </c>
      <c r="D9" s="388">
        <v>298</v>
      </c>
      <c r="E9" s="190">
        <f t="shared" si="0"/>
        <v>57804</v>
      </c>
      <c r="F9" s="194">
        <v>47092</v>
      </c>
      <c r="G9" s="353">
        <v>7960</v>
      </c>
      <c r="H9" s="190">
        <f t="shared" si="1"/>
        <v>55052</v>
      </c>
      <c r="I9" s="353">
        <v>725559.16999999993</v>
      </c>
      <c r="J9" s="353">
        <v>24017.24</v>
      </c>
      <c r="K9" s="198">
        <f t="shared" si="2"/>
        <v>749576.40999999992</v>
      </c>
      <c r="L9" s="11">
        <f t="shared" si="3"/>
        <v>0.81468410490623488</v>
      </c>
      <c r="M9" s="12">
        <f t="shared" si="4"/>
        <v>15.407270236982926</v>
      </c>
      <c r="N9" s="13">
        <f t="shared" si="5"/>
        <v>0.11911910647920904</v>
      </c>
      <c r="O9" s="14">
        <v>3349.6615384615388</v>
      </c>
      <c r="P9" s="14">
        <f t="shared" si="6"/>
        <v>208.14759700176364</v>
      </c>
      <c r="Q9" s="15">
        <f t="shared" si="7"/>
        <v>20.761176323709691</v>
      </c>
    </row>
    <row r="10" spans="2:17" s="16" customFormat="1" ht="15.75" customHeight="1" x14ac:dyDescent="0.2">
      <c r="B10" s="10" t="s">
        <v>21</v>
      </c>
      <c r="C10" s="352">
        <v>61653</v>
      </c>
      <c r="D10" s="388">
        <v>369</v>
      </c>
      <c r="E10" s="190">
        <f t="shared" si="0"/>
        <v>61284</v>
      </c>
      <c r="F10" s="194">
        <v>56695</v>
      </c>
      <c r="G10" s="353">
        <v>3100</v>
      </c>
      <c r="H10" s="190">
        <f t="shared" si="1"/>
        <v>59795</v>
      </c>
      <c r="I10" s="353">
        <v>1120135.31</v>
      </c>
      <c r="J10" s="353">
        <v>9508.6299999999992</v>
      </c>
      <c r="K10" s="198">
        <f t="shared" si="2"/>
        <v>1129643.94</v>
      </c>
      <c r="L10" s="11">
        <f t="shared" si="3"/>
        <v>0.92511911755107368</v>
      </c>
      <c r="M10" s="12">
        <f t="shared" si="4"/>
        <v>19.757215098333187</v>
      </c>
      <c r="N10" s="13">
        <f t="shared" si="5"/>
        <v>0.15275008309920093</v>
      </c>
      <c r="O10" s="14">
        <v>5371.8646153846139</v>
      </c>
      <c r="P10" s="14">
        <f t="shared" si="6"/>
        <v>137.72424529858137</v>
      </c>
      <c r="Q10" s="15">
        <f t="shared" si="7"/>
        <v>19.50983027234405</v>
      </c>
    </row>
    <row r="11" spans="2:17" s="16" customFormat="1" ht="15.75" customHeight="1" x14ac:dyDescent="0.2">
      <c r="B11" s="10" t="s">
        <v>25</v>
      </c>
      <c r="C11" s="352">
        <v>74492</v>
      </c>
      <c r="D11" s="388">
        <v>339</v>
      </c>
      <c r="E11" s="190">
        <f t="shared" si="0"/>
        <v>74153</v>
      </c>
      <c r="F11" s="192">
        <v>60432</v>
      </c>
      <c r="G11" s="353">
        <v>10360</v>
      </c>
      <c r="H11" s="190">
        <f t="shared" si="1"/>
        <v>70792</v>
      </c>
      <c r="I11" s="353">
        <v>969807.19</v>
      </c>
      <c r="J11" s="353">
        <v>31672.44</v>
      </c>
      <c r="K11" s="198">
        <f t="shared" si="2"/>
        <v>1001479.6299999999</v>
      </c>
      <c r="L11" s="11">
        <f t="shared" si="3"/>
        <v>0.81496365622429301</v>
      </c>
      <c r="M11" s="12">
        <f t="shared" si="4"/>
        <v>16.047908227429176</v>
      </c>
      <c r="N11" s="13">
        <f t="shared" si="5"/>
        <v>0.12407210748618928</v>
      </c>
      <c r="O11" s="14">
        <v>4794.0923076923082</v>
      </c>
      <c r="P11" s="14">
        <f t="shared" si="6"/>
        <v>186.45948860135547</v>
      </c>
      <c r="Q11" s="15">
        <f t="shared" si="7"/>
        <v>19.380844697477762</v>
      </c>
    </row>
    <row r="12" spans="2:17" s="16" customFormat="1" ht="15.75" customHeight="1" x14ac:dyDescent="0.2">
      <c r="B12" s="10" t="s">
        <v>32</v>
      </c>
      <c r="C12" s="352">
        <v>54150</v>
      </c>
      <c r="D12" s="388">
        <v>717</v>
      </c>
      <c r="E12" s="190">
        <f t="shared" si="0"/>
        <v>53433</v>
      </c>
      <c r="F12" s="461">
        <v>44591</v>
      </c>
      <c r="G12" s="353">
        <v>5080</v>
      </c>
      <c r="H12" s="190">
        <f t="shared" si="1"/>
        <v>49671</v>
      </c>
      <c r="I12" s="353">
        <v>1012765.98</v>
      </c>
      <c r="J12" s="353">
        <v>15327.6</v>
      </c>
      <c r="K12" s="198">
        <f t="shared" si="2"/>
        <v>1028093.58</v>
      </c>
      <c r="L12" s="11">
        <f t="shared" si="3"/>
        <v>0.83452173750304115</v>
      </c>
      <c r="M12" s="12">
        <f t="shared" si="4"/>
        <v>22.712340606848915</v>
      </c>
      <c r="N12" s="13">
        <f t="shared" si="5"/>
        <v>0.17559721336263709</v>
      </c>
      <c r="O12" s="14">
        <v>4962.4615384615381</v>
      </c>
      <c r="P12" s="14">
        <f t="shared" si="6"/>
        <v>130.94308035714286</v>
      </c>
      <c r="Q12" s="15">
        <f t="shared" si="7"/>
        <v>19.220844559217664</v>
      </c>
    </row>
    <row r="13" spans="2:17" s="16" customFormat="1" ht="15.75" customHeight="1" x14ac:dyDescent="0.2">
      <c r="B13" s="10" t="s">
        <v>20</v>
      </c>
      <c r="C13" s="352">
        <v>140800</v>
      </c>
      <c r="D13" s="388">
        <v>561</v>
      </c>
      <c r="E13" s="190">
        <f t="shared" si="0"/>
        <v>140239</v>
      </c>
      <c r="F13" s="194">
        <v>98347</v>
      </c>
      <c r="G13" s="353">
        <v>64060</v>
      </c>
      <c r="H13" s="190">
        <f t="shared" si="1"/>
        <v>162407</v>
      </c>
      <c r="I13" s="353">
        <v>1347862.5</v>
      </c>
      <c r="J13" s="353">
        <v>191836.23</v>
      </c>
      <c r="K13" s="198">
        <f t="shared" si="2"/>
        <v>1539698.73</v>
      </c>
      <c r="L13" s="11">
        <f t="shared" si="3"/>
        <v>0.70128138392315975</v>
      </c>
      <c r="M13" s="12">
        <f t="shared" si="4"/>
        <v>13.705171484641118</v>
      </c>
      <c r="N13" s="13">
        <f t="shared" si="5"/>
        <v>0.10595957338867788</v>
      </c>
      <c r="O13" s="14">
        <v>10545.230769230768</v>
      </c>
      <c r="P13" s="14">
        <f t="shared" si="6"/>
        <v>160.22408963585437</v>
      </c>
      <c r="Q13" s="15">
        <f t="shared" si="7"/>
        <v>13.546173586239837</v>
      </c>
    </row>
    <row r="14" spans="2:17" s="16" customFormat="1" ht="15.75" customHeight="1" x14ac:dyDescent="0.2">
      <c r="B14" s="10" t="s">
        <v>30</v>
      </c>
      <c r="C14" s="352">
        <v>77150</v>
      </c>
      <c r="D14" s="388">
        <v>379</v>
      </c>
      <c r="E14" s="190">
        <f t="shared" si="0"/>
        <v>76771</v>
      </c>
      <c r="F14" s="194">
        <v>74115</v>
      </c>
      <c r="G14" s="353">
        <v>39980</v>
      </c>
      <c r="H14" s="190">
        <f t="shared" si="1"/>
        <v>114095</v>
      </c>
      <c r="I14" s="353">
        <v>1083087.6800000002</v>
      </c>
      <c r="J14" s="353">
        <v>116077.61</v>
      </c>
      <c r="K14" s="198">
        <f t="shared" si="2"/>
        <v>1199165.2900000003</v>
      </c>
      <c r="L14" s="11">
        <f t="shared" si="3"/>
        <v>0.96540360292297878</v>
      </c>
      <c r="M14" s="12">
        <f t="shared" si="4"/>
        <v>14.613609660662487</v>
      </c>
      <c r="N14" s="13">
        <f t="shared" si="5"/>
        <v>0.112983033232948</v>
      </c>
      <c r="O14" s="20">
        <v>8374.1538461538439</v>
      </c>
      <c r="P14" s="14">
        <f t="shared" si="6"/>
        <v>110.55445326278664</v>
      </c>
      <c r="Q14" s="15">
        <f t="shared" si="7"/>
        <v>13.285413838977396</v>
      </c>
    </row>
    <row r="15" spans="2:17" s="16" customFormat="1" ht="15.75" customHeight="1" x14ac:dyDescent="0.2">
      <c r="B15" s="10" t="s">
        <v>24</v>
      </c>
      <c r="C15" s="352">
        <v>72048</v>
      </c>
      <c r="D15" s="388">
        <v>274</v>
      </c>
      <c r="E15" s="190">
        <f t="shared" si="0"/>
        <v>71774</v>
      </c>
      <c r="F15" s="194">
        <v>47366</v>
      </c>
      <c r="G15" s="353">
        <v>17780</v>
      </c>
      <c r="H15" s="190">
        <f t="shared" si="1"/>
        <v>65146</v>
      </c>
      <c r="I15" s="353">
        <v>705233.56</v>
      </c>
      <c r="J15" s="353">
        <v>53646.55</v>
      </c>
      <c r="K15" s="198">
        <f t="shared" si="2"/>
        <v>758880.1100000001</v>
      </c>
      <c r="L15" s="11">
        <f t="shared" si="3"/>
        <v>0.65993256611029061</v>
      </c>
      <c r="M15" s="12">
        <f t="shared" si="4"/>
        <v>14.889025039057554</v>
      </c>
      <c r="N15" s="13">
        <f t="shared" si="5"/>
        <v>0.11511236784449422</v>
      </c>
      <c r="O15" s="14">
        <v>5302.1538461538457</v>
      </c>
      <c r="P15" s="14">
        <f t="shared" si="6"/>
        <v>163.06128133704738</v>
      </c>
      <c r="Q15" s="15">
        <f t="shared" si="7"/>
        <v>13.27876907766716</v>
      </c>
    </row>
    <row r="16" spans="2:17" s="16" customFormat="1" ht="15.75" customHeight="1" x14ac:dyDescent="0.2">
      <c r="B16" s="10" t="s">
        <v>28</v>
      </c>
      <c r="C16" s="352">
        <v>102761</v>
      </c>
      <c r="D16" s="388">
        <v>480</v>
      </c>
      <c r="E16" s="190">
        <f t="shared" si="0"/>
        <v>102281</v>
      </c>
      <c r="F16" s="194">
        <v>90099</v>
      </c>
      <c r="G16" s="353">
        <v>23040</v>
      </c>
      <c r="H16" s="190">
        <f t="shared" si="1"/>
        <v>113139</v>
      </c>
      <c r="I16" s="353">
        <v>1281833.51</v>
      </c>
      <c r="J16" s="353">
        <v>71767.25</v>
      </c>
      <c r="K16" s="198">
        <f t="shared" si="2"/>
        <v>1353600.76</v>
      </c>
      <c r="L16" s="11">
        <f t="shared" si="3"/>
        <v>0.88089674524105166</v>
      </c>
      <c r="M16" s="12">
        <f t="shared" si="4"/>
        <v>14.226944916147794</v>
      </c>
      <c r="N16" s="13">
        <f t="shared" si="5"/>
        <v>0.10999359005676203</v>
      </c>
      <c r="O16" s="14">
        <v>10048.984615384614</v>
      </c>
      <c r="P16" s="14">
        <f t="shared" si="6"/>
        <v>122.71209950029396</v>
      </c>
      <c r="Q16" s="15">
        <f t="shared" si="7"/>
        <v>12.496988821667719</v>
      </c>
    </row>
    <row r="17" spans="2:18" s="16" customFormat="1" ht="15.75" customHeight="1" x14ac:dyDescent="0.2">
      <c r="B17" s="10" t="s">
        <v>26</v>
      </c>
      <c r="C17" s="352">
        <v>39924</v>
      </c>
      <c r="D17" s="388">
        <v>305</v>
      </c>
      <c r="E17" s="190">
        <f t="shared" si="0"/>
        <v>39619</v>
      </c>
      <c r="F17" s="194">
        <v>18924</v>
      </c>
      <c r="G17" s="353">
        <v>5500</v>
      </c>
      <c r="H17" s="190">
        <f t="shared" si="1"/>
        <v>24424</v>
      </c>
      <c r="I17" s="353">
        <v>235269.40000000002</v>
      </c>
      <c r="J17" s="353">
        <v>17163.79</v>
      </c>
      <c r="K17" s="198">
        <f t="shared" si="2"/>
        <v>252433.19000000003</v>
      </c>
      <c r="L17" s="11">
        <f t="shared" si="3"/>
        <v>0.47764961255963045</v>
      </c>
      <c r="M17" s="12">
        <f t="shared" si="4"/>
        <v>12.432329317269078</v>
      </c>
      <c r="N17" s="13">
        <f t="shared" si="5"/>
        <v>9.6118776197850669E-2</v>
      </c>
      <c r="O17" s="14">
        <v>2357.1692307692306</v>
      </c>
      <c r="P17" s="14">
        <f t="shared" si="6"/>
        <v>203.2471804511278</v>
      </c>
      <c r="Q17" s="15">
        <f t="shared" si="7"/>
        <v>9.9355672038653786</v>
      </c>
    </row>
    <row r="18" spans="2:18" s="16" customFormat="1" ht="15.75" customHeight="1" x14ac:dyDescent="0.2">
      <c r="B18" s="10" t="s">
        <v>33</v>
      </c>
      <c r="C18" s="352">
        <v>30554</v>
      </c>
      <c r="D18" s="388">
        <v>181</v>
      </c>
      <c r="E18" s="190">
        <f t="shared" si="0"/>
        <v>30373</v>
      </c>
      <c r="F18" s="194">
        <v>19166</v>
      </c>
      <c r="G18" s="353">
        <v>8780</v>
      </c>
      <c r="H18" s="190">
        <f t="shared" si="1"/>
        <v>27946</v>
      </c>
      <c r="I18" s="353">
        <v>250856.8</v>
      </c>
      <c r="J18" s="353">
        <v>26491.4</v>
      </c>
      <c r="K18" s="198">
        <f t="shared" si="2"/>
        <v>277348.2</v>
      </c>
      <c r="L18" s="11">
        <f t="shared" si="3"/>
        <v>0.63102097257432588</v>
      </c>
      <c r="M18" s="12">
        <f t="shared" si="4"/>
        <v>13.088636126473963</v>
      </c>
      <c r="N18" s="13">
        <f t="shared" si="5"/>
        <v>0.10119291843630183</v>
      </c>
      <c r="O18" s="14">
        <v>2605.292307692308</v>
      </c>
      <c r="P18" s="14">
        <f t="shared" si="6"/>
        <v>140.73200113378684</v>
      </c>
      <c r="Q18" s="15">
        <f t="shared" si="7"/>
        <v>9.876563665636839</v>
      </c>
    </row>
    <row r="19" spans="2:18" s="16" customFormat="1" ht="15.75" customHeight="1" x14ac:dyDescent="0.2">
      <c r="B19" s="10" t="s">
        <v>22</v>
      </c>
      <c r="C19" s="352">
        <v>51398</v>
      </c>
      <c r="D19" s="388">
        <v>303</v>
      </c>
      <c r="E19" s="190">
        <f t="shared" si="0"/>
        <v>51095</v>
      </c>
      <c r="F19" s="207">
        <v>23388</v>
      </c>
      <c r="G19" s="353">
        <v>20900</v>
      </c>
      <c r="H19" s="190">
        <f t="shared" si="1"/>
        <v>44288</v>
      </c>
      <c r="I19" s="353">
        <v>341169.62</v>
      </c>
      <c r="J19" s="353">
        <v>63060.37</v>
      </c>
      <c r="K19" s="198">
        <f t="shared" si="2"/>
        <v>404229.99</v>
      </c>
      <c r="L19" s="11">
        <f t="shared" si="3"/>
        <v>0.45773559056659163</v>
      </c>
      <c r="M19" s="12">
        <f t="shared" si="4"/>
        <v>14.587378997776637</v>
      </c>
      <c r="N19" s="13">
        <f t="shared" si="5"/>
        <v>0.11278023461403239</v>
      </c>
      <c r="O19" s="351">
        <v>4962.4615384615381</v>
      </c>
      <c r="P19" s="14">
        <f t="shared" si="6"/>
        <v>124.28831845238096</v>
      </c>
      <c r="Q19" s="15">
        <f t="shared" si="7"/>
        <v>7.5573293668112509</v>
      </c>
    </row>
    <row r="20" spans="2:18" s="16" customFormat="1" ht="15.75" customHeight="1" x14ac:dyDescent="0.2">
      <c r="B20" s="10" t="s">
        <v>31</v>
      </c>
      <c r="C20" s="352">
        <v>22938</v>
      </c>
      <c r="D20" s="388">
        <v>189</v>
      </c>
      <c r="E20" s="190">
        <f t="shared" si="0"/>
        <v>22749</v>
      </c>
      <c r="F20" s="194">
        <v>18418</v>
      </c>
      <c r="G20" s="353">
        <v>460</v>
      </c>
      <c r="H20" s="190">
        <f t="shared" si="1"/>
        <v>18878</v>
      </c>
      <c r="I20" s="353">
        <v>238624.53999999998</v>
      </c>
      <c r="J20" s="353">
        <v>1387.93</v>
      </c>
      <c r="K20" s="198">
        <f t="shared" si="2"/>
        <v>240012.46999999997</v>
      </c>
      <c r="L20" s="11">
        <f t="shared" si="3"/>
        <v>0.80961800518704119</v>
      </c>
      <c r="M20" s="12">
        <f t="shared" si="4"/>
        <v>12.956050602671299</v>
      </c>
      <c r="N20" s="13">
        <f t="shared" si="5"/>
        <v>0.10016785241977015</v>
      </c>
      <c r="O20" s="14">
        <v>2977.4769230769234</v>
      </c>
      <c r="P20" s="14">
        <f t="shared" si="6"/>
        <v>92.446056547619037</v>
      </c>
      <c r="Q20" s="15">
        <f t="shared" si="7"/>
        <v>7.4786356480374936</v>
      </c>
      <c r="R20" s="16" t="s">
        <v>118</v>
      </c>
    </row>
    <row r="21" spans="2:18" s="16" customFormat="1" ht="15.75" customHeight="1" x14ac:dyDescent="0.2">
      <c r="B21" s="17" t="s">
        <v>23</v>
      </c>
      <c r="C21" s="355">
        <v>50967</v>
      </c>
      <c r="D21" s="390">
        <v>233</v>
      </c>
      <c r="E21" s="193">
        <f t="shared" si="0"/>
        <v>50734</v>
      </c>
      <c r="F21" s="462">
        <v>21640</v>
      </c>
      <c r="G21" s="356">
        <v>14780</v>
      </c>
      <c r="H21" s="193">
        <f t="shared" si="1"/>
        <v>36420</v>
      </c>
      <c r="I21" s="356">
        <v>353928.53</v>
      </c>
      <c r="J21" s="356">
        <v>45241.37</v>
      </c>
      <c r="K21" s="205">
        <f t="shared" si="2"/>
        <v>399169.9</v>
      </c>
      <c r="L21" s="358">
        <f t="shared" si="3"/>
        <v>0.42653841605235149</v>
      </c>
      <c r="M21" s="18">
        <f t="shared" si="4"/>
        <v>16.355292513863219</v>
      </c>
      <c r="N21" s="13">
        <f t="shared" si="5"/>
        <v>0.12644860513843936</v>
      </c>
      <c r="O21" s="19">
        <v>5173.3661538461538</v>
      </c>
      <c r="P21" s="19">
        <f t="shared" si="6"/>
        <v>118.22167266187051</v>
      </c>
      <c r="Q21" s="15">
        <f t="shared" si="7"/>
        <v>7.158491950606483</v>
      </c>
    </row>
    <row r="22" spans="2:18" ht="15.75" customHeight="1" thickBot="1" x14ac:dyDescent="0.25">
      <c r="B22" s="21" t="s">
        <v>35</v>
      </c>
      <c r="C22" s="39">
        <f>SUM(C6:C21)</f>
        <v>1122033</v>
      </c>
      <c r="D22" s="39">
        <f t="shared" ref="D22:K22" si="8">SUM(D6:D21)</f>
        <v>5705</v>
      </c>
      <c r="E22" s="39">
        <f t="shared" si="8"/>
        <v>1116328</v>
      </c>
      <c r="F22" s="39">
        <f t="shared" si="8"/>
        <v>859355</v>
      </c>
      <c r="G22" s="39">
        <f t="shared" si="8"/>
        <v>246900</v>
      </c>
      <c r="H22" s="39">
        <f t="shared" si="8"/>
        <v>1106255</v>
      </c>
      <c r="I22" s="39">
        <f t="shared" si="8"/>
        <v>13352627.389999999</v>
      </c>
      <c r="J22" s="39">
        <f t="shared" si="8"/>
        <v>744129.52</v>
      </c>
      <c r="K22" s="39">
        <f t="shared" si="8"/>
        <v>14096756.91</v>
      </c>
      <c r="L22" s="471">
        <f t="shared" ref="L22" si="9">F22/E22</f>
        <v>0.76980511104263261</v>
      </c>
      <c r="M22" s="23">
        <f t="shared" ref="M22" si="10">I22/F22</f>
        <v>15.537964391898573</v>
      </c>
      <c r="N22" s="24">
        <f t="shared" si="5"/>
        <v>0.12012954964767103</v>
      </c>
      <c r="O22" s="39">
        <f>SUM(O6:O21)</f>
        <v>86952.369230769211</v>
      </c>
      <c r="P22" s="25">
        <f t="shared" ref="P22" si="11">C22/O22*12</f>
        <v>154.84794858511401</v>
      </c>
      <c r="Q22" s="472">
        <f t="shared" si="7"/>
        <v>15.040932556885281</v>
      </c>
    </row>
    <row r="23" spans="2:18" ht="17.25" customHeight="1" thickTop="1" thickBot="1" x14ac:dyDescent="0.25">
      <c r="B23" s="26" t="s">
        <v>36</v>
      </c>
      <c r="C23" s="27"/>
      <c r="D23" s="28">
        <f>D22/C22</f>
        <v>5.084520687002967E-3</v>
      </c>
      <c r="E23" s="29">
        <f>E22/C22</f>
        <v>0.99491547931299706</v>
      </c>
      <c r="F23" s="30"/>
      <c r="G23" s="31"/>
      <c r="H23" s="30"/>
      <c r="I23" s="30"/>
      <c r="J23" s="30"/>
      <c r="K23" s="30"/>
      <c r="L23" s="32"/>
      <c r="M23" s="30"/>
      <c r="N23" s="33"/>
      <c r="O23" s="34"/>
      <c r="P23" s="34"/>
      <c r="Q23" s="35"/>
    </row>
    <row r="24" spans="2:18" ht="21" customHeight="1" thickTop="1" x14ac:dyDescent="0.25">
      <c r="B24" s="624" t="s">
        <v>37</v>
      </c>
      <c r="C24" s="620"/>
      <c r="D24" s="620"/>
      <c r="E24" s="620"/>
      <c r="F24" s="620"/>
      <c r="G24" s="620"/>
      <c r="H24" s="620"/>
      <c r="I24" s="620"/>
      <c r="J24" s="620"/>
      <c r="K24" s="620"/>
      <c r="L24" s="625"/>
      <c r="M24" s="625"/>
      <c r="N24" s="625"/>
      <c r="O24" s="625"/>
      <c r="P24" s="625"/>
      <c r="Q24" s="625"/>
    </row>
    <row r="25" spans="2:18" ht="15.75" customHeight="1" x14ac:dyDescent="0.2">
      <c r="B25" s="208" t="s">
        <v>58</v>
      </c>
      <c r="C25" s="199">
        <v>38550</v>
      </c>
      <c r="D25" s="391">
        <v>354</v>
      </c>
      <c r="E25" s="200">
        <f t="shared" ref="E25:E53" si="12">C25-D25</f>
        <v>38196</v>
      </c>
      <c r="F25" s="201">
        <v>48200</v>
      </c>
      <c r="G25" s="201">
        <v>1980</v>
      </c>
      <c r="H25" s="202">
        <f t="shared" ref="H25:H53" si="13">F25+G25</f>
        <v>50180</v>
      </c>
      <c r="I25" s="201">
        <v>1754286.0099999998</v>
      </c>
      <c r="J25" s="201">
        <v>6543.11</v>
      </c>
      <c r="K25" s="200">
        <f t="shared" ref="K25:K53" si="14">I25+J25</f>
        <v>1760829.1199999999</v>
      </c>
      <c r="L25" s="36">
        <f t="shared" ref="L25:L53" si="15">F25/E25</f>
        <v>1.2619122421195936</v>
      </c>
      <c r="M25" s="20">
        <f t="shared" ref="M25:M53" si="16">I25/F25</f>
        <v>36.395975311203316</v>
      </c>
      <c r="N25" s="37">
        <f t="shared" ref="N25:N54" si="17">M25/129.3434</f>
        <v>0.28139027821445328</v>
      </c>
      <c r="O25" s="20">
        <v>5210.584615384616</v>
      </c>
      <c r="P25" s="14">
        <f t="shared" ref="P25:P53" si="18">C25/O25*12</f>
        <v>88.780824829931959</v>
      </c>
      <c r="Q25" s="15">
        <f t="shared" ref="Q25:Q54" si="19">(K25*12/O25)/129.3434</f>
        <v>31.352179152392704</v>
      </c>
    </row>
    <row r="26" spans="2:18" ht="15.75" customHeight="1" x14ac:dyDescent="0.2">
      <c r="B26" s="208" t="s">
        <v>43</v>
      </c>
      <c r="C26" s="199">
        <v>31083</v>
      </c>
      <c r="D26" s="391">
        <v>76</v>
      </c>
      <c r="E26" s="200">
        <f t="shared" si="12"/>
        <v>31007</v>
      </c>
      <c r="F26" s="201">
        <v>21440</v>
      </c>
      <c r="G26" s="201">
        <v>3900</v>
      </c>
      <c r="H26" s="202">
        <f t="shared" si="13"/>
        <v>25340</v>
      </c>
      <c r="I26" s="201">
        <v>718241.80999999994</v>
      </c>
      <c r="J26" s="201">
        <v>13129.32</v>
      </c>
      <c r="K26" s="200">
        <f t="shared" si="14"/>
        <v>731371.12999999989</v>
      </c>
      <c r="L26" s="36">
        <f t="shared" si="15"/>
        <v>0.6914567678266198</v>
      </c>
      <c r="M26" s="20">
        <f t="shared" si="16"/>
        <v>33.500084421641787</v>
      </c>
      <c r="N26" s="37">
        <f t="shared" si="17"/>
        <v>0.25900111193645586</v>
      </c>
      <c r="O26" s="20">
        <v>2605.292307692308</v>
      </c>
      <c r="P26" s="14">
        <f t="shared" si="18"/>
        <v>143.16857993197277</v>
      </c>
      <c r="Q26" s="15">
        <f t="shared" si="19"/>
        <v>26.044638215260655</v>
      </c>
    </row>
    <row r="27" spans="2:18" ht="15.75" customHeight="1" x14ac:dyDescent="0.2">
      <c r="B27" s="208" t="s">
        <v>50</v>
      </c>
      <c r="C27" s="199">
        <v>22034</v>
      </c>
      <c r="D27" s="391">
        <v>131</v>
      </c>
      <c r="E27" s="200">
        <f t="shared" si="12"/>
        <v>21903</v>
      </c>
      <c r="F27" s="201">
        <v>19250</v>
      </c>
      <c r="G27" s="201">
        <v>3180</v>
      </c>
      <c r="H27" s="202">
        <f t="shared" si="13"/>
        <v>22430</v>
      </c>
      <c r="I27" s="201">
        <v>708731.15</v>
      </c>
      <c r="J27" s="201">
        <v>11068.97</v>
      </c>
      <c r="K27" s="200">
        <f t="shared" si="14"/>
        <v>719800.12</v>
      </c>
      <c r="L27" s="36">
        <f t="shared" si="15"/>
        <v>0.8788750399488654</v>
      </c>
      <c r="M27" s="20">
        <f t="shared" si="16"/>
        <v>36.817202597402598</v>
      </c>
      <c r="N27" s="37">
        <f t="shared" si="17"/>
        <v>0.28464693673896463</v>
      </c>
      <c r="O27" s="20">
        <v>2667.3230769230763</v>
      </c>
      <c r="P27" s="14">
        <f t="shared" si="18"/>
        <v>99.128599114064244</v>
      </c>
      <c r="Q27" s="15">
        <f t="shared" si="19"/>
        <v>25.036479782952679</v>
      </c>
    </row>
    <row r="28" spans="2:18" ht="15.75" customHeight="1" x14ac:dyDescent="0.2">
      <c r="B28" s="208" t="s">
        <v>46</v>
      </c>
      <c r="C28" s="199">
        <v>43411</v>
      </c>
      <c r="D28" s="391">
        <v>185</v>
      </c>
      <c r="E28" s="200">
        <f t="shared" si="12"/>
        <v>43226</v>
      </c>
      <c r="F28" s="201">
        <v>35050</v>
      </c>
      <c r="G28" s="201">
        <v>460</v>
      </c>
      <c r="H28" s="202">
        <f t="shared" si="13"/>
        <v>35510</v>
      </c>
      <c r="I28" s="201">
        <v>1339593.5099999998</v>
      </c>
      <c r="J28" s="201">
        <v>1482.76</v>
      </c>
      <c r="K28" s="200">
        <f t="shared" si="14"/>
        <v>1341076.2699999998</v>
      </c>
      <c r="L28" s="36">
        <f t="shared" si="15"/>
        <v>0.81085457826308238</v>
      </c>
      <c r="M28" s="20">
        <f t="shared" si="16"/>
        <v>38.219500998573459</v>
      </c>
      <c r="N28" s="37">
        <f t="shared" si="17"/>
        <v>0.29548860628817131</v>
      </c>
      <c r="O28" s="20">
        <v>5027.4461538461537</v>
      </c>
      <c r="P28" s="14">
        <f t="shared" si="18"/>
        <v>103.61761897767332</v>
      </c>
      <c r="Q28" s="15">
        <f t="shared" si="19"/>
        <v>24.74816615834796</v>
      </c>
    </row>
    <row r="29" spans="2:18" ht="15.75" customHeight="1" x14ac:dyDescent="0.2">
      <c r="B29" s="208" t="s">
        <v>52</v>
      </c>
      <c r="C29" s="199">
        <v>52109</v>
      </c>
      <c r="D29" s="391">
        <v>207</v>
      </c>
      <c r="E29" s="200">
        <f t="shared" si="12"/>
        <v>51902</v>
      </c>
      <c r="F29" s="201">
        <v>33270</v>
      </c>
      <c r="G29" s="201">
        <v>4320</v>
      </c>
      <c r="H29" s="202">
        <f t="shared" si="13"/>
        <v>37590</v>
      </c>
      <c r="I29" s="201">
        <v>1219368.8900000001</v>
      </c>
      <c r="J29" s="201">
        <v>14017.23</v>
      </c>
      <c r="K29" s="200">
        <f t="shared" si="14"/>
        <v>1233386.1200000001</v>
      </c>
      <c r="L29" s="36">
        <f t="shared" si="15"/>
        <v>0.64101576047165809</v>
      </c>
      <c r="M29" s="20">
        <f t="shared" si="16"/>
        <v>36.650703035767961</v>
      </c>
      <c r="N29" s="37">
        <f t="shared" si="17"/>
        <v>0.28335966918890304</v>
      </c>
      <c r="O29" s="20">
        <v>5024.4923076923069</v>
      </c>
      <c r="P29" s="14">
        <f t="shared" si="18"/>
        <v>124.45197677836569</v>
      </c>
      <c r="Q29" s="15">
        <f t="shared" si="19"/>
        <v>22.774237441238022</v>
      </c>
    </row>
    <row r="30" spans="2:18" ht="15.75" customHeight="1" x14ac:dyDescent="0.2">
      <c r="B30" s="208" t="s">
        <v>41</v>
      </c>
      <c r="C30" s="199">
        <v>28540</v>
      </c>
      <c r="D30" s="391">
        <v>160</v>
      </c>
      <c r="E30" s="200">
        <f t="shared" si="12"/>
        <v>28380</v>
      </c>
      <c r="F30" s="201">
        <v>22100</v>
      </c>
      <c r="G30" s="201">
        <v>240</v>
      </c>
      <c r="H30" s="202">
        <f t="shared" si="13"/>
        <v>22340</v>
      </c>
      <c r="I30" s="201">
        <v>785958.35000000009</v>
      </c>
      <c r="J30" s="201">
        <v>827.59</v>
      </c>
      <c r="K30" s="200">
        <f t="shared" si="14"/>
        <v>786785.94000000006</v>
      </c>
      <c r="L30" s="36">
        <f t="shared" si="15"/>
        <v>0.77871740662438338</v>
      </c>
      <c r="M30" s="20">
        <f t="shared" si="16"/>
        <v>35.563726244343897</v>
      </c>
      <c r="N30" s="37">
        <f t="shared" si="17"/>
        <v>0.27495586357204077</v>
      </c>
      <c r="O30" s="20">
        <v>3225.5999999999995</v>
      </c>
      <c r="P30" s="14">
        <f t="shared" si="18"/>
        <v>106.17559523809524</v>
      </c>
      <c r="Q30" s="15">
        <f t="shared" si="19"/>
        <v>22.629921795667311</v>
      </c>
    </row>
    <row r="31" spans="2:18" ht="15.75" customHeight="1" x14ac:dyDescent="0.2">
      <c r="B31" s="208" t="s">
        <v>45</v>
      </c>
      <c r="C31" s="199">
        <v>16594</v>
      </c>
      <c r="D31" s="391">
        <v>124</v>
      </c>
      <c r="E31" s="200">
        <f t="shared" si="12"/>
        <v>16470</v>
      </c>
      <c r="F31" s="201">
        <v>14620</v>
      </c>
      <c r="G31" s="203"/>
      <c r="H31" s="202">
        <f t="shared" si="13"/>
        <v>14620</v>
      </c>
      <c r="I31" s="201">
        <v>580837.94000000006</v>
      </c>
      <c r="J31" s="203"/>
      <c r="K31" s="200">
        <f t="shared" si="14"/>
        <v>580837.94000000006</v>
      </c>
      <c r="L31" s="36">
        <f t="shared" si="15"/>
        <v>0.88767455980570731</v>
      </c>
      <c r="M31" s="20">
        <f t="shared" si="16"/>
        <v>39.728997264021892</v>
      </c>
      <c r="N31" s="37">
        <f t="shared" si="17"/>
        <v>0.30715906079492183</v>
      </c>
      <c r="O31" s="20">
        <v>2481.2307692307691</v>
      </c>
      <c r="P31" s="14">
        <f t="shared" si="18"/>
        <v>80.253720238095241</v>
      </c>
      <c r="Q31" s="15">
        <f t="shared" si="19"/>
        <v>21.718248175105227</v>
      </c>
    </row>
    <row r="32" spans="2:18" ht="15.75" customHeight="1" x14ac:dyDescent="0.2">
      <c r="B32" s="208" t="s">
        <v>53</v>
      </c>
      <c r="C32" s="199">
        <v>65138</v>
      </c>
      <c r="D32" s="391">
        <v>181</v>
      </c>
      <c r="E32" s="200">
        <f t="shared" si="12"/>
        <v>64957</v>
      </c>
      <c r="F32" s="201">
        <v>45350</v>
      </c>
      <c r="G32" s="201">
        <v>3800</v>
      </c>
      <c r="H32" s="202">
        <f t="shared" si="13"/>
        <v>49150</v>
      </c>
      <c r="I32" s="201">
        <v>1626848.0899999999</v>
      </c>
      <c r="J32" s="201">
        <v>12844.84</v>
      </c>
      <c r="K32" s="200">
        <f t="shared" si="14"/>
        <v>1639692.93</v>
      </c>
      <c r="L32" s="36">
        <f t="shared" si="15"/>
        <v>0.69815416352356174</v>
      </c>
      <c r="M32" s="20">
        <f t="shared" si="16"/>
        <v>35.873166262403522</v>
      </c>
      <c r="N32" s="37">
        <f t="shared" si="17"/>
        <v>0.27734825481936859</v>
      </c>
      <c r="O32" s="20">
        <v>7381.6615384615379</v>
      </c>
      <c r="P32" s="14">
        <f t="shared" si="18"/>
        <v>105.89160664265708</v>
      </c>
      <c r="Q32" s="15">
        <f t="shared" si="19"/>
        <v>20.60845190512433</v>
      </c>
    </row>
    <row r="33" spans="2:17" ht="15.75" customHeight="1" x14ac:dyDescent="0.2">
      <c r="B33" s="208" t="s">
        <v>39</v>
      </c>
      <c r="C33" s="199">
        <v>46497</v>
      </c>
      <c r="D33" s="391">
        <v>154</v>
      </c>
      <c r="E33" s="200">
        <f t="shared" si="12"/>
        <v>46343</v>
      </c>
      <c r="F33" s="201">
        <v>30350</v>
      </c>
      <c r="G33" s="203">
        <v>2020</v>
      </c>
      <c r="H33" s="202">
        <f t="shared" si="13"/>
        <v>32370</v>
      </c>
      <c r="I33" s="201">
        <v>1065600.0999999999</v>
      </c>
      <c r="J33" s="203">
        <v>6250</v>
      </c>
      <c r="K33" s="200">
        <f t="shared" si="14"/>
        <v>1071850.0999999999</v>
      </c>
      <c r="L33" s="36">
        <f t="shared" si="15"/>
        <v>0.65489933754828134</v>
      </c>
      <c r="M33" s="20">
        <f t="shared" si="16"/>
        <v>35.110382207578247</v>
      </c>
      <c r="N33" s="37">
        <f t="shared" si="17"/>
        <v>0.27145089898346764</v>
      </c>
      <c r="O33" s="20">
        <v>5148.5538461538454</v>
      </c>
      <c r="P33" s="14">
        <f t="shared" si="18"/>
        <v>108.37295611015492</v>
      </c>
      <c r="Q33" s="15">
        <f t="shared" si="19"/>
        <v>19.314602149589948</v>
      </c>
    </row>
    <row r="34" spans="2:17" ht="15.75" customHeight="1" x14ac:dyDescent="0.2">
      <c r="B34" s="208" t="s">
        <v>49</v>
      </c>
      <c r="C34" s="199">
        <v>41995</v>
      </c>
      <c r="D34" s="391">
        <v>160</v>
      </c>
      <c r="E34" s="200">
        <f t="shared" si="12"/>
        <v>41835</v>
      </c>
      <c r="F34" s="201">
        <v>28770</v>
      </c>
      <c r="G34" s="201">
        <v>3120</v>
      </c>
      <c r="H34" s="202">
        <f t="shared" si="13"/>
        <v>31890</v>
      </c>
      <c r="I34" s="201">
        <v>1007011.9400000001</v>
      </c>
      <c r="J34" s="201">
        <v>10034.49</v>
      </c>
      <c r="K34" s="200">
        <f t="shared" si="14"/>
        <v>1017046.43</v>
      </c>
      <c r="L34" s="36">
        <f t="shared" si="15"/>
        <v>0.68770168519182506</v>
      </c>
      <c r="M34" s="20">
        <f t="shared" si="16"/>
        <v>35.002152937087246</v>
      </c>
      <c r="N34" s="37">
        <f t="shared" si="17"/>
        <v>0.27061413985628369</v>
      </c>
      <c r="O34" s="20">
        <v>5024.4923076923069</v>
      </c>
      <c r="P34" s="14">
        <f t="shared" si="18"/>
        <v>100.29670047031161</v>
      </c>
      <c r="Q34" s="15">
        <f t="shared" si="19"/>
        <v>18.779566682316371</v>
      </c>
    </row>
    <row r="35" spans="2:17" ht="15.75" customHeight="1" x14ac:dyDescent="0.2">
      <c r="B35" s="208" t="s">
        <v>44</v>
      </c>
      <c r="C35" s="199">
        <v>17541</v>
      </c>
      <c r="D35" s="391">
        <v>143</v>
      </c>
      <c r="E35" s="200">
        <f t="shared" si="12"/>
        <v>17398</v>
      </c>
      <c r="F35" s="201">
        <v>12240</v>
      </c>
      <c r="G35" s="201">
        <v>840</v>
      </c>
      <c r="H35" s="202">
        <f t="shared" si="13"/>
        <v>13080</v>
      </c>
      <c r="I35" s="201">
        <v>465301.78</v>
      </c>
      <c r="J35" s="201">
        <v>2793.11</v>
      </c>
      <c r="K35" s="200">
        <f t="shared" si="14"/>
        <v>468094.89</v>
      </c>
      <c r="L35" s="36">
        <f t="shared" si="15"/>
        <v>0.70352914128060695</v>
      </c>
      <c r="M35" s="20">
        <f t="shared" si="16"/>
        <v>38.014851307189545</v>
      </c>
      <c r="N35" s="37">
        <f t="shared" si="17"/>
        <v>0.29390638646571488</v>
      </c>
      <c r="O35" s="20">
        <v>2357.1692307692306</v>
      </c>
      <c r="P35" s="14">
        <f t="shared" si="18"/>
        <v>89.298637218045116</v>
      </c>
      <c r="Q35" s="15">
        <f t="shared" si="19"/>
        <v>18.423838154487417</v>
      </c>
    </row>
    <row r="36" spans="2:17" ht="15.75" customHeight="1" x14ac:dyDescent="0.2">
      <c r="B36" s="208" t="s">
        <v>48</v>
      </c>
      <c r="C36" s="199">
        <v>9409</v>
      </c>
      <c r="D36" s="391">
        <v>109</v>
      </c>
      <c r="E36" s="200">
        <f t="shared" si="12"/>
        <v>9300</v>
      </c>
      <c r="F36" s="201">
        <v>8530</v>
      </c>
      <c r="G36" s="203"/>
      <c r="H36" s="202">
        <f t="shared" si="13"/>
        <v>8530</v>
      </c>
      <c r="I36" s="201">
        <v>311562.54000000004</v>
      </c>
      <c r="J36" s="203"/>
      <c r="K36" s="200">
        <f t="shared" si="14"/>
        <v>311562.54000000004</v>
      </c>
      <c r="L36" s="36">
        <f t="shared" si="15"/>
        <v>0.91720430107526885</v>
      </c>
      <c r="M36" s="20">
        <f t="shared" si="16"/>
        <v>36.52550293083236</v>
      </c>
      <c r="N36" s="37">
        <f t="shared" si="17"/>
        <v>0.28239170248217038</v>
      </c>
      <c r="O36" s="20">
        <v>1736.8615384615382</v>
      </c>
      <c r="P36" s="14">
        <f t="shared" si="18"/>
        <v>65.006909013605451</v>
      </c>
      <c r="Q36" s="15">
        <f t="shared" si="19"/>
        <v>16.642440416798408</v>
      </c>
    </row>
    <row r="37" spans="2:17" ht="15.75" customHeight="1" x14ac:dyDescent="0.2">
      <c r="B37" s="208" t="s">
        <v>55</v>
      </c>
      <c r="C37" s="199">
        <v>37047</v>
      </c>
      <c r="D37" s="391">
        <v>175</v>
      </c>
      <c r="E37" s="200">
        <f t="shared" si="12"/>
        <v>36872</v>
      </c>
      <c r="F37" s="201">
        <v>24560</v>
      </c>
      <c r="G37" s="201">
        <v>3160</v>
      </c>
      <c r="H37" s="202">
        <f t="shared" si="13"/>
        <v>27720</v>
      </c>
      <c r="I37" s="201">
        <v>891604.63</v>
      </c>
      <c r="J37" s="201">
        <v>10499.99</v>
      </c>
      <c r="K37" s="200">
        <f t="shared" si="14"/>
        <v>902104.62</v>
      </c>
      <c r="L37" s="36">
        <f t="shared" si="15"/>
        <v>0.66608808852245605</v>
      </c>
      <c r="M37" s="20">
        <f t="shared" si="16"/>
        <v>36.303120114006518</v>
      </c>
      <c r="N37" s="37">
        <f t="shared" si="17"/>
        <v>0.28067238153633289</v>
      </c>
      <c r="O37" s="20">
        <v>5055.5076923076922</v>
      </c>
      <c r="P37" s="14">
        <f t="shared" si="18"/>
        <v>87.936568799298868</v>
      </c>
      <c r="Q37" s="15">
        <f t="shared" si="19"/>
        <v>16.55499693275182</v>
      </c>
    </row>
    <row r="38" spans="2:17" ht="15.75" customHeight="1" x14ac:dyDescent="0.2">
      <c r="B38" s="208" t="s">
        <v>60</v>
      </c>
      <c r="C38" s="199">
        <v>13703</v>
      </c>
      <c r="D38" s="391">
        <v>80</v>
      </c>
      <c r="E38" s="200">
        <f t="shared" si="12"/>
        <v>13623</v>
      </c>
      <c r="F38" s="201">
        <v>12700</v>
      </c>
      <c r="G38" s="203">
        <v>840</v>
      </c>
      <c r="H38" s="202">
        <f t="shared" si="13"/>
        <v>13540</v>
      </c>
      <c r="I38" s="201">
        <v>447788.60000000003</v>
      </c>
      <c r="J38" s="201">
        <v>2844.83</v>
      </c>
      <c r="K38" s="200">
        <f t="shared" si="14"/>
        <v>450633.43000000005</v>
      </c>
      <c r="L38" s="36">
        <f t="shared" si="15"/>
        <v>0.93224693532995673</v>
      </c>
      <c r="M38" s="20">
        <f t="shared" si="16"/>
        <v>35.258944881889768</v>
      </c>
      <c r="N38" s="37">
        <f t="shared" si="17"/>
        <v>0.27259949005430323</v>
      </c>
      <c r="O38" s="20">
        <v>2605.292307692308</v>
      </c>
      <c r="P38" s="14">
        <f t="shared" si="18"/>
        <v>63.116142290249421</v>
      </c>
      <c r="Q38" s="15">
        <f t="shared" si="19"/>
        <v>16.047372080508548</v>
      </c>
    </row>
    <row r="39" spans="2:17" ht="15.75" customHeight="1" x14ac:dyDescent="0.2">
      <c r="B39" s="208" t="s">
        <v>65</v>
      </c>
      <c r="C39" s="199">
        <v>14655</v>
      </c>
      <c r="D39" s="391">
        <v>108</v>
      </c>
      <c r="E39" s="200">
        <f t="shared" si="12"/>
        <v>14547</v>
      </c>
      <c r="F39" s="201">
        <v>12590</v>
      </c>
      <c r="G39" s="203">
        <v>580</v>
      </c>
      <c r="H39" s="202">
        <f t="shared" si="13"/>
        <v>13170</v>
      </c>
      <c r="I39" s="201">
        <v>465771.35</v>
      </c>
      <c r="J39" s="201">
        <v>1844.83</v>
      </c>
      <c r="K39" s="200">
        <f t="shared" si="14"/>
        <v>467616.18</v>
      </c>
      <c r="L39" s="36">
        <f t="shared" si="15"/>
        <v>0.8654705437547261</v>
      </c>
      <c r="M39" s="20">
        <f t="shared" si="16"/>
        <v>36.995341540905478</v>
      </c>
      <c r="N39" s="37">
        <f t="shared" si="17"/>
        <v>0.28602419250541949</v>
      </c>
      <c r="O39" s="20">
        <v>2788.4307692307689</v>
      </c>
      <c r="P39" s="14">
        <f t="shared" si="18"/>
        <v>63.067730402542381</v>
      </c>
      <c r="Q39" s="15">
        <f t="shared" si="19"/>
        <v>15.558461036322756</v>
      </c>
    </row>
    <row r="40" spans="2:17" ht="15.75" customHeight="1" x14ac:dyDescent="0.2">
      <c r="B40" s="208" t="s">
        <v>62</v>
      </c>
      <c r="C40" s="199">
        <v>27973</v>
      </c>
      <c r="D40" s="391">
        <v>162</v>
      </c>
      <c r="E40" s="200">
        <f t="shared" si="12"/>
        <v>27811</v>
      </c>
      <c r="F40" s="201">
        <v>12580</v>
      </c>
      <c r="G40" s="201">
        <v>2400</v>
      </c>
      <c r="H40" s="202">
        <f t="shared" si="13"/>
        <v>14980</v>
      </c>
      <c r="I40" s="201">
        <v>428512.81000000006</v>
      </c>
      <c r="J40" s="201">
        <v>7758.62</v>
      </c>
      <c r="K40" s="200">
        <f t="shared" si="14"/>
        <v>436271.43000000005</v>
      </c>
      <c r="L40" s="36">
        <f t="shared" si="15"/>
        <v>0.45233900255294668</v>
      </c>
      <c r="M40" s="20">
        <f t="shared" si="16"/>
        <v>34.063021462639114</v>
      </c>
      <c r="N40" s="37">
        <f t="shared" si="17"/>
        <v>0.26335337916460455</v>
      </c>
      <c r="O40" s="20">
        <v>2667.3230769230763</v>
      </c>
      <c r="P40" s="14">
        <f t="shared" si="18"/>
        <v>125.84752214839428</v>
      </c>
      <c r="Q40" s="15">
        <f t="shared" si="19"/>
        <v>15.174630475297581</v>
      </c>
    </row>
    <row r="41" spans="2:17" ht="15.75" customHeight="1" x14ac:dyDescent="0.2">
      <c r="B41" s="208" t="s">
        <v>51</v>
      </c>
      <c r="C41" s="199">
        <v>56639</v>
      </c>
      <c r="D41" s="391">
        <v>240</v>
      </c>
      <c r="E41" s="200">
        <f t="shared" si="12"/>
        <v>56399</v>
      </c>
      <c r="F41" s="201">
        <v>38890</v>
      </c>
      <c r="G41" s="201">
        <v>3340</v>
      </c>
      <c r="H41" s="202">
        <f t="shared" si="13"/>
        <v>42230</v>
      </c>
      <c r="I41" s="201">
        <v>1353883.1199999999</v>
      </c>
      <c r="J41" s="201">
        <v>11258.63</v>
      </c>
      <c r="K41" s="200">
        <f t="shared" si="14"/>
        <v>1365141.7499999998</v>
      </c>
      <c r="L41" s="36">
        <f t="shared" si="15"/>
        <v>0.68955123317789324</v>
      </c>
      <c r="M41" s="20">
        <f t="shared" si="16"/>
        <v>34.813142710208275</v>
      </c>
      <c r="N41" s="37">
        <f t="shared" si="17"/>
        <v>0.26915283431708364</v>
      </c>
      <c r="O41" s="20">
        <v>8436.1846153846163</v>
      </c>
      <c r="P41" s="14">
        <f t="shared" si="18"/>
        <v>80.565804446778714</v>
      </c>
      <c r="Q41" s="15">
        <f t="shared" si="19"/>
        <v>15.0130401771222</v>
      </c>
    </row>
    <row r="42" spans="2:17" ht="15.75" customHeight="1" x14ac:dyDescent="0.2">
      <c r="B42" s="208" t="s">
        <v>56</v>
      </c>
      <c r="C42" s="199">
        <v>17221</v>
      </c>
      <c r="D42" s="391">
        <v>119</v>
      </c>
      <c r="E42" s="200">
        <f t="shared" si="12"/>
        <v>17102</v>
      </c>
      <c r="F42" s="201">
        <v>10750</v>
      </c>
      <c r="G42" s="201">
        <v>1200</v>
      </c>
      <c r="H42" s="202">
        <f t="shared" si="13"/>
        <v>11950</v>
      </c>
      <c r="I42" s="201">
        <v>369331.08</v>
      </c>
      <c r="J42" s="201">
        <v>4034.48</v>
      </c>
      <c r="K42" s="200">
        <f t="shared" si="14"/>
        <v>373365.56</v>
      </c>
      <c r="L42" s="36">
        <f t="shared" si="15"/>
        <v>0.62858145246170039</v>
      </c>
      <c r="M42" s="20">
        <f t="shared" si="16"/>
        <v>34.356379534883722</v>
      </c>
      <c r="N42" s="37">
        <f t="shared" si="17"/>
        <v>0.26562143514770542</v>
      </c>
      <c r="O42" s="20">
        <v>2481.2307692307691</v>
      </c>
      <c r="P42" s="14">
        <f t="shared" si="18"/>
        <v>83.286086309523824</v>
      </c>
      <c r="Q42" s="15">
        <f t="shared" si="19"/>
        <v>13.960599564341717</v>
      </c>
    </row>
    <row r="43" spans="2:17" ht="15.75" customHeight="1" x14ac:dyDescent="0.2">
      <c r="B43" s="208" t="s">
        <v>40</v>
      </c>
      <c r="C43" s="199">
        <v>17289</v>
      </c>
      <c r="D43" s="391">
        <v>68</v>
      </c>
      <c r="E43" s="200">
        <f t="shared" si="12"/>
        <v>17221</v>
      </c>
      <c r="F43" s="201">
        <v>9320</v>
      </c>
      <c r="G43" s="201">
        <v>720</v>
      </c>
      <c r="H43" s="202">
        <f t="shared" si="13"/>
        <v>10040</v>
      </c>
      <c r="I43" s="201">
        <v>352714.91</v>
      </c>
      <c r="J43" s="201">
        <v>2224.14</v>
      </c>
      <c r="K43" s="200">
        <f t="shared" si="14"/>
        <v>354939.05</v>
      </c>
      <c r="L43" s="36">
        <f t="shared" si="15"/>
        <v>0.54119969804308687</v>
      </c>
      <c r="M43" s="20">
        <f t="shared" si="16"/>
        <v>37.844947424892702</v>
      </c>
      <c r="N43" s="37">
        <f t="shared" si="17"/>
        <v>0.29259279889729745</v>
      </c>
      <c r="O43" s="20">
        <v>2481.2307692307691</v>
      </c>
      <c r="P43" s="14">
        <f t="shared" si="18"/>
        <v>83.614955357142861</v>
      </c>
      <c r="Q43" s="15">
        <f t="shared" si="19"/>
        <v>13.271609590337851</v>
      </c>
    </row>
    <row r="44" spans="2:17" ht="15.75" customHeight="1" x14ac:dyDescent="0.2">
      <c r="B44" s="208" t="s">
        <v>54</v>
      </c>
      <c r="C44" s="199">
        <v>36121</v>
      </c>
      <c r="D44" s="391">
        <v>146</v>
      </c>
      <c r="E44" s="200">
        <f t="shared" si="12"/>
        <v>35975</v>
      </c>
      <c r="F44" s="201">
        <v>13940</v>
      </c>
      <c r="G44" s="201">
        <v>6140</v>
      </c>
      <c r="H44" s="202">
        <f t="shared" si="13"/>
        <v>20080</v>
      </c>
      <c r="I44" s="201">
        <v>496904.94000000006</v>
      </c>
      <c r="J44" s="201">
        <v>21025.88</v>
      </c>
      <c r="K44" s="200">
        <f t="shared" si="14"/>
        <v>517930.82000000007</v>
      </c>
      <c r="L44" s="36">
        <f t="shared" si="15"/>
        <v>0.38749131341209175</v>
      </c>
      <c r="M44" s="20">
        <f t="shared" si="16"/>
        <v>35.645978479196557</v>
      </c>
      <c r="N44" s="37">
        <f t="shared" si="17"/>
        <v>0.27559178496310255</v>
      </c>
      <c r="O44" s="20">
        <v>4652.3076923076915</v>
      </c>
      <c r="P44" s="14">
        <f t="shared" si="18"/>
        <v>93.169246031746056</v>
      </c>
      <c r="Q44" s="15">
        <f t="shared" si="19"/>
        <v>10.328572394377456</v>
      </c>
    </row>
    <row r="45" spans="2:17" ht="15.75" customHeight="1" x14ac:dyDescent="0.2">
      <c r="B45" s="208" t="s">
        <v>61</v>
      </c>
      <c r="C45" s="199">
        <v>19072</v>
      </c>
      <c r="D45" s="391">
        <v>73</v>
      </c>
      <c r="E45" s="200">
        <f t="shared" si="12"/>
        <v>18999</v>
      </c>
      <c r="F45" s="201">
        <v>7160</v>
      </c>
      <c r="G45" s="201"/>
      <c r="H45" s="202">
        <f t="shared" si="13"/>
        <v>7160</v>
      </c>
      <c r="I45" s="201">
        <v>263525.34000000003</v>
      </c>
      <c r="J45" s="201"/>
      <c r="K45" s="200">
        <f t="shared" si="14"/>
        <v>263525.34000000003</v>
      </c>
      <c r="L45" s="36">
        <f t="shared" si="15"/>
        <v>0.37686194010211066</v>
      </c>
      <c r="M45" s="20">
        <f t="shared" si="16"/>
        <v>36.805215083798885</v>
      </c>
      <c r="N45" s="37">
        <f t="shared" si="17"/>
        <v>0.28455425699184406</v>
      </c>
      <c r="O45" s="20">
        <v>2481.2307692307695</v>
      </c>
      <c r="P45" s="14">
        <f t="shared" si="18"/>
        <v>92.238095238095227</v>
      </c>
      <c r="Q45" s="15">
        <f t="shared" si="19"/>
        <v>9.8535380360122193</v>
      </c>
    </row>
    <row r="46" spans="2:17" ht="15.75" customHeight="1" x14ac:dyDescent="0.2">
      <c r="B46" s="208" t="s">
        <v>38</v>
      </c>
      <c r="C46" s="199">
        <v>16933</v>
      </c>
      <c r="D46" s="391">
        <v>142</v>
      </c>
      <c r="E46" s="200">
        <f t="shared" si="12"/>
        <v>16791</v>
      </c>
      <c r="F46" s="197">
        <v>6980</v>
      </c>
      <c r="G46" s="201">
        <v>120</v>
      </c>
      <c r="H46" s="202">
        <f t="shared" si="13"/>
        <v>7100</v>
      </c>
      <c r="I46" s="201">
        <v>265993.11</v>
      </c>
      <c r="J46" s="201">
        <v>362.07</v>
      </c>
      <c r="K46" s="200">
        <f t="shared" si="14"/>
        <v>266355.18</v>
      </c>
      <c r="L46" s="36">
        <f t="shared" si="15"/>
        <v>0.41569888630814128</v>
      </c>
      <c r="M46" s="20">
        <f t="shared" si="16"/>
        <v>38.107895415472775</v>
      </c>
      <c r="N46" s="37">
        <f t="shared" si="17"/>
        <v>0.2946257436828843</v>
      </c>
      <c r="O46" s="20">
        <v>3039.5076923076917</v>
      </c>
      <c r="P46" s="14">
        <f t="shared" si="18"/>
        <v>66.851615646258509</v>
      </c>
      <c r="Q46" s="15">
        <f t="shared" si="19"/>
        <v>8.1300810202033631</v>
      </c>
    </row>
    <row r="47" spans="2:17" ht="15.75" customHeight="1" x14ac:dyDescent="0.2">
      <c r="B47" s="208" t="s">
        <v>42</v>
      </c>
      <c r="C47" s="199">
        <v>11304</v>
      </c>
      <c r="D47" s="391">
        <v>58</v>
      </c>
      <c r="E47" s="200">
        <f t="shared" si="12"/>
        <v>11246</v>
      </c>
      <c r="F47" s="201">
        <v>4880</v>
      </c>
      <c r="G47" s="203">
        <v>1440</v>
      </c>
      <c r="H47" s="202">
        <f t="shared" si="13"/>
        <v>6320</v>
      </c>
      <c r="I47" s="201">
        <v>199043.04</v>
      </c>
      <c r="J47" s="203">
        <v>4448.28</v>
      </c>
      <c r="K47" s="200">
        <f t="shared" si="14"/>
        <v>203491.32</v>
      </c>
      <c r="L47" s="36">
        <f t="shared" si="15"/>
        <v>0.43393206473412771</v>
      </c>
      <c r="M47" s="20">
        <f t="shared" si="16"/>
        <v>40.787508196721312</v>
      </c>
      <c r="N47" s="37">
        <f t="shared" si="17"/>
        <v>0.315342786695891</v>
      </c>
      <c r="O47" s="20">
        <v>2357.1692307692306</v>
      </c>
      <c r="P47" s="14">
        <f t="shared" si="18"/>
        <v>57.546992481203006</v>
      </c>
      <c r="Q47" s="15">
        <f t="shared" si="19"/>
        <v>8.0092545883656392</v>
      </c>
    </row>
    <row r="48" spans="2:17" ht="15.75" customHeight="1" x14ac:dyDescent="0.2">
      <c r="B48" s="208" t="s">
        <v>47</v>
      </c>
      <c r="C48" s="199">
        <v>34696</v>
      </c>
      <c r="D48" s="391">
        <v>225</v>
      </c>
      <c r="E48" s="200">
        <f t="shared" si="12"/>
        <v>34471</v>
      </c>
      <c r="F48" s="201">
        <v>11010</v>
      </c>
      <c r="G48" s="201">
        <v>10360</v>
      </c>
      <c r="H48" s="202">
        <f t="shared" si="13"/>
        <v>21370</v>
      </c>
      <c r="I48" s="201">
        <v>368780.70999999996</v>
      </c>
      <c r="J48" s="201">
        <v>34818.980000000003</v>
      </c>
      <c r="K48" s="200">
        <f t="shared" si="14"/>
        <v>403599.68999999994</v>
      </c>
      <c r="L48" s="36">
        <f t="shared" si="15"/>
        <v>0.31939891503002527</v>
      </c>
      <c r="M48" s="20">
        <f t="shared" si="16"/>
        <v>33.495069028156216</v>
      </c>
      <c r="N48" s="37">
        <f t="shared" si="17"/>
        <v>0.25896233613896197</v>
      </c>
      <c r="O48" s="20">
        <v>4993.4769230769225</v>
      </c>
      <c r="P48" s="14">
        <f t="shared" si="18"/>
        <v>83.379177758059754</v>
      </c>
      <c r="Q48" s="15">
        <f t="shared" si="19"/>
        <v>7.4986787766041738</v>
      </c>
    </row>
    <row r="49" spans="1:18" ht="15.75" customHeight="1" x14ac:dyDescent="0.2">
      <c r="B49" s="208" t="s">
        <v>66</v>
      </c>
      <c r="C49" s="199">
        <v>9543</v>
      </c>
      <c r="D49" s="391">
        <v>61</v>
      </c>
      <c r="E49" s="200">
        <f t="shared" si="12"/>
        <v>9482</v>
      </c>
      <c r="F49" s="201">
        <v>5860</v>
      </c>
      <c r="G49" s="203">
        <v>2040</v>
      </c>
      <c r="H49" s="202">
        <f t="shared" si="13"/>
        <v>7900</v>
      </c>
      <c r="I49" s="201">
        <v>202282.92</v>
      </c>
      <c r="J49" s="203">
        <v>7034.48</v>
      </c>
      <c r="K49" s="200">
        <f t="shared" si="14"/>
        <v>209317.40000000002</v>
      </c>
      <c r="L49" s="36">
        <f t="shared" si="15"/>
        <v>0.61801307740982914</v>
      </c>
      <c r="M49" s="20">
        <f t="shared" si="16"/>
        <v>34.519269624573383</v>
      </c>
      <c r="N49" s="37">
        <f t="shared" si="17"/>
        <v>0.26688079658160663</v>
      </c>
      <c r="O49" s="20">
        <v>2605.292307692308</v>
      </c>
      <c r="P49" s="14">
        <f t="shared" si="18"/>
        <v>43.955144557823118</v>
      </c>
      <c r="Q49" s="15">
        <f t="shared" si="19"/>
        <v>7.4539392266673179</v>
      </c>
    </row>
    <row r="50" spans="1:18" ht="15.75" customHeight="1" x14ac:dyDescent="0.2">
      <c r="B50" s="208" t="s">
        <v>59</v>
      </c>
      <c r="C50" s="199">
        <v>18333</v>
      </c>
      <c r="D50" s="391">
        <v>85</v>
      </c>
      <c r="E50" s="200">
        <f t="shared" si="12"/>
        <v>18248</v>
      </c>
      <c r="F50" s="201">
        <v>5400</v>
      </c>
      <c r="G50" s="201">
        <v>1680</v>
      </c>
      <c r="H50" s="202">
        <f t="shared" si="13"/>
        <v>7080</v>
      </c>
      <c r="I50" s="201">
        <v>177888.40000000002</v>
      </c>
      <c r="J50" s="201">
        <v>5379.3</v>
      </c>
      <c r="K50" s="200">
        <f t="shared" si="14"/>
        <v>183267.7</v>
      </c>
      <c r="L50" s="36">
        <f t="shared" si="15"/>
        <v>0.29592284085927223</v>
      </c>
      <c r="M50" s="20">
        <f t="shared" si="16"/>
        <v>32.942296296296298</v>
      </c>
      <c r="N50" s="37">
        <f t="shared" si="17"/>
        <v>0.25468865281333486</v>
      </c>
      <c r="O50" s="20">
        <v>2481.2307692307691</v>
      </c>
      <c r="P50" s="14">
        <f t="shared" si="18"/>
        <v>88.664062500000014</v>
      </c>
      <c r="Q50" s="15">
        <f t="shared" si="19"/>
        <v>6.8526057217969134</v>
      </c>
      <c r="R50" s="16"/>
    </row>
    <row r="51" spans="1:18" ht="15.75" customHeight="1" x14ac:dyDescent="0.2">
      <c r="B51" s="208" t="s">
        <v>57</v>
      </c>
      <c r="C51" s="199">
        <v>11835</v>
      </c>
      <c r="D51" s="391">
        <v>119</v>
      </c>
      <c r="E51" s="200">
        <f t="shared" si="12"/>
        <v>11716</v>
      </c>
      <c r="F51" s="201">
        <v>4220</v>
      </c>
      <c r="G51" s="201">
        <v>1560</v>
      </c>
      <c r="H51" s="202">
        <f t="shared" si="13"/>
        <v>5780</v>
      </c>
      <c r="I51" s="201">
        <v>158699</v>
      </c>
      <c r="J51" s="201">
        <v>5327.59</v>
      </c>
      <c r="K51" s="200">
        <f t="shared" si="14"/>
        <v>164026.59</v>
      </c>
      <c r="L51" s="36">
        <f t="shared" si="15"/>
        <v>0.36019119153294638</v>
      </c>
      <c r="M51" s="20">
        <f t="shared" si="16"/>
        <v>37.606398104265402</v>
      </c>
      <c r="N51" s="37">
        <f t="shared" si="17"/>
        <v>0.2907484889392532</v>
      </c>
      <c r="O51" s="20">
        <v>2481.2307692307691</v>
      </c>
      <c r="P51" s="14">
        <f t="shared" si="18"/>
        <v>57.237723214285722</v>
      </c>
      <c r="Q51" s="15">
        <f t="shared" si="19"/>
        <v>6.1331568473922911</v>
      </c>
    </row>
    <row r="52" spans="1:18" ht="15.75" customHeight="1" x14ac:dyDescent="0.2">
      <c r="B52" s="208" t="s">
        <v>64</v>
      </c>
      <c r="C52" s="199">
        <v>15916</v>
      </c>
      <c r="D52" s="391">
        <v>190</v>
      </c>
      <c r="E52" s="200">
        <f t="shared" si="12"/>
        <v>15726</v>
      </c>
      <c r="F52" s="201">
        <v>9050</v>
      </c>
      <c r="G52" s="201">
        <v>3220</v>
      </c>
      <c r="H52" s="202">
        <f t="shared" si="13"/>
        <v>12270</v>
      </c>
      <c r="I52" s="201">
        <v>320564.32999999996</v>
      </c>
      <c r="J52" s="201">
        <v>10482.75</v>
      </c>
      <c r="K52" s="200">
        <f t="shared" si="14"/>
        <v>331047.07999999996</v>
      </c>
      <c r="L52" s="36">
        <f t="shared" si="15"/>
        <v>0.57548009665522071</v>
      </c>
      <c r="M52" s="20">
        <f t="shared" si="16"/>
        <v>35.42147292817679</v>
      </c>
      <c r="N52" s="37">
        <f t="shared" si="17"/>
        <v>0.27385605240141198</v>
      </c>
      <c r="O52" s="20">
        <v>5009.7230769230764</v>
      </c>
      <c r="P52" s="14">
        <f t="shared" si="18"/>
        <v>38.124262971698116</v>
      </c>
      <c r="Q52" s="15">
        <f t="shared" si="19"/>
        <v>6.1307416416700704</v>
      </c>
      <c r="R52" s="16" t="s">
        <v>118</v>
      </c>
    </row>
    <row r="53" spans="1:18" ht="15.75" customHeight="1" x14ac:dyDescent="0.2">
      <c r="B53" s="387" t="s">
        <v>63</v>
      </c>
      <c r="C53" s="392">
        <v>17143</v>
      </c>
      <c r="D53" s="393">
        <v>50</v>
      </c>
      <c r="E53" s="359">
        <f t="shared" si="12"/>
        <v>17093</v>
      </c>
      <c r="F53" s="394">
        <v>2380</v>
      </c>
      <c r="G53" s="394">
        <v>4640</v>
      </c>
      <c r="H53" s="357">
        <f t="shared" si="13"/>
        <v>7020</v>
      </c>
      <c r="I53" s="394">
        <v>93174.51999999999</v>
      </c>
      <c r="J53" s="394">
        <v>15853.45</v>
      </c>
      <c r="K53" s="359">
        <f t="shared" si="14"/>
        <v>109027.96999999999</v>
      </c>
      <c r="L53" s="360">
        <f t="shared" si="15"/>
        <v>0.13923828467793833</v>
      </c>
      <c r="M53" s="244">
        <f t="shared" si="16"/>
        <v>39.14895798319327</v>
      </c>
      <c r="N53" s="37">
        <f t="shared" si="17"/>
        <v>0.30267457004526915</v>
      </c>
      <c r="O53" s="244">
        <v>2481.2307692307691</v>
      </c>
      <c r="P53" s="14">
        <f t="shared" si="18"/>
        <v>82.908854166666671</v>
      </c>
      <c r="Q53" s="15">
        <f t="shared" si="19"/>
        <v>4.0766904973320557</v>
      </c>
    </row>
    <row r="54" spans="1:18" ht="15.75" customHeight="1" thickBot="1" x14ac:dyDescent="0.25">
      <c r="B54" s="270" t="s">
        <v>35</v>
      </c>
      <c r="C54" s="389">
        <f>SUM(C25:C53)</f>
        <v>788324</v>
      </c>
      <c r="D54" s="389">
        <f t="shared" ref="D54:K54" si="20">SUM(D25:D53)</f>
        <v>4085</v>
      </c>
      <c r="E54" s="389">
        <f t="shared" si="20"/>
        <v>784239</v>
      </c>
      <c r="F54" s="389">
        <f t="shared" si="20"/>
        <v>511440</v>
      </c>
      <c r="G54" s="389">
        <f t="shared" si="20"/>
        <v>67300</v>
      </c>
      <c r="H54" s="389">
        <f t="shared" si="20"/>
        <v>578740</v>
      </c>
      <c r="I54" s="389">
        <f t="shared" si="20"/>
        <v>18439804.919999998</v>
      </c>
      <c r="J54" s="389">
        <f t="shared" si="20"/>
        <v>224189.72000000003</v>
      </c>
      <c r="K54" s="389">
        <f t="shared" si="20"/>
        <v>18663994.639999997</v>
      </c>
      <c r="L54" s="471">
        <f t="shared" ref="L54" si="21">F54/E54</f>
        <v>0.65214813341341094</v>
      </c>
      <c r="M54" s="39">
        <f t="shared" ref="M54" si="22">I54/F54</f>
        <v>36.054678789300795</v>
      </c>
      <c r="N54" s="212">
        <f t="shared" si="17"/>
        <v>0.27875159296338886</v>
      </c>
      <c r="O54" s="39">
        <f>SUM(O25:O53)</f>
        <v>106988.30769230766</v>
      </c>
      <c r="P54" s="40">
        <f>(C54/O54)*12</f>
        <v>88.419830204307033</v>
      </c>
      <c r="Q54" s="473">
        <f t="shared" si="19"/>
        <v>16.184722451673807</v>
      </c>
    </row>
    <row r="55" spans="1:18" ht="17.25" customHeight="1" thickTop="1" thickBot="1" x14ac:dyDescent="0.25">
      <c r="B55" s="26" t="s">
        <v>36</v>
      </c>
      <c r="C55" s="42"/>
      <c r="D55" s="28">
        <f>D54/C54</f>
        <v>5.1818795317661263E-3</v>
      </c>
      <c r="E55" s="28">
        <f>E54/C54</f>
        <v>0.99481812046823392</v>
      </c>
      <c r="F55" s="30"/>
      <c r="G55" s="30"/>
      <c r="H55" s="30"/>
      <c r="I55" s="30"/>
      <c r="J55" s="30"/>
      <c r="K55" s="30"/>
      <c r="L55" s="32"/>
      <c r="M55" s="30"/>
      <c r="N55" s="43"/>
      <c r="O55" s="34"/>
      <c r="P55" s="34"/>
      <c r="Q55" s="34"/>
    </row>
    <row r="56" spans="1:18" ht="18.75" customHeight="1" thickTop="1" x14ac:dyDescent="0.2">
      <c r="M56" s="45"/>
      <c r="N56" s="46"/>
      <c r="O56" s="47"/>
    </row>
    <row r="57" spans="1:18" s="48" customFormat="1" ht="15" customHeight="1" thickBot="1" x14ac:dyDescent="0.25">
      <c r="B57" s="49" t="s">
        <v>68</v>
      </c>
      <c r="C57" s="50">
        <f t="shared" ref="C57:K57" si="23">C22+C54</f>
        <v>1910357</v>
      </c>
      <c r="D57" s="51">
        <f t="shared" si="23"/>
        <v>9790</v>
      </c>
      <c r="E57" s="51">
        <f t="shared" si="23"/>
        <v>1900567</v>
      </c>
      <c r="F57" s="52">
        <f t="shared" si="23"/>
        <v>1370795</v>
      </c>
      <c r="G57" s="52">
        <f t="shared" si="23"/>
        <v>314200</v>
      </c>
      <c r="H57" s="52">
        <f t="shared" si="23"/>
        <v>1684995</v>
      </c>
      <c r="I57" s="52">
        <f t="shared" si="23"/>
        <v>31792432.309999995</v>
      </c>
      <c r="J57" s="52">
        <f t="shared" si="23"/>
        <v>968319.24</v>
      </c>
      <c r="K57" s="52">
        <f t="shared" si="23"/>
        <v>32760751.549999997</v>
      </c>
      <c r="L57" s="471">
        <f>F57/(E57)</f>
        <v>0.72125581471213596</v>
      </c>
      <c r="M57" s="53">
        <f>I57/F57</f>
        <v>23.192696435280254</v>
      </c>
      <c r="N57" s="212">
        <f>M57/129.3434</f>
        <v>0.17931101575557976</v>
      </c>
      <c r="O57" s="52">
        <f>O54+O22</f>
        <v>193940.67692307686</v>
      </c>
      <c r="P57" s="25">
        <f>(C57/O57)*12</f>
        <v>118.20255741962021</v>
      </c>
      <c r="Q57" s="473">
        <f>(K57*12/O57)/129.3434</f>
        <v>15.671909756410699</v>
      </c>
    </row>
    <row r="58" spans="1:18" ht="16.5" customHeight="1" thickTop="1" thickBot="1" x14ac:dyDescent="0.25">
      <c r="B58" s="26" t="s">
        <v>36</v>
      </c>
      <c r="C58" s="54"/>
      <c r="D58" s="55">
        <f>D57/C57</f>
        <v>5.1246965881246278E-3</v>
      </c>
      <c r="E58" s="55">
        <f>E57/C57</f>
        <v>0.99487530341187536</v>
      </c>
      <c r="G58" s="56"/>
      <c r="N58" s="46"/>
    </row>
    <row r="59" spans="1:18" ht="16.5" customHeight="1" thickTop="1" x14ac:dyDescent="0.2">
      <c r="G59" s="57"/>
      <c r="H59" s="45"/>
      <c r="O59" s="211"/>
    </row>
    <row r="60" spans="1:18" s="16" customFormat="1" ht="15" customHeight="1" x14ac:dyDescent="0.25">
      <c r="B60" s="48" t="s">
        <v>69</v>
      </c>
      <c r="C60" s="47"/>
      <c r="F60" s="47"/>
      <c r="G60" s="58"/>
      <c r="I60" s="59"/>
      <c r="J60" s="59"/>
      <c r="K60" s="59"/>
      <c r="L60" s="38"/>
      <c r="M60" s="60"/>
      <c r="N60"/>
      <c r="O60" s="129"/>
      <c r="P60"/>
      <c r="Q60" s="61"/>
    </row>
    <row r="61" spans="1:18" ht="16.5" customHeight="1" x14ac:dyDescent="0.25">
      <c r="A61" s="16">
        <v>1</v>
      </c>
      <c r="B61" s="16" t="s">
        <v>70</v>
      </c>
      <c r="E61" s="16"/>
      <c r="N61"/>
      <c r="O61"/>
      <c r="P61"/>
      <c r="Q61" s="62"/>
    </row>
    <row r="62" spans="1:18" ht="16.5" customHeight="1" x14ac:dyDescent="0.25">
      <c r="A62" s="16">
        <v>2</v>
      </c>
      <c r="B62" s="16" t="s">
        <v>131</v>
      </c>
      <c r="C62" s="47"/>
      <c r="E62" s="16"/>
      <c r="N62"/>
      <c r="O62"/>
      <c r="P62"/>
    </row>
    <row r="63" spans="1:18" ht="16.5" customHeight="1" x14ac:dyDescent="0.2">
      <c r="A63" s="16">
        <v>3</v>
      </c>
      <c r="B63" s="16" t="s">
        <v>132</v>
      </c>
      <c r="C63" s="47"/>
      <c r="E63" s="16"/>
    </row>
    <row r="64" spans="1:18" ht="16.5" customHeight="1" x14ac:dyDescent="0.2">
      <c r="A64" s="16">
        <v>4</v>
      </c>
      <c r="B64" s="16" t="s">
        <v>133</v>
      </c>
      <c r="C64" s="47"/>
      <c r="E64" s="16"/>
    </row>
    <row r="65" spans="1:5" ht="16.5" customHeight="1" x14ac:dyDescent="0.2">
      <c r="A65" s="16">
        <v>5</v>
      </c>
      <c r="B65" s="16" t="s">
        <v>134</v>
      </c>
      <c r="C65" s="47"/>
      <c r="E65" s="16"/>
    </row>
    <row r="66" spans="1:5" ht="16.5" customHeight="1" x14ac:dyDescent="0.2">
      <c r="A66" s="16">
        <v>6</v>
      </c>
      <c r="B66" s="16" t="s">
        <v>135</v>
      </c>
      <c r="C66" s="47"/>
      <c r="E66" s="16"/>
    </row>
    <row r="67" spans="1:5" ht="16.5" customHeight="1" x14ac:dyDescent="0.2">
      <c r="A67" s="1">
        <v>7</v>
      </c>
      <c r="B67" s="16" t="s">
        <v>136</v>
      </c>
    </row>
    <row r="68" spans="1:5" ht="16.5" customHeight="1" x14ac:dyDescent="0.2"/>
    <row r="69" spans="1:5" ht="16.5" customHeight="1" x14ac:dyDescent="0.2">
      <c r="B69" s="216" t="s">
        <v>108</v>
      </c>
      <c r="C69" s="217" t="s">
        <v>93</v>
      </c>
    </row>
    <row r="70" spans="1:5" ht="16.5" customHeight="1" x14ac:dyDescent="0.2">
      <c r="B70" s="10" t="s">
        <v>103</v>
      </c>
      <c r="C70" s="14">
        <f>O22</f>
        <v>86952.369230769211</v>
      </c>
    </row>
    <row r="71" spans="1:5" ht="16.5" customHeight="1" x14ac:dyDescent="0.2">
      <c r="B71" s="10" t="s">
        <v>106</v>
      </c>
      <c r="C71" s="14">
        <f>O54</f>
        <v>106988.30769230766</v>
      </c>
    </row>
    <row r="72" spans="1:5" ht="16.5" customHeight="1" x14ac:dyDescent="0.2">
      <c r="B72" s="188" t="s">
        <v>67</v>
      </c>
      <c r="C72" s="213">
        <v>1612.8</v>
      </c>
    </row>
    <row r="73" spans="1:5" ht="16.5" customHeight="1" x14ac:dyDescent="0.2">
      <c r="B73" s="188" t="s">
        <v>107</v>
      </c>
      <c r="C73" s="214">
        <v>2171.0769230769229</v>
      </c>
    </row>
    <row r="74" spans="1:5" ht="16.5" customHeight="1" thickBot="1" x14ac:dyDescent="0.25">
      <c r="B74" s="189" t="s">
        <v>101</v>
      </c>
      <c r="C74" s="215">
        <f>SUM(C70:C73)</f>
        <v>197724.55384615378</v>
      </c>
    </row>
    <row r="75" spans="1:5" ht="16.5" customHeight="1" thickTop="1" x14ac:dyDescent="0.2"/>
    <row r="76" spans="1:5" ht="16.5" customHeight="1" x14ac:dyDescent="0.2"/>
    <row r="77" spans="1:5" ht="16.5" customHeight="1" x14ac:dyDescent="0.2"/>
    <row r="78" spans="1:5" ht="16.5" customHeight="1" x14ac:dyDescent="0.2"/>
    <row r="79" spans="1:5" ht="16.5" customHeight="1" x14ac:dyDescent="0.2"/>
    <row r="80" spans="1:5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</sheetData>
  <mergeCells count="5">
    <mergeCell ref="B1:Q1"/>
    <mergeCell ref="B2:Q2"/>
    <mergeCell ref="B3:Q3"/>
    <mergeCell ref="B5:Q5"/>
    <mergeCell ref="B24:Q24"/>
  </mergeCells>
  <conditionalFormatting sqref="P6:P21">
    <cfRule type="cellIs" dxfId="50" priority="2" operator="between">
      <formula>0</formula>
      <formula>140</formula>
    </cfRule>
  </conditionalFormatting>
  <conditionalFormatting sqref="P25:P53">
    <cfRule type="cellIs" dxfId="49" priority="1" operator="between">
      <formula>0</formula>
      <formula>79</formula>
    </cfRule>
  </conditionalFormatting>
  <conditionalFormatting sqref="P54">
    <cfRule type="cellIs" dxfId="48" priority="7" operator="between">
      <formula>0</formula>
      <formula>79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S111"/>
  <sheetViews>
    <sheetView workbookViewId="0">
      <pane ySplit="4" topLeftCell="A38" activePane="bottomLeft" state="frozen"/>
      <selection pane="bottomLeft" activeCell="L48" sqref="L48:L49"/>
    </sheetView>
  </sheetViews>
  <sheetFormatPr defaultColWidth="9.140625" defaultRowHeight="12" x14ac:dyDescent="0.2"/>
  <cols>
    <col min="1" max="1" width="2" style="1" customWidth="1"/>
    <col min="2" max="2" width="31.42578125" style="1" customWidth="1"/>
    <col min="3" max="3" width="10.5703125" style="44" customWidth="1"/>
    <col min="4" max="4" width="8.7109375" style="1" customWidth="1"/>
    <col min="5" max="5" width="10.140625" style="1" customWidth="1"/>
    <col min="6" max="6" width="10" style="44" customWidth="1"/>
    <col min="7" max="7" width="9.28515625" style="1" customWidth="1"/>
    <col min="8" max="8" width="9.85546875" style="1" customWidth="1"/>
    <col min="9" max="9" width="11.7109375" style="45" customWidth="1"/>
    <col min="10" max="10" width="10" style="45" customWidth="1"/>
    <col min="11" max="11" width="11.140625" style="45" customWidth="1"/>
    <col min="12" max="12" width="7.7109375" style="1" customWidth="1"/>
    <col min="13" max="13" width="8.85546875" style="1" customWidth="1"/>
    <col min="14" max="14" width="9.7109375" style="1" customWidth="1"/>
    <col min="15" max="15" width="9.5703125" style="1" customWidth="1"/>
    <col min="16" max="16" width="9.7109375" style="47" customWidth="1"/>
    <col min="17" max="17" width="9.85546875" style="16" customWidth="1"/>
    <col min="18" max="16384" width="9.140625" style="1"/>
  </cols>
  <sheetData>
    <row r="1" spans="2:19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9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9" ht="15" x14ac:dyDescent="0.25">
      <c r="B3" s="622">
        <v>45777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9" ht="35.2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7" t="s">
        <v>15</v>
      </c>
      <c r="P4" s="8" t="s">
        <v>16</v>
      </c>
      <c r="Q4" s="9" t="s">
        <v>17</v>
      </c>
    </row>
    <row r="5" spans="2:19" ht="16.5" customHeight="1" thickBot="1" x14ac:dyDescent="0.3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9" s="16" customFormat="1" ht="15.75" customHeight="1" x14ac:dyDescent="0.2">
      <c r="B6" s="228" t="s">
        <v>29</v>
      </c>
      <c r="C6" s="229">
        <f>'April 2025 - Prodn &amp; Sales'!C6</f>
        <v>34870</v>
      </c>
      <c r="D6" s="229">
        <f>'April 2025 - Prodn &amp; Sales'!D6</f>
        <v>285</v>
      </c>
      <c r="E6" s="229">
        <f>'April 2025 - Prodn &amp; Sales'!E6</f>
        <v>34585</v>
      </c>
      <c r="F6" s="229">
        <f>'April 2025 - Prodn &amp; Sales'!F6</f>
        <v>37510</v>
      </c>
      <c r="G6" s="229">
        <f>'April 2025 - Prodn &amp; Sales'!G6</f>
        <v>600</v>
      </c>
      <c r="H6" s="229">
        <f>'April 2025 - Prodn &amp; Sales'!H6</f>
        <v>38110</v>
      </c>
      <c r="I6" s="229">
        <f>'April 2025 - Prodn &amp; Sales'!I6</f>
        <v>544906.37</v>
      </c>
      <c r="J6" s="229">
        <f>'April 2025 - Prodn &amp; Sales'!J6</f>
        <v>1810.35</v>
      </c>
      <c r="K6" s="229">
        <f>'April 2025 - Prodn &amp; Sales'!K6</f>
        <v>546716.72</v>
      </c>
      <c r="L6" s="626">
        <f>(F6+F7)/(E6+E7)</f>
        <v>0.91571507430538268</v>
      </c>
      <c r="M6" s="230">
        <f>I6/F6</f>
        <v>14.526962676619569</v>
      </c>
      <c r="N6" s="231">
        <f t="shared" ref="N6:N22" si="0">M6/129.3434</f>
        <v>0.11231313446700464</v>
      </c>
      <c r="O6" s="232">
        <f>'Jan 2025-Prodn &amp; Sales Analysis'!O6</f>
        <v>2109.0461538461541</v>
      </c>
      <c r="P6" s="233">
        <f>C6/O6*12</f>
        <v>198.40248599439775</v>
      </c>
      <c r="Q6" s="628">
        <f>(K6+K7)*12/(O6+O7)/129.3434</f>
        <v>22.031818927781167</v>
      </c>
    </row>
    <row r="7" spans="2:19" s="16" customFormat="1" ht="15.75" customHeight="1" thickBot="1" x14ac:dyDescent="0.25">
      <c r="B7" s="234" t="s">
        <v>19</v>
      </c>
      <c r="C7" s="235">
        <f>'April 2025 - Prodn &amp; Sales'!C9</f>
        <v>58102</v>
      </c>
      <c r="D7" s="235">
        <f>'April 2025 - Prodn &amp; Sales'!D9</f>
        <v>298</v>
      </c>
      <c r="E7" s="235">
        <f>'April 2025 - Prodn &amp; Sales'!E9</f>
        <v>57804</v>
      </c>
      <c r="F7" s="235">
        <f>'April 2025 - Prodn &amp; Sales'!F9</f>
        <v>47092</v>
      </c>
      <c r="G7" s="235">
        <f>'April 2025 - Prodn &amp; Sales'!G9</f>
        <v>7960</v>
      </c>
      <c r="H7" s="235">
        <f>'April 2025 - Prodn &amp; Sales'!H9</f>
        <v>55052</v>
      </c>
      <c r="I7" s="235">
        <f>'April 2025 - Prodn &amp; Sales'!I9</f>
        <v>725559.16999999993</v>
      </c>
      <c r="J7" s="235">
        <f>'April 2025 - Prodn &amp; Sales'!J9</f>
        <v>24017.24</v>
      </c>
      <c r="K7" s="235">
        <f>'April 2025 - Prodn &amp; Sales'!K9</f>
        <v>749576.40999999992</v>
      </c>
      <c r="L7" s="627"/>
      <c r="M7" s="236">
        <f>I7/F7</f>
        <v>15.407270236982926</v>
      </c>
      <c r="N7" s="237">
        <f t="shared" si="0"/>
        <v>0.11911910647920904</v>
      </c>
      <c r="O7" s="238">
        <f>'Jan 2025-Prodn &amp; Sales Analysis'!O13</f>
        <v>3349.6615384615388</v>
      </c>
      <c r="P7" s="239">
        <f>C7/O7*12</f>
        <v>208.14759700176364</v>
      </c>
      <c r="Q7" s="629"/>
    </row>
    <row r="8" spans="2:19" s="16" customFormat="1" ht="15.75" customHeight="1" thickBot="1" x14ac:dyDescent="0.25">
      <c r="B8" s="249" t="s">
        <v>21</v>
      </c>
      <c r="C8" s="250">
        <f>'April 2025 - Prodn &amp; Sales'!C10</f>
        <v>61653</v>
      </c>
      <c r="D8" s="250">
        <f>'April 2025 - Prodn &amp; Sales'!D10</f>
        <v>369</v>
      </c>
      <c r="E8" s="250">
        <f>'April 2025 - Prodn &amp; Sales'!E10</f>
        <v>61284</v>
      </c>
      <c r="F8" s="250">
        <f>'April 2025 - Prodn &amp; Sales'!F10</f>
        <v>56695</v>
      </c>
      <c r="G8" s="250">
        <f>'April 2025 - Prodn &amp; Sales'!G10</f>
        <v>3100</v>
      </c>
      <c r="H8" s="250">
        <f>'April 2025 - Prodn &amp; Sales'!H10</f>
        <v>59795</v>
      </c>
      <c r="I8" s="250">
        <f>'April 2025 - Prodn &amp; Sales'!I10</f>
        <v>1120135.31</v>
      </c>
      <c r="J8" s="250">
        <f>'April 2025 - Prodn &amp; Sales'!J10</f>
        <v>9508.6299999999992</v>
      </c>
      <c r="K8" s="250">
        <f>'April 2025 - Prodn &amp; Sales'!K10</f>
        <v>1129643.94</v>
      </c>
      <c r="L8" s="251">
        <f>F8/E8</f>
        <v>0.92511911755107368</v>
      </c>
      <c r="M8" s="252">
        <f>I8/F8</f>
        <v>19.757215098333187</v>
      </c>
      <c r="N8" s="227">
        <f t="shared" si="0"/>
        <v>0.15275008309920093</v>
      </c>
      <c r="O8" s="253">
        <f>'Jan 2025-Prodn &amp; Sales Analysis'!O14</f>
        <v>4794.0923076923082</v>
      </c>
      <c r="P8" s="253">
        <f>C8/O8*12</f>
        <v>154.32243530499073</v>
      </c>
      <c r="Q8" s="325">
        <f>(K8*12/O8)/129.3434</f>
        <v>21.861107414223582</v>
      </c>
    </row>
    <row r="9" spans="2:19" s="16" customFormat="1" ht="15.75" customHeight="1" x14ac:dyDescent="0.2">
      <c r="B9" s="240" t="s">
        <v>27</v>
      </c>
      <c r="C9" s="229">
        <f>'April 2025 - Prodn &amp; Sales'!C7</f>
        <v>152570</v>
      </c>
      <c r="D9" s="229">
        <f>'April 2025 - Prodn &amp; Sales'!D7</f>
        <v>492</v>
      </c>
      <c r="E9" s="229">
        <f>'April 2025 - Prodn &amp; Sales'!E7</f>
        <v>152078</v>
      </c>
      <c r="F9" s="229">
        <f>'April 2025 - Prodn &amp; Sales'!F7</f>
        <v>119779</v>
      </c>
      <c r="G9" s="229">
        <f>'April 2025 - Prodn &amp; Sales'!G7</f>
        <v>14460</v>
      </c>
      <c r="H9" s="229">
        <f>'April 2025 - Prodn &amp; Sales'!H7</f>
        <v>134239</v>
      </c>
      <c r="I9" s="229">
        <f>'April 2025 - Prodn &amp; Sales'!I7</f>
        <v>1972178.7400000002</v>
      </c>
      <c r="J9" s="229">
        <f>'April 2025 - Prodn &amp; Sales'!J7</f>
        <v>44586.25</v>
      </c>
      <c r="K9" s="229">
        <f>'April 2025 - Prodn &amp; Sales'!K7</f>
        <v>2016764.9900000002</v>
      </c>
      <c r="L9" s="626">
        <f>(F9+F10)/(E9+E10)</f>
        <v>0.80811757819703811</v>
      </c>
      <c r="M9" s="230">
        <f t="shared" ref="M9:M20" si="1">I9/F9</f>
        <v>16.465146144148811</v>
      </c>
      <c r="N9" s="231">
        <f t="shared" si="0"/>
        <v>0.12729792277107924</v>
      </c>
      <c r="O9" s="232">
        <f>'Jan 2025-Prodn &amp; Sales Analysis'!O8</f>
        <v>8684.3076923076933</v>
      </c>
      <c r="P9" s="233">
        <f t="shared" ref="P9:P20" si="2">C9/O9*12</f>
        <v>210.82164115646253</v>
      </c>
      <c r="Q9" s="628">
        <f>(K9+K10)*12/(O9+O10)/129.3434</f>
        <v>21.287908998330987</v>
      </c>
    </row>
    <row r="10" spans="2:19" s="16" customFormat="1" ht="15.75" customHeight="1" thickBot="1" x14ac:dyDescent="0.25">
      <c r="B10" s="241" t="s">
        <v>34</v>
      </c>
      <c r="C10" s="242">
        <f>'April 2025 - Prodn &amp; Sales'!C8</f>
        <v>97656</v>
      </c>
      <c r="D10" s="242">
        <f>'April 2025 - Prodn &amp; Sales'!D8</f>
        <v>300</v>
      </c>
      <c r="E10" s="242">
        <f>'April 2025 - Prodn &amp; Sales'!E8</f>
        <v>97356</v>
      </c>
      <c r="F10" s="242">
        <f>'April 2025 - Prodn &amp; Sales'!F8</f>
        <v>81793</v>
      </c>
      <c r="G10" s="242">
        <f>'April 2025 - Prodn &amp; Sales'!G8</f>
        <v>10060</v>
      </c>
      <c r="H10" s="242">
        <f>'April 2025 - Prodn &amp; Sales'!H8</f>
        <v>91853</v>
      </c>
      <c r="I10" s="242">
        <f>'April 2025 - Prodn &amp; Sales'!I8</f>
        <v>1169408.49</v>
      </c>
      <c r="J10" s="242">
        <f>'April 2025 - Prodn &amp; Sales'!J8</f>
        <v>30534.51</v>
      </c>
      <c r="K10" s="242">
        <f>'April 2025 - Prodn &amp; Sales'!K8</f>
        <v>1199943</v>
      </c>
      <c r="L10" s="627"/>
      <c r="M10" s="243">
        <f t="shared" si="1"/>
        <v>14.297170784785983</v>
      </c>
      <c r="N10" s="237">
        <f t="shared" si="0"/>
        <v>0.1105365313172994</v>
      </c>
      <c r="O10" s="238">
        <f>'Jan 2025-Prodn &amp; Sales Analysis'!O9</f>
        <v>5334.6461538461526</v>
      </c>
      <c r="P10" s="239">
        <f t="shared" si="2"/>
        <v>219.67192691029908</v>
      </c>
      <c r="Q10" s="629"/>
    </row>
    <row r="11" spans="2:19" s="16" customFormat="1" ht="15.75" customHeight="1" thickBot="1" x14ac:dyDescent="0.25">
      <c r="B11" s="10" t="s">
        <v>32</v>
      </c>
      <c r="C11" s="20">
        <f>'April 2025 - Prodn &amp; Sales'!C12</f>
        <v>54150</v>
      </c>
      <c r="D11" s="20">
        <f>'April 2025 - Prodn &amp; Sales'!D12</f>
        <v>717</v>
      </c>
      <c r="E11" s="20">
        <f>'April 2025 - Prodn &amp; Sales'!E12</f>
        <v>53433</v>
      </c>
      <c r="F11" s="20">
        <f>'April 2025 - Prodn &amp; Sales'!F12</f>
        <v>44591</v>
      </c>
      <c r="G11" s="20">
        <f>'April 2025 - Prodn &amp; Sales'!G12</f>
        <v>5080</v>
      </c>
      <c r="H11" s="20">
        <f>'April 2025 - Prodn &amp; Sales'!H12</f>
        <v>49671</v>
      </c>
      <c r="I11" s="20">
        <f>'April 2025 - Prodn &amp; Sales'!I12</f>
        <v>1012765.98</v>
      </c>
      <c r="J11" s="20">
        <f>'April 2025 - Prodn &amp; Sales'!J12</f>
        <v>15327.6</v>
      </c>
      <c r="K11" s="20">
        <f>'April 2025 - Prodn &amp; Sales'!K12</f>
        <v>1028093.58</v>
      </c>
      <c r="L11" s="226">
        <f>F11/E11</f>
        <v>0.83452173750304115</v>
      </c>
      <c r="M11" s="12">
        <f t="shared" si="1"/>
        <v>22.712340606848915</v>
      </c>
      <c r="N11" s="227">
        <f t="shared" si="0"/>
        <v>0.17559721336263709</v>
      </c>
      <c r="O11" s="14">
        <f>'Jan 2025-Prodn &amp; Sales Analysis'!O12</f>
        <v>4962.4615384615381</v>
      </c>
      <c r="P11" s="14">
        <f t="shared" si="2"/>
        <v>130.94308035714286</v>
      </c>
      <c r="Q11" s="218">
        <f>(K11*12/O11)/129.3434</f>
        <v>19.220844559217664</v>
      </c>
    </row>
    <row r="12" spans="2:19" s="16" customFormat="1" ht="15.75" customHeight="1" x14ac:dyDescent="0.2">
      <c r="B12" s="254" t="s">
        <v>28</v>
      </c>
      <c r="C12" s="229">
        <f>'April 2025 - Prodn &amp; Sales'!C16</f>
        <v>102761</v>
      </c>
      <c r="D12" s="229">
        <f>'April 2025 - Prodn &amp; Sales'!D16</f>
        <v>480</v>
      </c>
      <c r="E12" s="229">
        <f>'April 2025 - Prodn &amp; Sales'!E16</f>
        <v>102281</v>
      </c>
      <c r="F12" s="229">
        <f>'April 2025 - Prodn &amp; Sales'!F16</f>
        <v>90099</v>
      </c>
      <c r="G12" s="229">
        <f>'April 2025 - Prodn &amp; Sales'!G16</f>
        <v>23040</v>
      </c>
      <c r="H12" s="229">
        <f>'April 2025 - Prodn &amp; Sales'!H16</f>
        <v>113139</v>
      </c>
      <c r="I12" s="229">
        <f>'April 2025 - Prodn &amp; Sales'!I16</f>
        <v>1281833.51</v>
      </c>
      <c r="J12" s="229">
        <f>'April 2025 - Prodn &amp; Sales'!J16</f>
        <v>71767.25</v>
      </c>
      <c r="K12" s="229">
        <f>'April 2025 - Prodn &amp; Sales'!K16</f>
        <v>1353600.76</v>
      </c>
      <c r="L12" s="626">
        <f>(F12+F13)/(C12+C13)</f>
        <v>0.91275130481182365</v>
      </c>
      <c r="M12" s="230">
        <f t="shared" si="1"/>
        <v>14.226944916147794</v>
      </c>
      <c r="N12" s="231">
        <f t="shared" si="0"/>
        <v>0.10999359005676203</v>
      </c>
      <c r="O12" s="232">
        <f>'Jan 2025-Prodn &amp; Sales Analysis'!O11</f>
        <v>10048.984615384614</v>
      </c>
      <c r="P12" s="233">
        <f t="shared" si="2"/>
        <v>122.71209950029396</v>
      </c>
      <c r="Q12" s="628">
        <f>(K12+K13)*12/(O12+O13)/129.3434</f>
        <v>12.855363829535751</v>
      </c>
    </row>
    <row r="13" spans="2:19" s="16" customFormat="1" ht="15.75" customHeight="1" thickBot="1" x14ac:dyDescent="0.25">
      <c r="B13" s="341" t="s">
        <v>30</v>
      </c>
      <c r="C13" s="242">
        <f>'April 2025 - Prodn &amp; Sales'!C14</f>
        <v>77150</v>
      </c>
      <c r="D13" s="242">
        <f>'April 2025 - Prodn &amp; Sales'!D14</f>
        <v>379</v>
      </c>
      <c r="E13" s="242">
        <f>'April 2025 - Prodn &amp; Sales'!E14</f>
        <v>76771</v>
      </c>
      <c r="F13" s="242">
        <f>'April 2025 - Prodn &amp; Sales'!F14</f>
        <v>74115</v>
      </c>
      <c r="G13" s="242">
        <f>'April 2025 - Prodn &amp; Sales'!G14</f>
        <v>39980</v>
      </c>
      <c r="H13" s="242">
        <f>'April 2025 - Prodn &amp; Sales'!H14</f>
        <v>114095</v>
      </c>
      <c r="I13" s="242">
        <f>'April 2025 - Prodn &amp; Sales'!I14</f>
        <v>1083087.6800000002</v>
      </c>
      <c r="J13" s="242">
        <f>'April 2025 - Prodn &amp; Sales'!J14</f>
        <v>116077.61</v>
      </c>
      <c r="K13" s="242">
        <f>'April 2025 - Prodn &amp; Sales'!K14</f>
        <v>1199165.2900000003</v>
      </c>
      <c r="L13" s="627"/>
      <c r="M13" s="243">
        <f t="shared" si="1"/>
        <v>14.613609660662487</v>
      </c>
      <c r="N13" s="237">
        <f t="shared" si="0"/>
        <v>0.112983033232948</v>
      </c>
      <c r="O13" s="257">
        <f>'Jan 2025-Prodn &amp; Sales Analysis'!O7</f>
        <v>8374.1538461538439</v>
      </c>
      <c r="P13" s="239">
        <f t="shared" si="2"/>
        <v>110.55445326278664</v>
      </c>
      <c r="Q13" s="629"/>
      <c r="S13" s="58"/>
    </row>
    <row r="14" spans="2:19" s="16" customFormat="1" ht="15.75" customHeight="1" x14ac:dyDescent="0.2">
      <c r="B14" s="246" t="s">
        <v>25</v>
      </c>
      <c r="C14" s="229">
        <f>'April 2025 - Prodn &amp; Sales'!C11</f>
        <v>74492</v>
      </c>
      <c r="D14" s="229">
        <f>'April 2025 - Prodn &amp; Sales'!D11</f>
        <v>339</v>
      </c>
      <c r="E14" s="229">
        <f>'April 2025 - Prodn &amp; Sales'!E11</f>
        <v>74153</v>
      </c>
      <c r="F14" s="229">
        <f>'April 2025 - Prodn &amp; Sales'!F11</f>
        <v>60432</v>
      </c>
      <c r="G14" s="229">
        <f>'April 2025 - Prodn &amp; Sales'!G11</f>
        <v>10360</v>
      </c>
      <c r="H14" s="229">
        <f>'April 2025 - Prodn &amp; Sales'!H11</f>
        <v>70792</v>
      </c>
      <c r="I14" s="229">
        <f>'April 2025 - Prodn &amp; Sales'!I11</f>
        <v>969807.19</v>
      </c>
      <c r="J14" s="229">
        <f>'April 2025 - Prodn &amp; Sales'!J11</f>
        <v>31672.44</v>
      </c>
      <c r="K14" s="229">
        <f>'April 2025 - Prodn &amp; Sales'!K11</f>
        <v>1001479.6299999999</v>
      </c>
      <c r="L14" s="626">
        <f>(F14+F15)/(C14+C15)</f>
        <v>0.80929898388586674</v>
      </c>
      <c r="M14" s="230">
        <f t="shared" si="1"/>
        <v>16.047908227429176</v>
      </c>
      <c r="N14" s="231">
        <f t="shared" si="0"/>
        <v>0.12407210748618928</v>
      </c>
      <c r="O14" s="232">
        <f>'Jan 2025-Prodn &amp; Sales Analysis'!O15</f>
        <v>5371.8646153846139</v>
      </c>
      <c r="P14" s="233">
        <f t="shared" si="2"/>
        <v>166.4047893984384</v>
      </c>
      <c r="Q14" s="628">
        <f>(K14+K15)*12/(O14+O15)/129.3434</f>
        <v>13.795222414642407</v>
      </c>
    </row>
    <row r="15" spans="2:19" s="16" customFormat="1" ht="15.75" customHeight="1" thickBot="1" x14ac:dyDescent="0.25">
      <c r="B15" s="340" t="s">
        <v>31</v>
      </c>
      <c r="C15" s="242">
        <f>'April 2025 - Prodn &amp; Sales'!C20</f>
        <v>22938</v>
      </c>
      <c r="D15" s="242">
        <f>'April 2025 - Prodn &amp; Sales'!D20</f>
        <v>189</v>
      </c>
      <c r="E15" s="242">
        <f>'April 2025 - Prodn &amp; Sales'!E20</f>
        <v>22749</v>
      </c>
      <c r="F15" s="242">
        <f>'April 2025 - Prodn &amp; Sales'!F20</f>
        <v>18418</v>
      </c>
      <c r="G15" s="242">
        <f>'April 2025 - Prodn &amp; Sales'!G20</f>
        <v>460</v>
      </c>
      <c r="H15" s="242">
        <f>'April 2025 - Prodn &amp; Sales'!H20</f>
        <v>18878</v>
      </c>
      <c r="I15" s="242">
        <f>'April 2025 - Prodn &amp; Sales'!I20</f>
        <v>238624.53999999998</v>
      </c>
      <c r="J15" s="242">
        <f>'April 2025 - Prodn &amp; Sales'!J20</f>
        <v>1387.93</v>
      </c>
      <c r="K15" s="242">
        <f>'April 2025 - Prodn &amp; Sales'!K20</f>
        <v>240012.46999999997</v>
      </c>
      <c r="L15" s="627"/>
      <c r="M15" s="236">
        <f t="shared" si="1"/>
        <v>12.956050602671299</v>
      </c>
      <c r="N15" s="237">
        <f t="shared" si="0"/>
        <v>0.10016785241977015</v>
      </c>
      <c r="O15" s="238">
        <f>'Jan 2025-Prodn &amp; Sales Analysis'!O17</f>
        <v>2977.4769230769234</v>
      </c>
      <c r="P15" s="239">
        <f t="shared" si="2"/>
        <v>92.446056547619037</v>
      </c>
      <c r="Q15" s="629"/>
      <c r="R15" s="16" t="s">
        <v>118</v>
      </c>
    </row>
    <row r="16" spans="2:19" s="16" customFormat="1" ht="15.75" customHeight="1" thickBot="1" x14ac:dyDescent="0.25">
      <c r="B16" s="262" t="s">
        <v>20</v>
      </c>
      <c r="C16" s="229">
        <f>'April 2025 - Prodn &amp; Sales'!C13</f>
        <v>140800</v>
      </c>
      <c r="D16" s="229">
        <f>'April 2025 - Prodn &amp; Sales'!D13</f>
        <v>561</v>
      </c>
      <c r="E16" s="229">
        <f>'April 2025 - Prodn &amp; Sales'!E13</f>
        <v>140239</v>
      </c>
      <c r="F16" s="229">
        <f>'April 2025 - Prodn &amp; Sales'!F13</f>
        <v>98347</v>
      </c>
      <c r="G16" s="229">
        <f>'April 2025 - Prodn &amp; Sales'!G13</f>
        <v>64060</v>
      </c>
      <c r="H16" s="229">
        <f>'April 2025 - Prodn &amp; Sales'!H13</f>
        <v>162407</v>
      </c>
      <c r="I16" s="229">
        <f>'April 2025 - Prodn &amp; Sales'!I13</f>
        <v>1347862.5</v>
      </c>
      <c r="J16" s="229">
        <f>'April 2025 - Prodn &amp; Sales'!J13</f>
        <v>191836.23</v>
      </c>
      <c r="K16" s="229">
        <f>'April 2025 - Prodn &amp; Sales'!K13</f>
        <v>1539698.73</v>
      </c>
      <c r="L16" s="245">
        <f>F16/E16</f>
        <v>0.70128138392315975</v>
      </c>
      <c r="M16" s="470">
        <f t="shared" si="1"/>
        <v>13.705171484641118</v>
      </c>
      <c r="N16" s="469">
        <f t="shared" si="0"/>
        <v>0.10595957338867788</v>
      </c>
      <c r="O16" s="468">
        <f>'Jan 2025-Prodn &amp; Sales Analysis'!O10</f>
        <v>10545.230769230768</v>
      </c>
      <c r="P16" s="309">
        <f t="shared" si="2"/>
        <v>160.22408963585437</v>
      </c>
      <c r="Q16" s="399">
        <f>(K16*12/O16)/129.3434</f>
        <v>13.546173586239837</v>
      </c>
    </row>
    <row r="17" spans="2:17" s="16" customFormat="1" ht="15.75" customHeight="1" x14ac:dyDescent="0.2">
      <c r="B17" s="258" t="s">
        <v>24</v>
      </c>
      <c r="C17" s="259">
        <f>'April 2025 - Prodn &amp; Sales'!C15</f>
        <v>72048</v>
      </c>
      <c r="D17" s="259">
        <f>'April 2025 - Prodn &amp; Sales'!D15</f>
        <v>274</v>
      </c>
      <c r="E17" s="259">
        <f>'April 2025 - Prodn &amp; Sales'!E15</f>
        <v>71774</v>
      </c>
      <c r="F17" s="259">
        <f>'April 2025 - Prodn &amp; Sales'!F15</f>
        <v>47366</v>
      </c>
      <c r="G17" s="259">
        <f>'April 2025 - Prodn &amp; Sales'!G15</f>
        <v>17780</v>
      </c>
      <c r="H17" s="259">
        <f>'April 2025 - Prodn &amp; Sales'!H15</f>
        <v>65146</v>
      </c>
      <c r="I17" s="259">
        <f>'April 2025 - Prodn &amp; Sales'!I15</f>
        <v>705233.56</v>
      </c>
      <c r="J17" s="259">
        <f>'April 2025 - Prodn &amp; Sales'!J15</f>
        <v>53646.55</v>
      </c>
      <c r="K17" s="259">
        <f>'April 2025 - Prodn &amp; Sales'!K15</f>
        <v>758880.1100000001</v>
      </c>
      <c r="L17" s="626">
        <f>(F17+F18+F19)/(C17+C18+C19)</f>
        <v>0.52974262239626635</v>
      </c>
      <c r="M17" s="230">
        <f>I17/F17</f>
        <v>14.889025039057554</v>
      </c>
      <c r="N17" s="255">
        <f t="shared" si="0"/>
        <v>0.11511236784449422</v>
      </c>
      <c r="O17" s="232">
        <f>'Jan 2025-Prodn &amp; Sales Analysis'!O19</f>
        <v>5302.1538461538457</v>
      </c>
      <c r="P17" s="233">
        <f>C17/O17*12</f>
        <v>163.06128133704738</v>
      </c>
      <c r="Q17" s="628">
        <f>(K17+K18+K19)*12/(O17+O18+O19)/129.3434</f>
        <v>9.3886971209527879</v>
      </c>
    </row>
    <row r="18" spans="2:17" s="16" customFormat="1" ht="15.75" customHeight="1" x14ac:dyDescent="0.2">
      <c r="B18" s="260" t="s">
        <v>23</v>
      </c>
      <c r="C18" s="20">
        <f>'April 2025 - Prodn &amp; Sales'!C21</f>
        <v>50967</v>
      </c>
      <c r="D18" s="20">
        <f>'April 2025 - Prodn &amp; Sales'!D21</f>
        <v>233</v>
      </c>
      <c r="E18" s="20">
        <f>'April 2025 - Prodn &amp; Sales'!E21</f>
        <v>50734</v>
      </c>
      <c r="F18" s="20">
        <f>'April 2025 - Prodn &amp; Sales'!F21</f>
        <v>21640</v>
      </c>
      <c r="G18" s="20">
        <f>'April 2025 - Prodn &amp; Sales'!G21</f>
        <v>14780</v>
      </c>
      <c r="H18" s="20">
        <f>'April 2025 - Prodn &amp; Sales'!H21</f>
        <v>36420</v>
      </c>
      <c r="I18" s="20">
        <f>'April 2025 - Prodn &amp; Sales'!I21</f>
        <v>353928.53</v>
      </c>
      <c r="J18" s="20">
        <f>'April 2025 - Prodn &amp; Sales'!J21</f>
        <v>45241.37</v>
      </c>
      <c r="K18" s="20">
        <f>'April 2025 - Prodn &amp; Sales'!K21</f>
        <v>399169.9</v>
      </c>
      <c r="L18" s="634"/>
      <c r="M18" s="256">
        <f t="shared" ref="M18" si="3">I18/F18</f>
        <v>16.355292513863219</v>
      </c>
      <c r="N18" s="247">
        <f t="shared" si="0"/>
        <v>0.12644860513843936</v>
      </c>
      <c r="O18" s="209">
        <f>'Jan 2025-Prodn &amp; Sales Analysis'!O18</f>
        <v>5173.3661538461538</v>
      </c>
      <c r="P18" s="248">
        <f t="shared" ref="P18" si="4">C18/O18*12</f>
        <v>118.22167266187051</v>
      </c>
      <c r="Q18" s="633"/>
    </row>
    <row r="19" spans="2:17" s="16" customFormat="1" ht="15.75" customHeight="1" thickBot="1" x14ac:dyDescent="0.25">
      <c r="B19" s="261" t="s">
        <v>22</v>
      </c>
      <c r="C19" s="242">
        <f>'April 2025 - Prodn &amp; Sales'!C19</f>
        <v>51398</v>
      </c>
      <c r="D19" s="242">
        <f>'April 2025 - Prodn &amp; Sales'!D19</f>
        <v>303</v>
      </c>
      <c r="E19" s="242">
        <f>'April 2025 - Prodn &amp; Sales'!E19</f>
        <v>51095</v>
      </c>
      <c r="F19" s="242">
        <f>'April 2025 - Prodn &amp; Sales'!F19</f>
        <v>23388</v>
      </c>
      <c r="G19" s="242">
        <f>'April 2025 - Prodn &amp; Sales'!G19</f>
        <v>20900</v>
      </c>
      <c r="H19" s="242">
        <f>'April 2025 - Prodn &amp; Sales'!H19</f>
        <v>44288</v>
      </c>
      <c r="I19" s="242">
        <f>'April 2025 - Prodn &amp; Sales'!I19</f>
        <v>341169.62</v>
      </c>
      <c r="J19" s="242">
        <f>'April 2025 - Prodn &amp; Sales'!J19</f>
        <v>63060.37</v>
      </c>
      <c r="K19" s="242">
        <f>'April 2025 - Prodn &amp; Sales'!K19</f>
        <v>404229.99</v>
      </c>
      <c r="L19" s="627"/>
      <c r="M19" s="243">
        <f>I19/F19</f>
        <v>14.587378997776637</v>
      </c>
      <c r="N19" s="237">
        <f t="shared" si="0"/>
        <v>0.11278023461403239</v>
      </c>
      <c r="O19" s="238">
        <f>'Jan 2025-Prodn &amp; Sales Analysis'!O20</f>
        <v>4962.4615384615381</v>
      </c>
      <c r="P19" s="239">
        <f>C19/O19*12</f>
        <v>124.28831845238096</v>
      </c>
      <c r="Q19" s="629"/>
    </row>
    <row r="20" spans="2:17" s="16" customFormat="1" ht="15.75" customHeight="1" x14ac:dyDescent="0.2">
      <c r="B20" s="266" t="s">
        <v>26</v>
      </c>
      <c r="C20" s="395">
        <f>'April 2025 - Prodn &amp; Sales'!C17</f>
        <v>39924</v>
      </c>
      <c r="D20" s="395">
        <f>'April 2025 - Prodn &amp; Sales'!D17</f>
        <v>305</v>
      </c>
      <c r="E20" s="395">
        <f>'April 2025 - Prodn &amp; Sales'!E17</f>
        <v>39619</v>
      </c>
      <c r="F20" s="395">
        <f>'April 2025 - Prodn &amp; Sales'!F17</f>
        <v>18924</v>
      </c>
      <c r="G20" s="395">
        <f>'April 2025 - Prodn &amp; Sales'!G17</f>
        <v>5500</v>
      </c>
      <c r="H20" s="395">
        <f>'April 2025 - Prodn &amp; Sales'!H17</f>
        <v>24424</v>
      </c>
      <c r="I20" s="395">
        <f>'April 2025 - Prodn &amp; Sales'!I17</f>
        <v>235269.40000000002</v>
      </c>
      <c r="J20" s="395">
        <f>'April 2025 - Prodn &amp; Sales'!J17</f>
        <v>17163.79</v>
      </c>
      <c r="K20" s="395">
        <f>'April 2025 - Prodn &amp; Sales'!K17</f>
        <v>252433.19000000003</v>
      </c>
      <c r="L20" s="464">
        <f t="shared" ref="L20" si="5">F20/E20</f>
        <v>0.47764961255963045</v>
      </c>
      <c r="M20" s="465">
        <f t="shared" si="1"/>
        <v>12.432329317269078</v>
      </c>
      <c r="N20" s="398">
        <f t="shared" si="0"/>
        <v>9.6118776197850669E-2</v>
      </c>
      <c r="O20" s="309">
        <f>'Jan 2025-Prodn &amp; Sales Analysis'!O21</f>
        <v>2357.1692307692306</v>
      </c>
      <c r="P20" s="253">
        <f t="shared" si="2"/>
        <v>203.2471804511278</v>
      </c>
      <c r="Q20" s="218">
        <f>(K20*12/O20)/129.3434</f>
        <v>9.9355672038653786</v>
      </c>
    </row>
    <row r="21" spans="2:17" s="16" customFormat="1" ht="15.75" customHeight="1" thickBot="1" x14ac:dyDescent="0.25">
      <c r="B21" s="266" t="s">
        <v>33</v>
      </c>
      <c r="C21" s="267">
        <f>'April 2025 - Prodn &amp; Sales'!C18</f>
        <v>30554</v>
      </c>
      <c r="D21" s="267">
        <f>'April 2025 - Prodn &amp; Sales'!D18</f>
        <v>181</v>
      </c>
      <c r="E21" s="267">
        <f>'April 2025 - Prodn &amp; Sales'!E18</f>
        <v>30373</v>
      </c>
      <c r="F21" s="267">
        <f>'April 2025 - Prodn &amp; Sales'!F18</f>
        <v>19166</v>
      </c>
      <c r="G21" s="267">
        <f>'April 2025 - Prodn &amp; Sales'!G18</f>
        <v>8780</v>
      </c>
      <c r="H21" s="267">
        <f>'April 2025 - Prodn &amp; Sales'!H18</f>
        <v>27946</v>
      </c>
      <c r="I21" s="267">
        <f>'April 2025 - Prodn &amp; Sales'!I18</f>
        <v>250856.8</v>
      </c>
      <c r="J21" s="267">
        <f>'April 2025 - Prodn &amp; Sales'!J18</f>
        <v>26491.4</v>
      </c>
      <c r="K21" s="267">
        <f>'April 2025 - Prodn &amp; Sales'!K18</f>
        <v>277348.2</v>
      </c>
      <c r="L21" s="463">
        <f>F21/E21</f>
        <v>0.63102097257432588</v>
      </c>
      <c r="M21" s="269">
        <f>I21/F21</f>
        <v>13.088636126473963</v>
      </c>
      <c r="N21" s="466">
        <f t="shared" si="0"/>
        <v>0.10119291843630183</v>
      </c>
      <c r="O21" s="467">
        <f>'Jan 2025-Prodn &amp; Sales Analysis'!O16</f>
        <v>2605.292307692308</v>
      </c>
      <c r="P21" s="14">
        <f>C21/O21*12</f>
        <v>140.73200113378684</v>
      </c>
      <c r="Q21" s="218">
        <f>(K21*12/O21)/129.3434</f>
        <v>9.876563665636839</v>
      </c>
    </row>
    <row r="22" spans="2:17" ht="17.25" customHeight="1" thickBot="1" x14ac:dyDescent="0.25">
      <c r="B22" s="270" t="s">
        <v>35</v>
      </c>
      <c r="C22" s="271">
        <f>SUM(C6:C21)</f>
        <v>1122033</v>
      </c>
      <c r="D22" s="271">
        <f t="shared" ref="D22:K22" si="6">SUM(D6:D21)</f>
        <v>5705</v>
      </c>
      <c r="E22" s="271">
        <f t="shared" si="6"/>
        <v>1116328</v>
      </c>
      <c r="F22" s="271">
        <f t="shared" si="6"/>
        <v>859355</v>
      </c>
      <c r="G22" s="271">
        <f t="shared" si="6"/>
        <v>246900</v>
      </c>
      <c r="H22" s="271">
        <f t="shared" si="6"/>
        <v>1106255</v>
      </c>
      <c r="I22" s="271">
        <f t="shared" si="6"/>
        <v>13352627.389999999</v>
      </c>
      <c r="J22" s="271">
        <f t="shared" si="6"/>
        <v>744129.52000000014</v>
      </c>
      <c r="K22" s="271">
        <f t="shared" si="6"/>
        <v>14096756.91</v>
      </c>
      <c r="L22" s="272">
        <f>F22/E22</f>
        <v>0.76980511104263261</v>
      </c>
      <c r="M22" s="23">
        <f>I22/F22</f>
        <v>15.537964391898573</v>
      </c>
      <c r="N22" s="273">
        <f t="shared" si="0"/>
        <v>0.12012954964767103</v>
      </c>
      <c r="O22" s="52">
        <f>SUM(O6:O21)</f>
        <v>86952.369230769211</v>
      </c>
      <c r="P22" s="25">
        <f>C22/O22*12</f>
        <v>154.84794858511401</v>
      </c>
      <c r="Q22" s="274">
        <f>(K22*12/O22)/129.3434</f>
        <v>15.040932556885281</v>
      </c>
    </row>
    <row r="23" spans="2:17" ht="17.25" customHeight="1" thickTop="1" thickBot="1" x14ac:dyDescent="0.25">
      <c r="B23" s="26" t="s">
        <v>36</v>
      </c>
      <c r="C23" s="27"/>
      <c r="D23" s="275">
        <f>D22/C22</f>
        <v>5.084520687002967E-3</v>
      </c>
      <c r="E23" s="276">
        <f>E22/C22</f>
        <v>0.99491547931299706</v>
      </c>
      <c r="F23" s="30"/>
      <c r="G23" s="31"/>
      <c r="H23" s="30"/>
      <c r="I23" s="30"/>
      <c r="J23" s="30"/>
      <c r="K23" s="30"/>
      <c r="L23" s="32"/>
      <c r="M23" s="30"/>
      <c r="N23" s="33"/>
      <c r="O23" s="34"/>
      <c r="P23" s="34"/>
      <c r="Q23" s="35"/>
    </row>
    <row r="24" spans="2:17" ht="21" customHeight="1" thickTop="1" thickBot="1" x14ac:dyDescent="0.3">
      <c r="B24" s="623" t="s">
        <v>37</v>
      </c>
      <c r="C24" s="620"/>
      <c r="D24" s="620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0"/>
      <c r="P24" s="620"/>
      <c r="Q24" s="620"/>
    </row>
    <row r="25" spans="2:17" ht="15" customHeight="1" x14ac:dyDescent="0.2">
      <c r="B25" s="286" t="s">
        <v>43</v>
      </c>
      <c r="C25" s="278">
        <f>'April 2025 - Prodn &amp; Sales'!C26</f>
        <v>31083</v>
      </c>
      <c r="D25" s="278">
        <f>'April 2025 - Prodn &amp; Sales'!D26</f>
        <v>76</v>
      </c>
      <c r="E25" s="278">
        <f>'April 2025 - Prodn &amp; Sales'!E26</f>
        <v>31007</v>
      </c>
      <c r="F25" s="278">
        <f>'April 2025 - Prodn &amp; Sales'!F26</f>
        <v>21440</v>
      </c>
      <c r="G25" s="278">
        <f>'April 2025 - Prodn &amp; Sales'!G26</f>
        <v>3900</v>
      </c>
      <c r="H25" s="278">
        <f>'April 2025 - Prodn &amp; Sales'!H26</f>
        <v>25340</v>
      </c>
      <c r="I25" s="278">
        <f>'April 2025 - Prodn &amp; Sales'!I26</f>
        <v>718241.80999999994</v>
      </c>
      <c r="J25" s="278">
        <f>'April 2025 - Prodn &amp; Sales'!J26</f>
        <v>13129.32</v>
      </c>
      <c r="K25" s="278">
        <f>'April 2025 - Prodn &amp; Sales'!K26</f>
        <v>731371.12999999989</v>
      </c>
      <c r="L25" s="626">
        <f>(F25+F26)/(E25+E26)</f>
        <v>0.65988010951766396</v>
      </c>
      <c r="M25" s="287">
        <f t="shared" ref="M25:M37" si="7">I25/F25</f>
        <v>33.500084421641787</v>
      </c>
      <c r="N25" s="231">
        <f t="shared" ref="N25:N30" si="8">M25/129.3434</f>
        <v>0.25900111193645586</v>
      </c>
      <c r="O25" s="281">
        <f>'Jan 2025-Prodn &amp; Sales Analysis'!O31</f>
        <v>2605.292307692308</v>
      </c>
      <c r="P25" s="288">
        <f t="shared" ref="P25:P37" si="9">C25/O25*12</f>
        <v>143.16857993197277</v>
      </c>
      <c r="Q25" s="628">
        <f>(K25+K26)*12/(O25+O26)/129.3434</f>
        <v>23.890959656757946</v>
      </c>
    </row>
    <row r="26" spans="2:17" ht="15" customHeight="1" thickBot="1" x14ac:dyDescent="0.25">
      <c r="B26" s="289" t="s">
        <v>52</v>
      </c>
      <c r="C26" s="283">
        <f>'April 2025 - Prodn &amp; Sales'!C29</f>
        <v>52109</v>
      </c>
      <c r="D26" s="283">
        <f>'April 2025 - Prodn &amp; Sales'!D29</f>
        <v>207</v>
      </c>
      <c r="E26" s="283">
        <f>'April 2025 - Prodn &amp; Sales'!E29</f>
        <v>51902</v>
      </c>
      <c r="F26" s="283">
        <f>'April 2025 - Prodn &amp; Sales'!F29</f>
        <v>33270</v>
      </c>
      <c r="G26" s="283">
        <f>'April 2025 - Prodn &amp; Sales'!G29</f>
        <v>4320</v>
      </c>
      <c r="H26" s="283">
        <f>'April 2025 - Prodn &amp; Sales'!H29</f>
        <v>37590</v>
      </c>
      <c r="I26" s="283">
        <f>'April 2025 - Prodn &amp; Sales'!I29</f>
        <v>1219368.8900000001</v>
      </c>
      <c r="J26" s="283">
        <f>'April 2025 - Prodn &amp; Sales'!J29</f>
        <v>14017.23</v>
      </c>
      <c r="K26" s="283">
        <f>'April 2025 - Prodn &amp; Sales'!K29</f>
        <v>1233386.1200000001</v>
      </c>
      <c r="L26" s="627"/>
      <c r="M26" s="290">
        <f t="shared" si="7"/>
        <v>36.650703035767961</v>
      </c>
      <c r="N26" s="237">
        <f t="shared" si="8"/>
        <v>0.28335966918890304</v>
      </c>
      <c r="O26" s="257">
        <f>'Jan 2025-Prodn &amp; Sales Analysis'!O30</f>
        <v>5024.4923076923069</v>
      </c>
      <c r="P26" s="291">
        <f t="shared" si="9"/>
        <v>124.45197677836569</v>
      </c>
      <c r="Q26" s="629"/>
    </row>
    <row r="27" spans="2:17" ht="15" customHeight="1" x14ac:dyDescent="0.2">
      <c r="B27" s="277" t="s">
        <v>53</v>
      </c>
      <c r="C27" s="278">
        <f>'April 2025 - Prodn &amp; Sales'!C32</f>
        <v>65138</v>
      </c>
      <c r="D27" s="278">
        <f>'April 2025 - Prodn &amp; Sales'!D32</f>
        <v>181</v>
      </c>
      <c r="E27" s="278">
        <f>'April 2025 - Prodn &amp; Sales'!E32</f>
        <v>64957</v>
      </c>
      <c r="F27" s="278">
        <f>'April 2025 - Prodn &amp; Sales'!F32</f>
        <v>45350</v>
      </c>
      <c r="G27" s="278">
        <f>'April 2025 - Prodn &amp; Sales'!G32</f>
        <v>3800</v>
      </c>
      <c r="H27" s="278">
        <f>'April 2025 - Prodn &amp; Sales'!H32</f>
        <v>49150</v>
      </c>
      <c r="I27" s="278">
        <f>'April 2025 - Prodn &amp; Sales'!I32</f>
        <v>1626848.0899999999</v>
      </c>
      <c r="J27" s="278">
        <f>'April 2025 - Prodn &amp; Sales'!J32</f>
        <v>12844.84</v>
      </c>
      <c r="K27" s="278">
        <f>'April 2025 - Prodn &amp; Sales'!K32</f>
        <v>1639692.93</v>
      </c>
      <c r="L27" s="626">
        <f>(F27+F28)/(E27+E28)</f>
        <v>0.73648789713485696</v>
      </c>
      <c r="M27" s="279">
        <f t="shared" si="7"/>
        <v>35.873166262403522</v>
      </c>
      <c r="N27" s="231">
        <f t="shared" si="8"/>
        <v>0.27734825481936859</v>
      </c>
      <c r="O27" s="281">
        <f>'Jan 2025-Prodn &amp; Sales Analysis'!O29</f>
        <v>7381.6615384615379</v>
      </c>
      <c r="P27" s="229">
        <f t="shared" si="9"/>
        <v>105.89160664265708</v>
      </c>
      <c r="Q27" s="628">
        <f>(K27+K28)*12/(O27+O28)/129.3434</f>
        <v>20.8876459353082</v>
      </c>
    </row>
    <row r="28" spans="2:17" ht="15" customHeight="1" thickBot="1" x14ac:dyDescent="0.25">
      <c r="B28" s="282" t="s">
        <v>45</v>
      </c>
      <c r="C28" s="283">
        <f>'April 2025 - Prodn &amp; Sales'!C31</f>
        <v>16594</v>
      </c>
      <c r="D28" s="283">
        <f>'April 2025 - Prodn &amp; Sales'!D31</f>
        <v>124</v>
      </c>
      <c r="E28" s="283">
        <f>'April 2025 - Prodn &amp; Sales'!E31</f>
        <v>16470</v>
      </c>
      <c r="F28" s="283">
        <f>'April 2025 - Prodn &amp; Sales'!F31</f>
        <v>14620</v>
      </c>
      <c r="G28" s="283">
        <f>'April 2025 - Prodn &amp; Sales'!G31</f>
        <v>0</v>
      </c>
      <c r="H28" s="283">
        <f>'April 2025 - Prodn &amp; Sales'!H31</f>
        <v>14620</v>
      </c>
      <c r="I28" s="283">
        <f>'April 2025 - Prodn &amp; Sales'!I31</f>
        <v>580837.94000000006</v>
      </c>
      <c r="J28" s="283">
        <f>'April 2025 - Prodn &amp; Sales'!J31</f>
        <v>0</v>
      </c>
      <c r="K28" s="283">
        <f>'April 2025 - Prodn &amp; Sales'!K31</f>
        <v>580837.94000000006</v>
      </c>
      <c r="L28" s="627"/>
      <c r="M28" s="284">
        <f t="shared" si="7"/>
        <v>39.728997264021892</v>
      </c>
      <c r="N28" s="237">
        <f t="shared" si="8"/>
        <v>0.30715906079492183</v>
      </c>
      <c r="O28" s="257">
        <f>'Jan 2025-Prodn &amp; Sales Analysis'!O38</f>
        <v>2481.2307692307691</v>
      </c>
      <c r="P28" s="242">
        <f t="shared" si="9"/>
        <v>80.253720238095241</v>
      </c>
      <c r="Q28" s="629"/>
    </row>
    <row r="29" spans="2:17" ht="14.25" customHeight="1" x14ac:dyDescent="0.2">
      <c r="B29" s="303" t="s">
        <v>44</v>
      </c>
      <c r="C29" s="304">
        <f>'April 2025 - Prodn &amp; Sales'!C35</f>
        <v>17541</v>
      </c>
      <c r="D29" s="304">
        <f>'April 2025 - Prodn &amp; Sales'!D35</f>
        <v>143</v>
      </c>
      <c r="E29" s="304">
        <f>'April 2025 - Prodn &amp; Sales'!E35</f>
        <v>17398</v>
      </c>
      <c r="F29" s="304">
        <f>'April 2025 - Prodn &amp; Sales'!F35</f>
        <v>12240</v>
      </c>
      <c r="G29" s="304">
        <f>'April 2025 - Prodn &amp; Sales'!G35</f>
        <v>840</v>
      </c>
      <c r="H29" s="304">
        <f>'April 2025 - Prodn &amp; Sales'!H35</f>
        <v>13080</v>
      </c>
      <c r="I29" s="304">
        <f>'April 2025 - Prodn &amp; Sales'!I35</f>
        <v>465301.78</v>
      </c>
      <c r="J29" s="304">
        <f>'April 2025 - Prodn &amp; Sales'!J35</f>
        <v>2793.11</v>
      </c>
      <c r="K29" s="304">
        <f>'April 2025 - Prodn &amp; Sales'!K35</f>
        <v>468094.89</v>
      </c>
      <c r="L29" s="630">
        <f>(F29+F30+F31+F32)/(E29+E30+E31+E32)</f>
        <v>0.69732965352627452</v>
      </c>
      <c r="M29" s="279">
        <f t="shared" si="7"/>
        <v>38.014851307189545</v>
      </c>
      <c r="N29" s="280">
        <f t="shared" si="8"/>
        <v>0.29390638646571488</v>
      </c>
      <c r="O29" s="281">
        <f>'Jan 2025-Prodn &amp; Sales Analysis'!O36</f>
        <v>2357.1692307692306</v>
      </c>
      <c r="P29" s="229">
        <f t="shared" si="9"/>
        <v>89.298637218045116</v>
      </c>
      <c r="Q29" s="628">
        <f>(K29+K30+K31+K32)*12/(O29+O30+O31+O32)/129.3434</f>
        <v>19.695772801436661</v>
      </c>
    </row>
    <row r="30" spans="2:17" ht="15" customHeight="1" x14ac:dyDescent="0.2">
      <c r="B30" s="305" t="s">
        <v>41</v>
      </c>
      <c r="C30" s="296">
        <f>'April 2025 - Prodn &amp; Sales'!C30</f>
        <v>28540</v>
      </c>
      <c r="D30" s="296">
        <f>'April 2025 - Prodn &amp; Sales'!D30</f>
        <v>160</v>
      </c>
      <c r="E30" s="296">
        <f>'April 2025 - Prodn &amp; Sales'!E30</f>
        <v>28380</v>
      </c>
      <c r="F30" s="296">
        <f>'April 2025 - Prodn &amp; Sales'!F30</f>
        <v>22100</v>
      </c>
      <c r="G30" s="296">
        <f>'April 2025 - Prodn &amp; Sales'!G30</f>
        <v>240</v>
      </c>
      <c r="H30" s="296">
        <f>'April 2025 - Prodn &amp; Sales'!H30</f>
        <v>22340</v>
      </c>
      <c r="I30" s="296">
        <f>'April 2025 - Prodn &amp; Sales'!I30</f>
        <v>785958.35000000009</v>
      </c>
      <c r="J30" s="296">
        <f>'April 2025 - Prodn &amp; Sales'!J30</f>
        <v>827.59</v>
      </c>
      <c r="K30" s="296">
        <f>'April 2025 - Prodn &amp; Sales'!K30</f>
        <v>786785.94000000006</v>
      </c>
      <c r="L30" s="631"/>
      <c r="M30" s="306">
        <f t="shared" si="7"/>
        <v>35.563726244343897</v>
      </c>
      <c r="N30" s="298">
        <f t="shared" si="8"/>
        <v>0.27495586357204077</v>
      </c>
      <c r="O30" s="299">
        <f>'Jan 2025-Prodn &amp; Sales Analysis'!O41</f>
        <v>3225.5999999999995</v>
      </c>
      <c r="P30" s="20">
        <f t="shared" si="9"/>
        <v>106.17559523809524</v>
      </c>
      <c r="Q30" s="633"/>
    </row>
    <row r="31" spans="2:17" ht="15" customHeight="1" x14ac:dyDescent="0.2">
      <c r="B31" s="305" t="s">
        <v>46</v>
      </c>
      <c r="C31" s="296">
        <f>'April 2025 - Prodn &amp; Sales'!C28</f>
        <v>43411</v>
      </c>
      <c r="D31" s="296">
        <f>'April 2025 - Prodn &amp; Sales'!D28</f>
        <v>185</v>
      </c>
      <c r="E31" s="296">
        <f>'April 2025 - Prodn &amp; Sales'!E28</f>
        <v>43226</v>
      </c>
      <c r="F31" s="296">
        <f>'April 2025 - Prodn &amp; Sales'!F28</f>
        <v>35050</v>
      </c>
      <c r="G31" s="296">
        <f>'April 2025 - Prodn &amp; Sales'!G28</f>
        <v>460</v>
      </c>
      <c r="H31" s="296">
        <f>'April 2025 - Prodn &amp; Sales'!H28</f>
        <v>35510</v>
      </c>
      <c r="I31" s="296">
        <f>'April 2025 - Prodn &amp; Sales'!I28</f>
        <v>1339593.5099999998</v>
      </c>
      <c r="J31" s="296">
        <f>'April 2025 - Prodn &amp; Sales'!J28</f>
        <v>1482.76</v>
      </c>
      <c r="K31" s="296">
        <f>'April 2025 - Prodn &amp; Sales'!K28</f>
        <v>1341076.2699999998</v>
      </c>
      <c r="L31" s="631"/>
      <c r="M31" s="306">
        <f t="shared" si="7"/>
        <v>38.219500998573459</v>
      </c>
      <c r="N31" s="298">
        <f t="shared" ref="N31:N32" si="10">M31/129.3434</f>
        <v>0.29548860628817131</v>
      </c>
      <c r="O31" s="299">
        <f>'Jan 2025-Prodn &amp; Sales Analysis'!O34</f>
        <v>5027.4461538461537</v>
      </c>
      <c r="P31" s="20">
        <f t="shared" si="9"/>
        <v>103.61761897767332</v>
      </c>
      <c r="Q31" s="633"/>
    </row>
    <row r="32" spans="2:17" ht="15" customHeight="1" thickBot="1" x14ac:dyDescent="0.25">
      <c r="B32" s="307" t="s">
        <v>59</v>
      </c>
      <c r="C32" s="302">
        <f>'April 2025 - Prodn &amp; Sales'!C50</f>
        <v>18333</v>
      </c>
      <c r="D32" s="302">
        <f>'April 2025 - Prodn &amp; Sales'!D50</f>
        <v>85</v>
      </c>
      <c r="E32" s="302">
        <f>'April 2025 - Prodn &amp; Sales'!E50</f>
        <v>18248</v>
      </c>
      <c r="F32" s="302">
        <f>'April 2025 - Prodn &amp; Sales'!F50</f>
        <v>5400</v>
      </c>
      <c r="G32" s="302">
        <f>'April 2025 - Prodn &amp; Sales'!G50</f>
        <v>1680</v>
      </c>
      <c r="H32" s="302">
        <f>'April 2025 - Prodn &amp; Sales'!H50</f>
        <v>7080</v>
      </c>
      <c r="I32" s="302">
        <f>'April 2025 - Prodn &amp; Sales'!I50</f>
        <v>177888.40000000002</v>
      </c>
      <c r="J32" s="302">
        <f>'April 2025 - Prodn &amp; Sales'!J50</f>
        <v>5379.3</v>
      </c>
      <c r="K32" s="302">
        <f>'April 2025 - Prodn &amp; Sales'!K50</f>
        <v>183267.7</v>
      </c>
      <c r="L32" s="632"/>
      <c r="M32" s="284">
        <f t="shared" si="7"/>
        <v>32.942296296296298</v>
      </c>
      <c r="N32" s="298">
        <f t="shared" si="10"/>
        <v>0.25468865281333486</v>
      </c>
      <c r="O32" s="257">
        <f>'Jan 2025-Prodn &amp; Sales Analysis'!O48</f>
        <v>2481.2307692307691</v>
      </c>
      <c r="P32" s="242">
        <f t="shared" si="9"/>
        <v>88.664062500000014</v>
      </c>
      <c r="Q32" s="629"/>
    </row>
    <row r="33" spans="2:18" ht="15" customHeight="1" x14ac:dyDescent="0.2">
      <c r="B33" s="292" t="s">
        <v>49</v>
      </c>
      <c r="C33" s="278">
        <f>'April 2025 - Prodn &amp; Sales'!C34</f>
        <v>41995</v>
      </c>
      <c r="D33" s="278">
        <f>'April 2025 - Prodn &amp; Sales'!D34</f>
        <v>160</v>
      </c>
      <c r="E33" s="278">
        <f>'April 2025 - Prodn &amp; Sales'!E34</f>
        <v>41835</v>
      </c>
      <c r="F33" s="278">
        <f>'April 2025 - Prodn &amp; Sales'!F34</f>
        <v>28770</v>
      </c>
      <c r="G33" s="278">
        <f>'April 2025 - Prodn &amp; Sales'!G34</f>
        <v>3120</v>
      </c>
      <c r="H33" s="278">
        <f>'April 2025 - Prodn &amp; Sales'!H34</f>
        <v>31890</v>
      </c>
      <c r="I33" s="278">
        <f>'April 2025 - Prodn &amp; Sales'!I34</f>
        <v>1007011.9400000001</v>
      </c>
      <c r="J33" s="278">
        <f>'April 2025 - Prodn &amp; Sales'!J34</f>
        <v>10034.49</v>
      </c>
      <c r="K33" s="278">
        <f>'April 2025 - Prodn &amp; Sales'!K34</f>
        <v>1017046.43</v>
      </c>
      <c r="L33" s="626">
        <f>(F33+F34)/(E33+E34)</f>
        <v>0.59371679637021513</v>
      </c>
      <c r="M33" s="287">
        <f t="shared" si="7"/>
        <v>35.002152937087246</v>
      </c>
      <c r="N33" s="231">
        <f>M33/129.3434</f>
        <v>0.27061413985628369</v>
      </c>
      <c r="O33" s="281">
        <f>'Jan 2025-Prodn &amp; Sales Analysis'!O27</f>
        <v>5024.4923076923069</v>
      </c>
      <c r="P33" s="288">
        <f t="shared" si="9"/>
        <v>100.29670047031161</v>
      </c>
      <c r="Q33" s="628">
        <f>(K33+K34)*12/(O33+O34)/129.3434</f>
        <v>17.529467836334046</v>
      </c>
    </row>
    <row r="34" spans="2:18" ht="15" customHeight="1" thickBot="1" x14ac:dyDescent="0.25">
      <c r="B34" s="293" t="s">
        <v>62</v>
      </c>
      <c r="C34" s="283">
        <f>'April 2025 - Prodn &amp; Sales'!C40</f>
        <v>27973</v>
      </c>
      <c r="D34" s="283">
        <f>'April 2025 - Prodn &amp; Sales'!D40</f>
        <v>162</v>
      </c>
      <c r="E34" s="283">
        <f>'April 2025 - Prodn &amp; Sales'!E40</f>
        <v>27811</v>
      </c>
      <c r="F34" s="283">
        <f>'April 2025 - Prodn &amp; Sales'!F40</f>
        <v>12580</v>
      </c>
      <c r="G34" s="283">
        <f>'April 2025 - Prodn &amp; Sales'!G40</f>
        <v>2400</v>
      </c>
      <c r="H34" s="283">
        <f>'April 2025 - Prodn &amp; Sales'!H40</f>
        <v>14980</v>
      </c>
      <c r="I34" s="283">
        <f>'April 2025 - Prodn &amp; Sales'!I40</f>
        <v>428512.81000000006</v>
      </c>
      <c r="J34" s="283">
        <f>'April 2025 - Prodn &amp; Sales'!J40</f>
        <v>7758.62</v>
      </c>
      <c r="K34" s="283">
        <f>'April 2025 - Prodn &amp; Sales'!K40</f>
        <v>436271.43000000005</v>
      </c>
      <c r="L34" s="627"/>
      <c r="M34" s="290">
        <f t="shared" si="7"/>
        <v>34.063021462639114</v>
      </c>
      <c r="N34" s="237">
        <f>M34/129.3434</f>
        <v>0.26335337916460455</v>
      </c>
      <c r="O34" s="257">
        <f>'Jan 2025-Prodn &amp; Sales Analysis'!O35</f>
        <v>2667.3230769230763</v>
      </c>
      <c r="P34" s="291">
        <f t="shared" si="9"/>
        <v>125.84752214839428</v>
      </c>
      <c r="Q34" s="629"/>
    </row>
    <row r="35" spans="2:18" ht="13.5" customHeight="1" x14ac:dyDescent="0.2">
      <c r="B35" s="294" t="s">
        <v>50</v>
      </c>
      <c r="C35" s="278">
        <f>'April 2025 - Prodn &amp; Sales'!C27</f>
        <v>22034</v>
      </c>
      <c r="D35" s="278">
        <f>'April 2025 - Prodn &amp; Sales'!D27</f>
        <v>131</v>
      </c>
      <c r="E35" s="278">
        <f>'April 2025 - Prodn &amp; Sales'!E27</f>
        <v>21903</v>
      </c>
      <c r="F35" s="278">
        <f>'April 2025 - Prodn &amp; Sales'!F27</f>
        <v>19250</v>
      </c>
      <c r="G35" s="278">
        <f>'April 2025 - Prodn &amp; Sales'!G27</f>
        <v>3180</v>
      </c>
      <c r="H35" s="278">
        <f>'April 2025 - Prodn &amp; Sales'!H27</f>
        <v>22430</v>
      </c>
      <c r="I35" s="278">
        <f>'April 2025 - Prodn &amp; Sales'!I27</f>
        <v>708731.15</v>
      </c>
      <c r="J35" s="278">
        <f>'April 2025 - Prodn &amp; Sales'!J27</f>
        <v>11068.97</v>
      </c>
      <c r="K35" s="278">
        <f>'April 2025 - Prodn &amp; Sales'!K27</f>
        <v>719800.12</v>
      </c>
      <c r="L35" s="626">
        <f>(F35+F36+F37)/(C35+C36+C37)</f>
        <v>0.69941356862323134</v>
      </c>
      <c r="M35" s="287">
        <f t="shared" si="7"/>
        <v>36.817202597402598</v>
      </c>
      <c r="N35" s="280">
        <f>M35/129.3434</f>
        <v>0.28464693673896463</v>
      </c>
      <c r="O35" s="281">
        <f>'Jan 2025-Prodn &amp; Sales Analysis'!O28</f>
        <v>2667.3230769230763</v>
      </c>
      <c r="P35" s="288">
        <f t="shared" si="9"/>
        <v>99.128599114064244</v>
      </c>
      <c r="Q35" s="628">
        <f>(K35+K36+K37)*12/(O35+O36+O37)/129.3434</f>
        <v>16.960216007646153</v>
      </c>
    </row>
    <row r="36" spans="2:18" ht="15" customHeight="1" x14ac:dyDescent="0.2">
      <c r="B36" s="295" t="s">
        <v>65</v>
      </c>
      <c r="C36" s="296">
        <f>'April 2025 - Prodn &amp; Sales'!C39</f>
        <v>14655</v>
      </c>
      <c r="D36" s="296">
        <f>'April 2025 - Prodn &amp; Sales'!D39</f>
        <v>108</v>
      </c>
      <c r="E36" s="296">
        <f>'April 2025 - Prodn &amp; Sales'!E39</f>
        <v>14547</v>
      </c>
      <c r="F36" s="296">
        <f>'April 2025 - Prodn &amp; Sales'!F39</f>
        <v>12590</v>
      </c>
      <c r="G36" s="296">
        <f>'April 2025 - Prodn &amp; Sales'!G39</f>
        <v>580</v>
      </c>
      <c r="H36" s="296">
        <f>'April 2025 - Prodn &amp; Sales'!H39</f>
        <v>13170</v>
      </c>
      <c r="I36" s="296">
        <f>'April 2025 - Prodn &amp; Sales'!I39</f>
        <v>465771.35</v>
      </c>
      <c r="J36" s="296">
        <f>'April 2025 - Prodn &amp; Sales'!J39</f>
        <v>1844.83</v>
      </c>
      <c r="K36" s="296">
        <f>'April 2025 - Prodn &amp; Sales'!K39</f>
        <v>467616.18</v>
      </c>
      <c r="L36" s="634"/>
      <c r="M36" s="297">
        <f t="shared" si="7"/>
        <v>36.995341540905478</v>
      </c>
      <c r="N36" s="298">
        <f>M36/129.3434</f>
        <v>0.28602419250541949</v>
      </c>
      <c r="O36" s="299">
        <f>'Jan 2025-Prodn &amp; Sales Analysis'!O45</f>
        <v>2788.4307692307689</v>
      </c>
      <c r="P36" s="300">
        <f t="shared" si="9"/>
        <v>63.067730402542381</v>
      </c>
      <c r="Q36" s="633"/>
    </row>
    <row r="37" spans="2:18" ht="15" customHeight="1" thickBot="1" x14ac:dyDescent="0.25">
      <c r="B37" s="301" t="s">
        <v>61</v>
      </c>
      <c r="C37" s="302">
        <f>'April 2025 - Prodn &amp; Sales'!C45</f>
        <v>19072</v>
      </c>
      <c r="D37" s="302">
        <f>'April 2025 - Prodn &amp; Sales'!D45</f>
        <v>73</v>
      </c>
      <c r="E37" s="302">
        <f>'April 2025 - Prodn &amp; Sales'!E45</f>
        <v>18999</v>
      </c>
      <c r="F37" s="302">
        <f>'April 2025 - Prodn &amp; Sales'!F45</f>
        <v>7160</v>
      </c>
      <c r="G37" s="302">
        <f>'April 2025 - Prodn &amp; Sales'!G45</f>
        <v>0</v>
      </c>
      <c r="H37" s="302">
        <f>'April 2025 - Prodn &amp; Sales'!H45</f>
        <v>7160</v>
      </c>
      <c r="I37" s="302">
        <f>'April 2025 - Prodn &amp; Sales'!I45</f>
        <v>263525.34000000003</v>
      </c>
      <c r="J37" s="302">
        <f>'April 2025 - Prodn &amp; Sales'!J45</f>
        <v>0</v>
      </c>
      <c r="K37" s="302">
        <f>'April 2025 - Prodn &amp; Sales'!K45</f>
        <v>263525.34000000003</v>
      </c>
      <c r="L37" s="627"/>
      <c r="M37" s="290">
        <f t="shared" si="7"/>
        <v>36.805215083798885</v>
      </c>
      <c r="N37" s="285">
        <f>M37/129.3434</f>
        <v>0.28455425699184406</v>
      </c>
      <c r="O37" s="257">
        <f>'Jan 2025-Prodn &amp; Sales Analysis'!O51</f>
        <v>2481.2307692307695</v>
      </c>
      <c r="P37" s="291">
        <f t="shared" si="9"/>
        <v>92.238095238095227</v>
      </c>
      <c r="Q37" s="629"/>
    </row>
    <row r="39" spans="2:18" ht="12.75" thickBot="1" x14ac:dyDescent="0.25"/>
    <row r="40" spans="2:18" ht="15" customHeight="1" x14ac:dyDescent="0.2">
      <c r="B40" s="311" t="s">
        <v>66</v>
      </c>
      <c r="C40" s="304">
        <f>'April 2025 - Prodn &amp; Sales'!C49</f>
        <v>9543</v>
      </c>
      <c r="D40" s="304">
        <f>'April 2025 - Prodn &amp; Sales'!D49</f>
        <v>61</v>
      </c>
      <c r="E40" s="304">
        <f>'April 2025 - Prodn &amp; Sales'!E49</f>
        <v>9482</v>
      </c>
      <c r="F40" s="304">
        <f>'April 2025 - Prodn &amp; Sales'!F49</f>
        <v>5860</v>
      </c>
      <c r="G40" s="304">
        <f>'April 2025 - Prodn &amp; Sales'!G49</f>
        <v>2040</v>
      </c>
      <c r="H40" s="304">
        <f>'April 2025 - Prodn &amp; Sales'!H49</f>
        <v>7900</v>
      </c>
      <c r="I40" s="304">
        <f>'April 2025 - Prodn &amp; Sales'!I49</f>
        <v>202282.92</v>
      </c>
      <c r="J40" s="304">
        <f>'April 2025 - Prodn &amp; Sales'!J49</f>
        <v>7034.48</v>
      </c>
      <c r="K40" s="304">
        <f>'April 2025 - Prodn &amp; Sales'!K49</f>
        <v>209317.40000000002</v>
      </c>
      <c r="L40" s="626">
        <f>(F40+F41)/(E40+E41)</f>
        <v>0.64863412449619351</v>
      </c>
      <c r="M40" s="279">
        <f t="shared" ref="M40:M54" si="11">I40/F40</f>
        <v>34.519269624573383</v>
      </c>
      <c r="N40" s="231">
        <f t="shared" ref="N40:N56" si="12">M40/129.3434</f>
        <v>0.26688079658160663</v>
      </c>
      <c r="O40" s="281">
        <f>'Jan 2025-Prodn &amp; Sales Analysis'!O47</f>
        <v>2605.292307692308</v>
      </c>
      <c r="P40" s="229">
        <f t="shared" ref="P40:P54" si="13">C40/O40*12</f>
        <v>43.955144557823118</v>
      </c>
      <c r="Q40" s="628">
        <f>(K40+K41)*12/(O40+O41)/129.3434</f>
        <v>15.329419407487945</v>
      </c>
      <c r="R40" s="16"/>
    </row>
    <row r="41" spans="2:18" ht="15" customHeight="1" thickBot="1" x14ac:dyDescent="0.25">
      <c r="B41" s="312" t="s">
        <v>39</v>
      </c>
      <c r="C41" s="283">
        <f>'April 2025 - Prodn &amp; Sales'!C33</f>
        <v>46497</v>
      </c>
      <c r="D41" s="283">
        <f>'April 2025 - Prodn &amp; Sales'!D33</f>
        <v>154</v>
      </c>
      <c r="E41" s="283">
        <f>'April 2025 - Prodn &amp; Sales'!E33</f>
        <v>46343</v>
      </c>
      <c r="F41" s="283">
        <f>'April 2025 - Prodn &amp; Sales'!F33</f>
        <v>30350</v>
      </c>
      <c r="G41" s="283">
        <f>'April 2025 - Prodn &amp; Sales'!G33</f>
        <v>2020</v>
      </c>
      <c r="H41" s="283">
        <f>'April 2025 - Prodn &amp; Sales'!H33</f>
        <v>32370</v>
      </c>
      <c r="I41" s="283">
        <f>'April 2025 - Prodn &amp; Sales'!I33</f>
        <v>1065600.0999999999</v>
      </c>
      <c r="J41" s="283">
        <f>'April 2025 - Prodn &amp; Sales'!J33</f>
        <v>6250</v>
      </c>
      <c r="K41" s="283">
        <f>'April 2025 - Prodn &amp; Sales'!K33</f>
        <v>1071850.0999999999</v>
      </c>
      <c r="L41" s="627"/>
      <c r="M41" s="284">
        <f t="shared" si="11"/>
        <v>35.110382207578247</v>
      </c>
      <c r="N41" s="237">
        <f t="shared" si="12"/>
        <v>0.27145089898346764</v>
      </c>
      <c r="O41" s="257">
        <f>'Jan 2025-Prodn &amp; Sales Analysis'!O32</f>
        <v>5148.5538461538454</v>
      </c>
      <c r="P41" s="242">
        <f t="shared" si="13"/>
        <v>108.37295611015492</v>
      </c>
      <c r="Q41" s="629"/>
      <c r="R41" s="16"/>
    </row>
    <row r="42" spans="2:18" ht="15" customHeight="1" x14ac:dyDescent="0.2">
      <c r="B42" s="313" t="s">
        <v>48</v>
      </c>
      <c r="C42" s="278">
        <f>'April 2025 - Prodn &amp; Sales'!C36</f>
        <v>9409</v>
      </c>
      <c r="D42" s="278">
        <f>'April 2025 - Prodn &amp; Sales'!D36</f>
        <v>109</v>
      </c>
      <c r="E42" s="278">
        <f>'April 2025 - Prodn &amp; Sales'!E36</f>
        <v>9300</v>
      </c>
      <c r="F42" s="278">
        <f>'April 2025 - Prodn &amp; Sales'!F36</f>
        <v>8530</v>
      </c>
      <c r="G42" s="278">
        <f>'April 2025 - Prodn &amp; Sales'!G36</f>
        <v>0</v>
      </c>
      <c r="H42" s="278">
        <f>'April 2025 - Prodn &amp; Sales'!H36</f>
        <v>8530</v>
      </c>
      <c r="I42" s="278">
        <f>'April 2025 - Prodn &amp; Sales'!I36</f>
        <v>311562.54000000004</v>
      </c>
      <c r="J42" s="278">
        <f>'April 2025 - Prodn &amp; Sales'!J36</f>
        <v>0</v>
      </c>
      <c r="K42" s="278">
        <f>'April 2025 - Prodn &amp; Sales'!K36</f>
        <v>311562.54000000004</v>
      </c>
      <c r="L42" s="626">
        <f>(F42+F43)/(E42+E43)</f>
        <v>0.73024770850693133</v>
      </c>
      <c r="M42" s="287">
        <f t="shared" ref="M42:M49" si="14">I42/F42</f>
        <v>36.52550293083236</v>
      </c>
      <c r="N42" s="231">
        <f t="shared" si="12"/>
        <v>0.28239170248217038</v>
      </c>
      <c r="O42" s="281">
        <f>'Jan 2025-Prodn &amp; Sales Analysis'!O40</f>
        <v>1736.8615384615382</v>
      </c>
      <c r="P42" s="288">
        <f t="shared" ref="P42:P49" si="15">C42/O42*12</f>
        <v>65.006909013605451</v>
      </c>
      <c r="Q42" s="628">
        <f>(K42+K43)*12/(O42+O43)/129.3434</f>
        <v>15.064886974176824</v>
      </c>
    </row>
    <row r="43" spans="2:18" ht="15" customHeight="1" thickBot="1" x14ac:dyDescent="0.25">
      <c r="B43" s="314" t="s">
        <v>56</v>
      </c>
      <c r="C43" s="315">
        <f>'April 2025 - Prodn &amp; Sales'!C42</f>
        <v>17221</v>
      </c>
      <c r="D43" s="315">
        <f>'April 2025 - Prodn &amp; Sales'!D42</f>
        <v>119</v>
      </c>
      <c r="E43" s="315">
        <f>'April 2025 - Prodn &amp; Sales'!E42</f>
        <v>17102</v>
      </c>
      <c r="F43" s="315">
        <f>'April 2025 - Prodn &amp; Sales'!F42</f>
        <v>10750</v>
      </c>
      <c r="G43" s="315">
        <f>'April 2025 - Prodn &amp; Sales'!G42</f>
        <v>1200</v>
      </c>
      <c r="H43" s="315">
        <f>'April 2025 - Prodn &amp; Sales'!H42</f>
        <v>11950</v>
      </c>
      <c r="I43" s="315">
        <f>'April 2025 - Prodn &amp; Sales'!I42</f>
        <v>369331.08</v>
      </c>
      <c r="J43" s="315">
        <f>'April 2025 - Prodn &amp; Sales'!J42</f>
        <v>4034.48</v>
      </c>
      <c r="K43" s="315">
        <f>'April 2025 - Prodn &amp; Sales'!K42</f>
        <v>373365.56</v>
      </c>
      <c r="L43" s="627"/>
      <c r="M43" s="290">
        <f t="shared" si="14"/>
        <v>34.356379534883722</v>
      </c>
      <c r="N43" s="237">
        <f t="shared" si="12"/>
        <v>0.26562143514770542</v>
      </c>
      <c r="O43" s="257">
        <f>'Jan 2025-Prodn &amp; Sales Analysis'!O43</f>
        <v>2481.2307692307691</v>
      </c>
      <c r="P43" s="291">
        <f t="shared" si="15"/>
        <v>83.286086309523824</v>
      </c>
      <c r="Q43" s="629"/>
    </row>
    <row r="44" spans="2:18" ht="15" customHeight="1" x14ac:dyDescent="0.2">
      <c r="B44" s="318" t="s">
        <v>58</v>
      </c>
      <c r="C44" s="309">
        <f>'April 2025 - Prodn &amp; Sales'!C25</f>
        <v>38550</v>
      </c>
      <c r="D44" s="309">
        <f>'April 2025 - Prodn &amp; Sales'!D25</f>
        <v>354</v>
      </c>
      <c r="E44" s="309">
        <f>'April 2025 - Prodn &amp; Sales'!E25</f>
        <v>38196</v>
      </c>
      <c r="F44" s="309">
        <f>'April 2025 - Prodn &amp; Sales'!F25</f>
        <v>48200</v>
      </c>
      <c r="G44" s="309">
        <f>'April 2025 - Prodn &amp; Sales'!G25</f>
        <v>1980</v>
      </c>
      <c r="H44" s="309">
        <f>'April 2025 - Prodn &amp; Sales'!H25</f>
        <v>50180</v>
      </c>
      <c r="I44" s="309">
        <f>'April 2025 - Prodn &amp; Sales'!I25</f>
        <v>1754286.0099999998</v>
      </c>
      <c r="J44" s="309">
        <f>'April 2025 - Prodn &amp; Sales'!J25</f>
        <v>6543.11</v>
      </c>
      <c r="K44" s="309">
        <f>'April 2025 - Prodn &amp; Sales'!K25</f>
        <v>1760829.1199999999</v>
      </c>
      <c r="L44" s="630">
        <f>(F44+F45+F46+F47)/(E44+E45+E46+E47)</f>
        <v>0.72401082819726503</v>
      </c>
      <c r="M44" s="287">
        <f t="shared" si="14"/>
        <v>36.395975311203316</v>
      </c>
      <c r="N44" s="280">
        <f t="shared" si="12"/>
        <v>0.28139027821445328</v>
      </c>
      <c r="O44" s="281">
        <f>'Jan 2025-Prodn &amp; Sales Analysis'!O25</f>
        <v>5210.584615384616</v>
      </c>
      <c r="P44" s="288">
        <f t="shared" si="15"/>
        <v>88.780824829931959</v>
      </c>
      <c r="Q44" s="628">
        <f>(K44+K45+K46+K47)*12/(O44+O45+O46+O47)/129.3434</f>
        <v>13.943969630707295</v>
      </c>
      <c r="R44" s="16"/>
    </row>
    <row r="45" spans="2:18" ht="15" customHeight="1" x14ac:dyDescent="0.2">
      <c r="B45" s="319" t="s">
        <v>47</v>
      </c>
      <c r="C45" s="320">
        <f>'April 2025 - Prodn &amp; Sales'!C48</f>
        <v>34696</v>
      </c>
      <c r="D45" s="320">
        <f>'April 2025 - Prodn &amp; Sales'!D48</f>
        <v>225</v>
      </c>
      <c r="E45" s="320">
        <f>'April 2025 - Prodn &amp; Sales'!E48</f>
        <v>34471</v>
      </c>
      <c r="F45" s="320">
        <f>'April 2025 - Prodn &amp; Sales'!F48</f>
        <v>11010</v>
      </c>
      <c r="G45" s="320">
        <f>'April 2025 - Prodn &amp; Sales'!G48</f>
        <v>10360</v>
      </c>
      <c r="H45" s="320">
        <f>'April 2025 - Prodn &amp; Sales'!H48</f>
        <v>21370</v>
      </c>
      <c r="I45" s="320">
        <f>'April 2025 - Prodn &amp; Sales'!I48</f>
        <v>368780.70999999996</v>
      </c>
      <c r="J45" s="320">
        <f>'April 2025 - Prodn &amp; Sales'!J48</f>
        <v>34818.980000000003</v>
      </c>
      <c r="K45" s="320">
        <f>'April 2025 - Prodn &amp; Sales'!K48</f>
        <v>403599.68999999994</v>
      </c>
      <c r="L45" s="631"/>
      <c r="M45" s="297">
        <f t="shared" si="14"/>
        <v>33.495069028156216</v>
      </c>
      <c r="N45" s="298">
        <f t="shared" si="12"/>
        <v>0.25896233613896197</v>
      </c>
      <c r="O45" s="299">
        <f>'Jan 2025-Prodn &amp; Sales Analysis'!O52</f>
        <v>4993.4769230769225</v>
      </c>
      <c r="P45" s="300">
        <f t="shared" si="15"/>
        <v>83.379177758059754</v>
      </c>
      <c r="Q45" s="633"/>
      <c r="R45" s="16"/>
    </row>
    <row r="46" spans="2:18" ht="15" customHeight="1" x14ac:dyDescent="0.2">
      <c r="B46" s="319" t="s">
        <v>64</v>
      </c>
      <c r="C46" s="296">
        <f>'April 2025 - Prodn &amp; Sales'!C52</f>
        <v>15916</v>
      </c>
      <c r="D46" s="296">
        <f>'April 2025 - Prodn &amp; Sales'!D52</f>
        <v>190</v>
      </c>
      <c r="E46" s="296">
        <f>'April 2025 - Prodn &amp; Sales'!E52</f>
        <v>15726</v>
      </c>
      <c r="F46" s="296">
        <f>'April 2025 - Prodn &amp; Sales'!F52</f>
        <v>9050</v>
      </c>
      <c r="G46" s="296">
        <f>'April 2025 - Prodn &amp; Sales'!G52</f>
        <v>3220</v>
      </c>
      <c r="H46" s="296">
        <f>'April 2025 - Prodn &amp; Sales'!H52</f>
        <v>12270</v>
      </c>
      <c r="I46" s="296">
        <f>'April 2025 - Prodn &amp; Sales'!I52</f>
        <v>320564.32999999996</v>
      </c>
      <c r="J46" s="296">
        <f>'April 2025 - Prodn &amp; Sales'!J52</f>
        <v>10482.75</v>
      </c>
      <c r="K46" s="296">
        <f>'April 2025 - Prodn &amp; Sales'!K52</f>
        <v>331047.07999999996</v>
      </c>
      <c r="L46" s="631"/>
      <c r="M46" s="297">
        <f t="shared" si="14"/>
        <v>35.42147292817679</v>
      </c>
      <c r="N46" s="298">
        <f t="shared" si="12"/>
        <v>0.27385605240141198</v>
      </c>
      <c r="O46" s="299">
        <f>'Jan 2025-Prodn &amp; Sales Analysis'!O53</f>
        <v>5009.7230769230764</v>
      </c>
      <c r="P46" s="300">
        <f t="shared" si="15"/>
        <v>38.124262971698116</v>
      </c>
      <c r="Q46" s="633"/>
      <c r="R46" s="16" t="s">
        <v>118</v>
      </c>
    </row>
    <row r="47" spans="2:18" ht="15" customHeight="1" thickBot="1" x14ac:dyDescent="0.25">
      <c r="B47" s="321" t="s">
        <v>57</v>
      </c>
      <c r="C47" s="315">
        <f>'April 2025 - Prodn &amp; Sales'!C51</f>
        <v>11835</v>
      </c>
      <c r="D47" s="315">
        <f>'April 2025 - Prodn &amp; Sales'!D51</f>
        <v>119</v>
      </c>
      <c r="E47" s="315">
        <f>'April 2025 - Prodn &amp; Sales'!E51</f>
        <v>11716</v>
      </c>
      <c r="F47" s="315">
        <f>'April 2025 - Prodn &amp; Sales'!F51</f>
        <v>4220</v>
      </c>
      <c r="G47" s="315">
        <f>'April 2025 - Prodn &amp; Sales'!G51</f>
        <v>1560</v>
      </c>
      <c r="H47" s="315">
        <f>'April 2025 - Prodn &amp; Sales'!H51</f>
        <v>5780</v>
      </c>
      <c r="I47" s="315">
        <f>'April 2025 - Prodn &amp; Sales'!I51</f>
        <v>158699</v>
      </c>
      <c r="J47" s="315">
        <f>'April 2025 - Prodn &amp; Sales'!J51</f>
        <v>5327.59</v>
      </c>
      <c r="K47" s="315">
        <f>'April 2025 - Prodn &amp; Sales'!K51</f>
        <v>164026.59</v>
      </c>
      <c r="L47" s="632"/>
      <c r="M47" s="290">
        <f t="shared" si="14"/>
        <v>37.606398104265402</v>
      </c>
      <c r="N47" s="298">
        <f t="shared" si="12"/>
        <v>0.2907484889392532</v>
      </c>
      <c r="O47" s="257">
        <f>'Jan 2025-Prodn &amp; Sales Analysis'!O49</f>
        <v>2481.2307692307691</v>
      </c>
      <c r="P47" s="291">
        <f t="shared" si="15"/>
        <v>57.237723214285722</v>
      </c>
      <c r="Q47" s="629"/>
      <c r="R47" s="16"/>
    </row>
    <row r="48" spans="2:18" ht="15" customHeight="1" x14ac:dyDescent="0.2">
      <c r="B48" s="316" t="s">
        <v>51</v>
      </c>
      <c r="C48" s="304">
        <f>'April 2025 - Prodn &amp; Sales'!C41</f>
        <v>56639</v>
      </c>
      <c r="D48" s="304">
        <f>'April 2025 - Prodn &amp; Sales'!D41</f>
        <v>240</v>
      </c>
      <c r="E48" s="304">
        <f>'April 2025 - Prodn &amp; Sales'!E41</f>
        <v>56399</v>
      </c>
      <c r="F48" s="304">
        <f>'April 2025 - Prodn &amp; Sales'!F41</f>
        <v>38890</v>
      </c>
      <c r="G48" s="304">
        <f>'April 2025 - Prodn &amp; Sales'!G41</f>
        <v>3340</v>
      </c>
      <c r="H48" s="304">
        <f>'April 2025 - Prodn &amp; Sales'!H41</f>
        <v>42230</v>
      </c>
      <c r="I48" s="304">
        <f>'April 2025 - Prodn &amp; Sales'!I41</f>
        <v>1353883.1199999999</v>
      </c>
      <c r="J48" s="304">
        <f>'April 2025 - Prodn &amp; Sales'!J41</f>
        <v>11258.63</v>
      </c>
      <c r="K48" s="304">
        <f>'April 2025 - Prodn &amp; Sales'!K41</f>
        <v>1365141.7499999998</v>
      </c>
      <c r="L48" s="626">
        <f>(F48+F49)/(E48+E49)</f>
        <v>0.6470544755709956</v>
      </c>
      <c r="M48" s="279">
        <f t="shared" si="14"/>
        <v>34.813142710208275</v>
      </c>
      <c r="N48" s="231">
        <f t="shared" si="12"/>
        <v>0.26915283431708364</v>
      </c>
      <c r="O48" s="281">
        <f>'Jan 2025-Prodn &amp; Sales Analysis'!O26</f>
        <v>8436.1846153846163</v>
      </c>
      <c r="P48" s="229">
        <f t="shared" si="15"/>
        <v>80.565804446778714</v>
      </c>
      <c r="Q48" s="628">
        <f>(K48+K49)*12/(O48+O49)/129.3434</f>
        <v>13.483477807163871</v>
      </c>
    </row>
    <row r="49" spans="1:18" ht="15" customHeight="1" thickBot="1" x14ac:dyDescent="0.25">
      <c r="B49" s="400" t="s">
        <v>42</v>
      </c>
      <c r="C49" s="283">
        <f>'April 2025 - Prodn &amp; Sales'!C47</f>
        <v>11304</v>
      </c>
      <c r="D49" s="283">
        <f>'April 2025 - Prodn &amp; Sales'!D47</f>
        <v>58</v>
      </c>
      <c r="E49" s="283">
        <f>'April 2025 - Prodn &amp; Sales'!E47</f>
        <v>11246</v>
      </c>
      <c r="F49" s="283">
        <f>'April 2025 - Prodn &amp; Sales'!F47</f>
        <v>4880</v>
      </c>
      <c r="G49" s="283">
        <f>'April 2025 - Prodn &amp; Sales'!G47</f>
        <v>1440</v>
      </c>
      <c r="H49" s="283">
        <f>'April 2025 - Prodn &amp; Sales'!H47</f>
        <v>6320</v>
      </c>
      <c r="I49" s="283">
        <f>'April 2025 - Prodn &amp; Sales'!I47</f>
        <v>199043.04</v>
      </c>
      <c r="J49" s="283">
        <f>'April 2025 - Prodn &amp; Sales'!J47</f>
        <v>4448.28</v>
      </c>
      <c r="K49" s="283">
        <f>'April 2025 - Prodn &amp; Sales'!K47</f>
        <v>203491.32</v>
      </c>
      <c r="L49" s="627"/>
      <c r="M49" s="284">
        <f t="shared" si="14"/>
        <v>40.787508196721312</v>
      </c>
      <c r="N49" s="237">
        <f t="shared" si="12"/>
        <v>0.315342786695891</v>
      </c>
      <c r="O49" s="257">
        <f>'Jan 2025-Prodn &amp; Sales Analysis'!O37</f>
        <v>2357.1692307692306</v>
      </c>
      <c r="P49" s="242">
        <f t="shared" si="15"/>
        <v>57.546992481203006</v>
      </c>
      <c r="Q49" s="629"/>
      <c r="R49" s="16"/>
    </row>
    <row r="50" spans="1:18" ht="15" customHeight="1" thickBot="1" x14ac:dyDescent="0.25">
      <c r="B50" s="350" t="s">
        <v>40</v>
      </c>
      <c r="C50" s="296">
        <f>'April 2025 - Prodn &amp; Sales'!C43</f>
        <v>17289</v>
      </c>
      <c r="D50" s="296">
        <f>'April 2025 - Prodn &amp; Sales'!D43</f>
        <v>68</v>
      </c>
      <c r="E50" s="296">
        <f>'April 2025 - Prodn &amp; Sales'!E43</f>
        <v>17221</v>
      </c>
      <c r="F50" s="296">
        <f>'April 2025 - Prodn &amp; Sales'!F43</f>
        <v>9320</v>
      </c>
      <c r="G50" s="296">
        <f>'April 2025 - Prodn &amp; Sales'!G43</f>
        <v>720</v>
      </c>
      <c r="H50" s="296">
        <f>'April 2025 - Prodn &amp; Sales'!H43</f>
        <v>10040</v>
      </c>
      <c r="I50" s="296">
        <f>'April 2025 - Prodn &amp; Sales'!I43</f>
        <v>352714.91</v>
      </c>
      <c r="J50" s="296">
        <f>'April 2025 - Prodn &amp; Sales'!J43</f>
        <v>2224.14</v>
      </c>
      <c r="K50" s="296">
        <f>'April 2025 - Prodn &amp; Sales'!K43</f>
        <v>354939.05</v>
      </c>
      <c r="L50" s="324">
        <f>F50/E50</f>
        <v>0.54119969804308687</v>
      </c>
      <c r="M50" s="347">
        <f t="shared" si="11"/>
        <v>37.844947424892702</v>
      </c>
      <c r="N50" s="348">
        <f t="shared" si="12"/>
        <v>0.29259279889729745</v>
      </c>
      <c r="O50" s="20">
        <f>'Jan 2025-Prodn &amp; Sales Analysis'!O42</f>
        <v>2481.2307692307691</v>
      </c>
      <c r="P50" s="20">
        <f t="shared" si="13"/>
        <v>83.614955357142861</v>
      </c>
      <c r="Q50" s="401">
        <f>(K50)*12/(O50)/129.3434</f>
        <v>13.271609590337851</v>
      </c>
      <c r="R50" s="16"/>
    </row>
    <row r="51" spans="1:18" ht="15" customHeight="1" x14ac:dyDescent="0.2">
      <c r="B51" s="308" t="s">
        <v>55</v>
      </c>
      <c r="C51" s="309">
        <f>'April 2025 - Prodn &amp; Sales'!C37</f>
        <v>37047</v>
      </c>
      <c r="D51" s="309">
        <f>'April 2025 - Prodn &amp; Sales'!D37</f>
        <v>175</v>
      </c>
      <c r="E51" s="309">
        <f>'April 2025 - Prodn &amp; Sales'!E37</f>
        <v>36872</v>
      </c>
      <c r="F51" s="309">
        <f>'April 2025 - Prodn &amp; Sales'!F37</f>
        <v>24560</v>
      </c>
      <c r="G51" s="309">
        <f>'April 2025 - Prodn &amp; Sales'!G37</f>
        <v>3160</v>
      </c>
      <c r="H51" s="309">
        <f>'April 2025 - Prodn &amp; Sales'!H37</f>
        <v>27720</v>
      </c>
      <c r="I51" s="309">
        <f>'April 2025 - Prodn &amp; Sales'!I37</f>
        <v>891604.63</v>
      </c>
      <c r="J51" s="309">
        <f>'April 2025 - Prodn &amp; Sales'!J37</f>
        <v>10499.99</v>
      </c>
      <c r="K51" s="309">
        <f>'April 2025 - Prodn &amp; Sales'!K37</f>
        <v>902104.62</v>
      </c>
      <c r="L51" s="626">
        <f>(F51+F52)/(E51+E52)</f>
        <v>0.49921245251551932</v>
      </c>
      <c r="M51" s="287">
        <f t="shared" si="11"/>
        <v>36.303120114006518</v>
      </c>
      <c r="N51" s="231">
        <f t="shared" si="12"/>
        <v>0.28067238153633289</v>
      </c>
      <c r="O51" s="281">
        <f>'Jan 2025-Prodn &amp; Sales Analysis'!O39</f>
        <v>5055.5076923076922</v>
      </c>
      <c r="P51" s="288">
        <f t="shared" si="13"/>
        <v>87.936568799298868</v>
      </c>
      <c r="Q51" s="628">
        <f>(K51+K52)*12/(O51+O52)/129.3434</f>
        <v>12.446912509568357</v>
      </c>
      <c r="R51" s="16"/>
    </row>
    <row r="52" spans="1:18" ht="15" customHeight="1" thickBot="1" x14ac:dyDescent="0.25">
      <c r="B52" s="310" t="s">
        <v>63</v>
      </c>
      <c r="C52" s="283">
        <f>'April 2025 - Prodn &amp; Sales'!C53</f>
        <v>17143</v>
      </c>
      <c r="D52" s="283">
        <f>'April 2025 - Prodn &amp; Sales'!D53</f>
        <v>50</v>
      </c>
      <c r="E52" s="283">
        <f>'April 2025 - Prodn &amp; Sales'!E53</f>
        <v>17093</v>
      </c>
      <c r="F52" s="283">
        <f>'April 2025 - Prodn &amp; Sales'!F53</f>
        <v>2380</v>
      </c>
      <c r="G52" s="283">
        <f>'April 2025 - Prodn &amp; Sales'!G53</f>
        <v>4640</v>
      </c>
      <c r="H52" s="283">
        <f>'April 2025 - Prodn &amp; Sales'!H53</f>
        <v>7020</v>
      </c>
      <c r="I52" s="283">
        <f>'April 2025 - Prodn &amp; Sales'!I53</f>
        <v>93174.51999999999</v>
      </c>
      <c r="J52" s="283">
        <f>'April 2025 - Prodn &amp; Sales'!J53</f>
        <v>15853.45</v>
      </c>
      <c r="K52" s="283">
        <f>'April 2025 - Prodn &amp; Sales'!K53</f>
        <v>109027.96999999999</v>
      </c>
      <c r="L52" s="627"/>
      <c r="M52" s="290">
        <f t="shared" si="11"/>
        <v>39.14895798319327</v>
      </c>
      <c r="N52" s="237">
        <f t="shared" si="12"/>
        <v>0.30267457004526915</v>
      </c>
      <c r="O52" s="257">
        <f>'Jan 2025-Prodn &amp; Sales Analysis'!O50</f>
        <v>2481.2307692307691</v>
      </c>
      <c r="P52" s="291">
        <f t="shared" si="13"/>
        <v>82.908854166666671</v>
      </c>
      <c r="Q52" s="629"/>
      <c r="R52" s="16"/>
    </row>
    <row r="53" spans="1:18" ht="15" customHeight="1" x14ac:dyDescent="0.2">
      <c r="B53" s="322" t="s">
        <v>54</v>
      </c>
      <c r="C53" s="278">
        <f>'April 2025 - Prodn &amp; Sales'!C44</f>
        <v>36121</v>
      </c>
      <c r="D53" s="278">
        <f>'April 2025 - Prodn &amp; Sales'!D44</f>
        <v>146</v>
      </c>
      <c r="E53" s="278">
        <f>'April 2025 - Prodn &amp; Sales'!E44</f>
        <v>35975</v>
      </c>
      <c r="F53" s="278">
        <f>'April 2025 - Prodn &amp; Sales'!F44</f>
        <v>13940</v>
      </c>
      <c r="G53" s="278">
        <f>'April 2025 - Prodn &amp; Sales'!G44</f>
        <v>6140</v>
      </c>
      <c r="H53" s="278">
        <f>'April 2025 - Prodn &amp; Sales'!H44</f>
        <v>20080</v>
      </c>
      <c r="I53" s="278">
        <f>'April 2025 - Prodn &amp; Sales'!I44</f>
        <v>496904.94000000006</v>
      </c>
      <c r="J53" s="278">
        <f>'April 2025 - Prodn &amp; Sales'!J44</f>
        <v>21025.88</v>
      </c>
      <c r="K53" s="278">
        <f>'April 2025 - Prodn &amp; Sales'!K44</f>
        <v>517930.82000000007</v>
      </c>
      <c r="L53" s="626">
        <f>(F53+F54)/(E53+E54)</f>
        <v>0.53711843219484656</v>
      </c>
      <c r="M53" s="287">
        <f t="shared" si="11"/>
        <v>35.645978479196557</v>
      </c>
      <c r="N53" s="231">
        <f t="shared" si="12"/>
        <v>0.27559178496310255</v>
      </c>
      <c r="O53" s="281">
        <f>'Jan 2025-Prodn &amp; Sales Analysis'!O44</f>
        <v>4652.3076923076915</v>
      </c>
      <c r="P53" s="288">
        <f t="shared" si="13"/>
        <v>93.169246031746056</v>
      </c>
      <c r="Q53" s="628">
        <f>(K53+K54)*12/(O53+O54)/129.3434</f>
        <v>12.381474845809132</v>
      </c>
      <c r="R53" s="16"/>
    </row>
    <row r="54" spans="1:18" ht="15" customHeight="1" thickBot="1" x14ac:dyDescent="0.25">
      <c r="B54" s="323" t="s">
        <v>60</v>
      </c>
      <c r="C54" s="283">
        <f>'April 2025 - Prodn &amp; Sales'!C38</f>
        <v>13703</v>
      </c>
      <c r="D54" s="283">
        <f>'April 2025 - Prodn &amp; Sales'!D38</f>
        <v>80</v>
      </c>
      <c r="E54" s="283">
        <f>'April 2025 - Prodn &amp; Sales'!E38</f>
        <v>13623</v>
      </c>
      <c r="F54" s="283">
        <f>'April 2025 - Prodn &amp; Sales'!F38</f>
        <v>12700</v>
      </c>
      <c r="G54" s="283">
        <f>'April 2025 - Prodn &amp; Sales'!G38</f>
        <v>840</v>
      </c>
      <c r="H54" s="283">
        <f>'April 2025 - Prodn &amp; Sales'!H38</f>
        <v>13540</v>
      </c>
      <c r="I54" s="283">
        <f>'April 2025 - Prodn &amp; Sales'!I38</f>
        <v>447788.60000000003</v>
      </c>
      <c r="J54" s="283">
        <f>'April 2025 - Prodn &amp; Sales'!J38</f>
        <v>2844.83</v>
      </c>
      <c r="K54" s="283">
        <f>'April 2025 - Prodn &amp; Sales'!K38</f>
        <v>450633.43000000005</v>
      </c>
      <c r="L54" s="627"/>
      <c r="M54" s="290">
        <f t="shared" si="11"/>
        <v>35.258944881889768</v>
      </c>
      <c r="N54" s="237">
        <f t="shared" si="12"/>
        <v>0.27259949005430323</v>
      </c>
      <c r="O54" s="257">
        <f>'Jan 2025-Prodn &amp; Sales Analysis'!O33</f>
        <v>2605.292307692308</v>
      </c>
      <c r="P54" s="291">
        <f t="shared" si="13"/>
        <v>63.116142290249421</v>
      </c>
      <c r="Q54" s="629"/>
      <c r="R54" s="16"/>
    </row>
    <row r="55" spans="1:18" ht="15" customHeight="1" x14ac:dyDescent="0.2">
      <c r="B55" s="343" t="s">
        <v>38</v>
      </c>
      <c r="C55" s="344">
        <f>'April 2025 - Prodn &amp; Sales'!C46</f>
        <v>16933</v>
      </c>
      <c r="D55" s="344">
        <f>'April 2025 - Prodn &amp; Sales'!D46</f>
        <v>142</v>
      </c>
      <c r="E55" s="344">
        <f>'April 2025 - Prodn &amp; Sales'!E46</f>
        <v>16791</v>
      </c>
      <c r="F55" s="344">
        <f>'April 2025 - Prodn &amp; Sales'!F46</f>
        <v>6980</v>
      </c>
      <c r="G55" s="344">
        <f>'April 2025 - Prodn &amp; Sales'!G46</f>
        <v>120</v>
      </c>
      <c r="H55" s="344">
        <f>'April 2025 - Prodn &amp; Sales'!H46</f>
        <v>7100</v>
      </c>
      <c r="I55" s="344">
        <f>'April 2025 - Prodn &amp; Sales'!I46</f>
        <v>265993.11</v>
      </c>
      <c r="J55" s="344">
        <f>'April 2025 - Prodn &amp; Sales'!J46</f>
        <v>362.07</v>
      </c>
      <c r="K55" s="344">
        <f>'April 2025 - Prodn &amp; Sales'!K46</f>
        <v>266355.18</v>
      </c>
      <c r="L55" s="324">
        <f>F55/E55</f>
        <v>0.41569888630814128</v>
      </c>
      <c r="M55" s="345">
        <f>I55/F55</f>
        <v>38.107895415472775</v>
      </c>
      <c r="N55" s="346">
        <f t="shared" si="12"/>
        <v>0.2946257436828843</v>
      </c>
      <c r="O55" s="250">
        <f>'Jan 2025-Prodn &amp; Sales Analysis'!O46</f>
        <v>3039.5076923076917</v>
      </c>
      <c r="P55" s="250">
        <f>C55/O55*12</f>
        <v>66.851615646258509</v>
      </c>
      <c r="Q55" s="325">
        <f>(K55*12/O55)/129.3434</f>
        <v>8.1300810202033631</v>
      </c>
      <c r="R55" s="16"/>
    </row>
    <row r="56" spans="1:18" ht="15" customHeight="1" thickBot="1" x14ac:dyDescent="0.25">
      <c r="B56" s="21" t="s">
        <v>35</v>
      </c>
      <c r="C56" s="39">
        <f t="shared" ref="C56:K56" si="16">SUM(C25:C55)</f>
        <v>788324</v>
      </c>
      <c r="D56" s="39">
        <f t="shared" si="16"/>
        <v>4085</v>
      </c>
      <c r="E56" s="39">
        <f t="shared" si="16"/>
        <v>784239</v>
      </c>
      <c r="F56" s="39">
        <f t="shared" si="16"/>
        <v>511440</v>
      </c>
      <c r="G56" s="39">
        <f t="shared" si="16"/>
        <v>67300</v>
      </c>
      <c r="H56" s="39">
        <f t="shared" si="16"/>
        <v>578740</v>
      </c>
      <c r="I56" s="39">
        <f t="shared" si="16"/>
        <v>18439804.919999998</v>
      </c>
      <c r="J56" s="39">
        <f t="shared" si="16"/>
        <v>224189.72</v>
      </c>
      <c r="K56" s="39">
        <f t="shared" si="16"/>
        <v>18663994.639999997</v>
      </c>
      <c r="L56" s="326">
        <f>F56/E56</f>
        <v>0.65214813341341094</v>
      </c>
      <c r="M56" s="39">
        <f>I56/F56</f>
        <v>36.054678789300795</v>
      </c>
      <c r="N56" s="327">
        <f t="shared" si="12"/>
        <v>0.27875159296338886</v>
      </c>
      <c r="O56" s="52">
        <f>SUM(O25:O55)</f>
        <v>106988.30769230767</v>
      </c>
      <c r="P56" s="328">
        <f>(C56/O56)*12</f>
        <v>88.419830204307033</v>
      </c>
      <c r="Q56" s="329">
        <f>(K56*12/O56)/129.3434</f>
        <v>16.184722451673803</v>
      </c>
      <c r="R56" s="330"/>
    </row>
    <row r="57" spans="1:18" ht="17.25" customHeight="1" thickTop="1" thickBot="1" x14ac:dyDescent="0.25">
      <c r="B57" s="26" t="s">
        <v>36</v>
      </c>
      <c r="C57" s="331"/>
      <c r="D57" s="275">
        <f>D56/C56</f>
        <v>5.1818795317661263E-3</v>
      </c>
      <c r="E57" s="332">
        <f>E56/C56</f>
        <v>0.99481812046823392</v>
      </c>
      <c r="F57" s="333"/>
      <c r="G57" s="30"/>
      <c r="H57" s="30"/>
      <c r="I57" s="30"/>
      <c r="J57" s="30"/>
      <c r="K57" s="30"/>
      <c r="L57" s="32"/>
      <c r="M57" s="30"/>
      <c r="N57" s="43"/>
      <c r="O57" s="34"/>
      <c r="P57" s="34"/>
      <c r="Q57" s="34"/>
    </row>
    <row r="58" spans="1:18" ht="18.75" customHeight="1" thickTop="1" x14ac:dyDescent="0.2">
      <c r="M58" s="45"/>
      <c r="N58" s="46"/>
      <c r="O58" s="47"/>
    </row>
    <row r="59" spans="1:18" s="48" customFormat="1" ht="15" customHeight="1" thickBot="1" x14ac:dyDescent="0.25">
      <c r="B59" s="49" t="s">
        <v>68</v>
      </c>
      <c r="C59" s="50">
        <f t="shared" ref="C59:K59" si="17">C22+C56</f>
        <v>1910357</v>
      </c>
      <c r="D59" s="51">
        <f t="shared" si="17"/>
        <v>9790</v>
      </c>
      <c r="E59" s="51">
        <f t="shared" si="17"/>
        <v>1900567</v>
      </c>
      <c r="F59" s="52">
        <f t="shared" si="17"/>
        <v>1370795</v>
      </c>
      <c r="G59" s="334">
        <f t="shared" si="17"/>
        <v>314200</v>
      </c>
      <c r="H59" s="23">
        <f t="shared" si="17"/>
        <v>1684995</v>
      </c>
      <c r="I59" s="53">
        <f t="shared" si="17"/>
        <v>31792432.309999995</v>
      </c>
      <c r="J59" s="334">
        <f t="shared" si="17"/>
        <v>968319.24000000011</v>
      </c>
      <c r="K59" s="52">
        <f t="shared" si="17"/>
        <v>32760751.549999997</v>
      </c>
      <c r="L59" s="335">
        <f>F59/E59</f>
        <v>0.72125581471213596</v>
      </c>
      <c r="M59" s="53">
        <f>I59/F59</f>
        <v>23.192696435280254</v>
      </c>
      <c r="N59" s="327">
        <f>M59/129.3434</f>
        <v>0.17931101575557976</v>
      </c>
      <c r="O59" s="52">
        <f>O56+O22</f>
        <v>193940.67692307688</v>
      </c>
      <c r="P59" s="328">
        <f>(C59/O59)*12</f>
        <v>118.20255741962018</v>
      </c>
      <c r="Q59" s="329">
        <f>(K59*12/O59)/129.3434</f>
        <v>15.671909756410695</v>
      </c>
    </row>
    <row r="60" spans="1:18" ht="16.5" customHeight="1" thickTop="1" thickBot="1" x14ac:dyDescent="0.25">
      <c r="B60" s="26" t="s">
        <v>36</v>
      </c>
      <c r="C60" s="336"/>
      <c r="D60" s="337">
        <f>D59/C59</f>
        <v>5.1246965881246278E-3</v>
      </c>
      <c r="E60" s="338">
        <f>E59/C59</f>
        <v>0.99487530341187536</v>
      </c>
      <c r="G60" s="56"/>
      <c r="N60" s="46"/>
    </row>
    <row r="61" spans="1:18" ht="16.5" customHeight="1" thickTop="1" x14ac:dyDescent="0.2">
      <c r="G61" s="57"/>
      <c r="H61" s="45"/>
    </row>
    <row r="62" spans="1:18" ht="16.5" customHeight="1" x14ac:dyDescent="0.2">
      <c r="A62" s="16"/>
      <c r="B62" s="48" t="s">
        <v>69</v>
      </c>
    </row>
    <row r="63" spans="1:18" ht="16.5" customHeight="1" x14ac:dyDescent="0.2">
      <c r="A63" s="16">
        <v>1</v>
      </c>
      <c r="B63" s="16" t="s">
        <v>70</v>
      </c>
    </row>
    <row r="64" spans="1:18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</sheetData>
  <mergeCells count="37">
    <mergeCell ref="L44:L47"/>
    <mergeCell ref="Q44:Q47"/>
    <mergeCell ref="L51:L52"/>
    <mergeCell ref="Q51:Q52"/>
    <mergeCell ref="L53:L54"/>
    <mergeCell ref="Q53:Q54"/>
    <mergeCell ref="L48:L49"/>
    <mergeCell ref="Q48:Q49"/>
    <mergeCell ref="L35:L37"/>
    <mergeCell ref="Q35:Q37"/>
    <mergeCell ref="L29:L32"/>
    <mergeCell ref="Q29:Q32"/>
    <mergeCell ref="L42:L43"/>
    <mergeCell ref="Q42:Q43"/>
    <mergeCell ref="L40:L41"/>
    <mergeCell ref="Q40:Q41"/>
    <mergeCell ref="L27:L28"/>
    <mergeCell ref="Q27:Q28"/>
    <mergeCell ref="L33:L34"/>
    <mergeCell ref="Q33:Q34"/>
    <mergeCell ref="L6:L7"/>
    <mergeCell ref="Q6:Q7"/>
    <mergeCell ref="L12:L13"/>
    <mergeCell ref="Q12:Q13"/>
    <mergeCell ref="L14:L15"/>
    <mergeCell ref="Q14:Q15"/>
    <mergeCell ref="L17:L19"/>
    <mergeCell ref="Q17:Q19"/>
    <mergeCell ref="B24:Q24"/>
    <mergeCell ref="L25:L26"/>
    <mergeCell ref="Q25:Q26"/>
    <mergeCell ref="B1:Q1"/>
    <mergeCell ref="B2:Q2"/>
    <mergeCell ref="B3:Q3"/>
    <mergeCell ref="B5:Q5"/>
    <mergeCell ref="L9:L10"/>
    <mergeCell ref="Q9:Q10"/>
  </mergeCells>
  <conditionalFormatting sqref="P6:P21">
    <cfRule type="cellIs" dxfId="47" priority="2" operator="lessThan">
      <formula>140</formula>
    </cfRule>
    <cfRule type="cellIs" priority="3" operator="lessThan">
      <formula>140</formula>
    </cfRule>
    <cfRule type="cellIs" dxfId="46" priority="4" operator="lessThan">
      <formula>140</formula>
    </cfRule>
    <cfRule type="cellIs" dxfId="45" priority="5" operator="lessThan">
      <formula>80</formula>
    </cfRule>
  </conditionalFormatting>
  <conditionalFormatting sqref="P25:P37 P40:P56">
    <cfRule type="cellIs" dxfId="44" priority="1" operator="between">
      <formula>0</formula>
      <formula>78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R118"/>
  <sheetViews>
    <sheetView topLeftCell="A2" workbookViewId="0">
      <pane ySplit="3" topLeftCell="A5" activePane="bottomLeft" state="frozen"/>
      <selection activeCell="A2" sqref="A2"/>
      <selection pane="bottomLeft" activeCell="B16" sqref="B16:F16"/>
    </sheetView>
  </sheetViews>
  <sheetFormatPr defaultColWidth="9.140625" defaultRowHeight="12" x14ac:dyDescent="0.2"/>
  <cols>
    <col min="1" max="1" width="2" style="1" customWidth="1"/>
    <col min="2" max="2" width="30.28515625" style="1" customWidth="1"/>
    <col min="3" max="3" width="10.5703125" style="44" customWidth="1"/>
    <col min="4" max="4" width="8.28515625" style="1" customWidth="1"/>
    <col min="5" max="5" width="10.7109375" style="1" customWidth="1"/>
    <col min="6" max="6" width="9.7109375" style="44" customWidth="1"/>
    <col min="7" max="7" width="9" style="1" customWidth="1"/>
    <col min="8" max="8" width="10.140625" style="1" customWidth="1"/>
    <col min="9" max="9" width="11.28515625" style="45" customWidth="1"/>
    <col min="10" max="10" width="10.5703125" style="45" customWidth="1"/>
    <col min="11" max="11" width="10.7109375" style="45" customWidth="1"/>
    <col min="12" max="12" width="8.7109375" style="1" customWidth="1"/>
    <col min="13" max="14" width="10.42578125" style="1" customWidth="1"/>
    <col min="15" max="15" width="14.28515625" style="1" bestFit="1" customWidth="1"/>
    <col min="16" max="16" width="9.85546875" style="47" customWidth="1"/>
    <col min="17" max="17" width="8.5703125" style="16" customWidth="1"/>
    <col min="18" max="18" width="11.28515625" style="1" customWidth="1"/>
    <col min="19" max="16384" width="9.140625" style="1"/>
  </cols>
  <sheetData>
    <row r="1" spans="2:17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7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7" ht="15" x14ac:dyDescent="0.25">
      <c r="B3" s="622">
        <v>45808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7" ht="34.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454" t="s">
        <v>15</v>
      </c>
      <c r="P4" s="455" t="s">
        <v>16</v>
      </c>
      <c r="Q4" s="456" t="s">
        <v>17</v>
      </c>
    </row>
    <row r="5" spans="2:17" ht="16.5" customHeight="1" x14ac:dyDescent="0.25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7" s="16" customFormat="1" ht="15.75" customHeight="1" x14ac:dyDescent="0.2">
      <c r="B6" s="10" t="s">
        <v>27</v>
      </c>
      <c r="C6" s="352">
        <v>139017</v>
      </c>
      <c r="D6" s="388">
        <v>475</v>
      </c>
      <c r="E6" s="190">
        <f t="shared" ref="E6:E21" si="0">C6-D6</f>
        <v>138542</v>
      </c>
      <c r="F6" s="461">
        <v>142305</v>
      </c>
      <c r="G6" s="353">
        <v>15440</v>
      </c>
      <c r="H6" s="190">
        <f t="shared" ref="H6:H21" si="1">F6+G6</f>
        <v>157745</v>
      </c>
      <c r="I6" s="461">
        <v>2471470.73</v>
      </c>
      <c r="J6" s="474">
        <v>47724.15</v>
      </c>
      <c r="K6" s="198">
        <f t="shared" ref="K6:K21" si="2">I6+J6</f>
        <v>2519194.88</v>
      </c>
      <c r="L6" s="11">
        <f t="shared" ref="L6:L21" si="3">F6/E6</f>
        <v>1.0271614384085692</v>
      </c>
      <c r="M6" s="12">
        <f t="shared" ref="M6:M21" si="4">I6/F6</f>
        <v>17.367420189030604</v>
      </c>
      <c r="N6" s="13">
        <f t="shared" ref="N6:N22" si="5">M6/129.2417</f>
        <v>0.13437938520640477</v>
      </c>
      <c r="O6" s="14">
        <v>8684.3076923076933</v>
      </c>
      <c r="P6" s="14">
        <f t="shared" ref="P6:P21" si="6">C6/O6*12</f>
        <v>192.09406887755102</v>
      </c>
      <c r="Q6" s="15">
        <f t="shared" ref="Q6:Q22" si="7">(K6*12/O6)/129.2417</f>
        <v>26.934266108663486</v>
      </c>
    </row>
    <row r="7" spans="2:17" s="16" customFormat="1" ht="15.75" customHeight="1" x14ac:dyDescent="0.2">
      <c r="B7" s="10" t="s">
        <v>19</v>
      </c>
      <c r="C7" s="352">
        <v>59245</v>
      </c>
      <c r="D7" s="388">
        <v>285</v>
      </c>
      <c r="E7" s="190">
        <f t="shared" si="0"/>
        <v>58960</v>
      </c>
      <c r="F7" s="461">
        <v>57648</v>
      </c>
      <c r="G7" s="353">
        <v>6060</v>
      </c>
      <c r="H7" s="190">
        <f t="shared" si="1"/>
        <v>63708</v>
      </c>
      <c r="I7" s="461">
        <v>938656.1399999999</v>
      </c>
      <c r="J7" s="474">
        <v>18284.52</v>
      </c>
      <c r="K7" s="198">
        <f t="shared" si="2"/>
        <v>956940.65999999992</v>
      </c>
      <c r="L7" s="11">
        <f t="shared" si="3"/>
        <v>0.97774762550881955</v>
      </c>
      <c r="M7" s="12">
        <f t="shared" si="4"/>
        <v>16.282544754371354</v>
      </c>
      <c r="N7" s="13">
        <f t="shared" si="5"/>
        <v>0.12598522577752655</v>
      </c>
      <c r="O7" s="14">
        <v>3349.6615384615388</v>
      </c>
      <c r="P7" s="14">
        <f t="shared" si="6"/>
        <v>212.24233906525569</v>
      </c>
      <c r="Q7" s="15">
        <f t="shared" si="7"/>
        <v>26.525444202483609</v>
      </c>
    </row>
    <row r="8" spans="2:17" s="16" customFormat="1" ht="15.75" customHeight="1" x14ac:dyDescent="0.2">
      <c r="B8" s="10" t="s">
        <v>34</v>
      </c>
      <c r="C8" s="352">
        <v>89057</v>
      </c>
      <c r="D8" s="388">
        <v>307</v>
      </c>
      <c r="E8" s="190">
        <f t="shared" si="0"/>
        <v>88750</v>
      </c>
      <c r="F8" s="461">
        <v>90930</v>
      </c>
      <c r="G8" s="353">
        <v>3660</v>
      </c>
      <c r="H8" s="190">
        <f t="shared" si="1"/>
        <v>94590</v>
      </c>
      <c r="I8" s="461">
        <v>1427793.1800000002</v>
      </c>
      <c r="J8" s="474">
        <v>11301.74</v>
      </c>
      <c r="K8" s="198">
        <f t="shared" si="2"/>
        <v>1439094.9200000002</v>
      </c>
      <c r="L8" s="11">
        <f t="shared" si="3"/>
        <v>1.0245633802816903</v>
      </c>
      <c r="M8" s="12">
        <f t="shared" si="4"/>
        <v>15.702113493896405</v>
      </c>
      <c r="N8" s="13">
        <f t="shared" si="5"/>
        <v>0.12149417327299473</v>
      </c>
      <c r="O8" s="14">
        <v>5334.6461538461526</v>
      </c>
      <c r="P8" s="14">
        <f t="shared" si="6"/>
        <v>200.32893826135108</v>
      </c>
      <c r="Q8" s="15">
        <f t="shared" si="7"/>
        <v>25.047385858890951</v>
      </c>
    </row>
    <row r="9" spans="2:17" s="16" customFormat="1" ht="15.75" customHeight="1" x14ac:dyDescent="0.2">
      <c r="B9" s="10" t="s">
        <v>32</v>
      </c>
      <c r="C9" s="352">
        <v>60046</v>
      </c>
      <c r="D9" s="388">
        <v>616</v>
      </c>
      <c r="E9" s="190">
        <f t="shared" si="0"/>
        <v>59430</v>
      </c>
      <c r="F9" s="461">
        <v>51552</v>
      </c>
      <c r="G9" s="353">
        <v>11080</v>
      </c>
      <c r="H9" s="190">
        <f t="shared" si="1"/>
        <v>62632</v>
      </c>
      <c r="I9" s="461">
        <v>1183703.6600000001</v>
      </c>
      <c r="J9" s="474">
        <v>34310.379999999997</v>
      </c>
      <c r="K9" s="198">
        <f t="shared" si="2"/>
        <v>1218014.04</v>
      </c>
      <c r="L9" s="11">
        <f t="shared" si="3"/>
        <v>0.8674406865219586</v>
      </c>
      <c r="M9" s="12">
        <f t="shared" si="4"/>
        <v>22.961352808814404</v>
      </c>
      <c r="N9" s="13">
        <f t="shared" si="5"/>
        <v>0.17766210757684556</v>
      </c>
      <c r="O9" s="14">
        <v>4962.4615384615381</v>
      </c>
      <c r="P9" s="14">
        <f t="shared" si="6"/>
        <v>145.20052083333334</v>
      </c>
      <c r="Q9" s="15">
        <f t="shared" si="7"/>
        <v>22.789443739078465</v>
      </c>
    </row>
    <row r="10" spans="2:17" s="16" customFormat="1" ht="15.75" customHeight="1" x14ac:dyDescent="0.2">
      <c r="B10" s="10" t="s">
        <v>25</v>
      </c>
      <c r="C10" s="352">
        <v>71979</v>
      </c>
      <c r="D10" s="388">
        <v>288</v>
      </c>
      <c r="E10" s="190">
        <f t="shared" si="0"/>
        <v>71691</v>
      </c>
      <c r="F10" s="461">
        <v>69411</v>
      </c>
      <c r="G10" s="353">
        <v>6380</v>
      </c>
      <c r="H10" s="190">
        <f t="shared" si="1"/>
        <v>75791</v>
      </c>
      <c r="I10" s="461">
        <v>1153135.8599999999</v>
      </c>
      <c r="J10" s="474">
        <v>19586.21</v>
      </c>
      <c r="K10" s="198">
        <f t="shared" si="2"/>
        <v>1172722.0699999998</v>
      </c>
      <c r="L10" s="11">
        <f t="shared" si="3"/>
        <v>0.96819684479223334</v>
      </c>
      <c r="M10" s="12">
        <f t="shared" si="4"/>
        <v>16.613157280546311</v>
      </c>
      <c r="N10" s="13">
        <f t="shared" si="5"/>
        <v>0.12854332061978688</v>
      </c>
      <c r="O10" s="14">
        <v>4794.0923076923082</v>
      </c>
      <c r="P10" s="14">
        <f t="shared" si="6"/>
        <v>180.16924676524951</v>
      </c>
      <c r="Q10" s="15">
        <f t="shared" si="7"/>
        <v>22.712622916213096</v>
      </c>
    </row>
    <row r="11" spans="2:17" s="16" customFormat="1" ht="15.75" customHeight="1" x14ac:dyDescent="0.2">
      <c r="B11" s="10" t="s">
        <v>30</v>
      </c>
      <c r="C11" s="352">
        <v>196466</v>
      </c>
      <c r="D11" s="388">
        <v>477</v>
      </c>
      <c r="E11" s="190">
        <f t="shared" si="0"/>
        <v>195989</v>
      </c>
      <c r="F11" s="461">
        <v>100095</v>
      </c>
      <c r="G11" s="353">
        <v>104880</v>
      </c>
      <c r="H11" s="190">
        <f t="shared" si="1"/>
        <v>204975</v>
      </c>
      <c r="I11" s="461">
        <v>1512843.7900000003</v>
      </c>
      <c r="J11" s="474">
        <v>325396.59000000003</v>
      </c>
      <c r="K11" s="198">
        <f t="shared" si="2"/>
        <v>1838240.3800000004</v>
      </c>
      <c r="L11" s="11">
        <f t="shared" si="3"/>
        <v>0.51071743822357374</v>
      </c>
      <c r="M11" s="12">
        <f t="shared" si="4"/>
        <v>15.114079524451773</v>
      </c>
      <c r="N11" s="13">
        <f t="shared" si="5"/>
        <v>0.11694429525804576</v>
      </c>
      <c r="O11" s="20">
        <v>8374.1538461538439</v>
      </c>
      <c r="P11" s="14">
        <f t="shared" si="6"/>
        <v>281.53196649029985</v>
      </c>
      <c r="Q11" s="15">
        <f t="shared" si="7"/>
        <v>20.381678684420116</v>
      </c>
    </row>
    <row r="12" spans="2:17" s="16" customFormat="1" ht="15.75" customHeight="1" x14ac:dyDescent="0.2">
      <c r="B12" s="10" t="s">
        <v>29</v>
      </c>
      <c r="C12" s="352">
        <v>40333</v>
      </c>
      <c r="D12" s="388">
        <v>387</v>
      </c>
      <c r="E12" s="190">
        <f t="shared" si="0"/>
        <v>39946</v>
      </c>
      <c r="F12" s="461">
        <v>29778</v>
      </c>
      <c r="G12" s="353">
        <v>1320</v>
      </c>
      <c r="H12" s="190">
        <f t="shared" si="1"/>
        <v>31098</v>
      </c>
      <c r="I12" s="461">
        <v>442851.4</v>
      </c>
      <c r="J12" s="474">
        <v>3982.76</v>
      </c>
      <c r="K12" s="198">
        <f t="shared" si="2"/>
        <v>446834.16000000003</v>
      </c>
      <c r="L12" s="11">
        <f t="shared" si="3"/>
        <v>0.74545636609422716</v>
      </c>
      <c r="M12" s="12">
        <f t="shared" si="4"/>
        <v>14.871764389817987</v>
      </c>
      <c r="N12" s="13">
        <f t="shared" si="5"/>
        <v>0.11506939625382509</v>
      </c>
      <c r="O12" s="14">
        <v>2109.0461538461541</v>
      </c>
      <c r="P12" s="14">
        <f t="shared" si="6"/>
        <v>229.48573179271705</v>
      </c>
      <c r="Q12" s="15">
        <f t="shared" si="7"/>
        <v>19.671562966873676</v>
      </c>
    </row>
    <row r="13" spans="2:17" s="16" customFormat="1" ht="15.75" customHeight="1" x14ac:dyDescent="0.2">
      <c r="B13" s="10" t="s">
        <v>21</v>
      </c>
      <c r="C13" s="352">
        <v>59916</v>
      </c>
      <c r="D13" s="388">
        <v>320</v>
      </c>
      <c r="E13" s="190">
        <f t="shared" si="0"/>
        <v>59596</v>
      </c>
      <c r="F13" s="461">
        <v>56928</v>
      </c>
      <c r="G13" s="353">
        <v>1860</v>
      </c>
      <c r="H13" s="190">
        <f t="shared" si="1"/>
        <v>58788</v>
      </c>
      <c r="I13" s="461">
        <v>1096262.83</v>
      </c>
      <c r="J13" s="474">
        <v>5612.08</v>
      </c>
      <c r="K13" s="198">
        <f t="shared" si="2"/>
        <v>1101874.9100000001</v>
      </c>
      <c r="L13" s="11">
        <f t="shared" si="3"/>
        <v>0.95523189475803749</v>
      </c>
      <c r="M13" s="12">
        <f t="shared" si="4"/>
        <v>19.257005867060148</v>
      </c>
      <c r="N13" s="13">
        <f t="shared" si="5"/>
        <v>0.14899994248806805</v>
      </c>
      <c r="O13" s="14">
        <v>5371.8646153846139</v>
      </c>
      <c r="P13" s="14">
        <f t="shared" si="6"/>
        <v>133.84402837347415</v>
      </c>
      <c r="Q13" s="15">
        <f t="shared" si="7"/>
        <v>19.045212356679215</v>
      </c>
    </row>
    <row r="14" spans="2:17" s="16" customFormat="1" ht="15.75" customHeight="1" x14ac:dyDescent="0.2">
      <c r="B14" s="10" t="s">
        <v>24</v>
      </c>
      <c r="C14" s="352">
        <v>73120</v>
      </c>
      <c r="D14" s="388">
        <v>324</v>
      </c>
      <c r="E14" s="190">
        <f t="shared" si="0"/>
        <v>72796</v>
      </c>
      <c r="F14" s="461">
        <v>63863</v>
      </c>
      <c r="G14" s="353">
        <v>11580</v>
      </c>
      <c r="H14" s="190">
        <f t="shared" si="1"/>
        <v>75443</v>
      </c>
      <c r="I14" s="461">
        <v>923066.1399999999</v>
      </c>
      <c r="J14" s="474">
        <v>35094.839999999997</v>
      </c>
      <c r="K14" s="198">
        <f t="shared" si="2"/>
        <v>958160.97999999986</v>
      </c>
      <c r="L14" s="11">
        <f t="shared" si="3"/>
        <v>0.87728721358316386</v>
      </c>
      <c r="M14" s="12">
        <f t="shared" si="4"/>
        <v>14.453848707389254</v>
      </c>
      <c r="N14" s="13">
        <f t="shared" si="5"/>
        <v>0.11183579841018226</v>
      </c>
      <c r="O14" s="14">
        <v>5302.1538461538457</v>
      </c>
      <c r="P14" s="14">
        <f t="shared" si="6"/>
        <v>165.4874651810585</v>
      </c>
      <c r="Q14" s="15">
        <f t="shared" si="7"/>
        <v>16.778948454124311</v>
      </c>
    </row>
    <row r="15" spans="2:17" s="16" customFormat="1" ht="15.75" customHeight="1" x14ac:dyDescent="0.2">
      <c r="B15" s="10" t="s">
        <v>20</v>
      </c>
      <c r="C15" s="352">
        <v>172866</v>
      </c>
      <c r="D15" s="388">
        <v>538</v>
      </c>
      <c r="E15" s="190">
        <f t="shared" si="0"/>
        <v>172328</v>
      </c>
      <c r="F15" s="461">
        <v>97472</v>
      </c>
      <c r="G15" s="353">
        <v>67360</v>
      </c>
      <c r="H15" s="190">
        <f t="shared" si="1"/>
        <v>164832</v>
      </c>
      <c r="I15" s="461">
        <v>1451865.63</v>
      </c>
      <c r="J15" s="474">
        <v>203706.88</v>
      </c>
      <c r="K15" s="198">
        <f t="shared" si="2"/>
        <v>1655572.5099999998</v>
      </c>
      <c r="L15" s="11">
        <f t="shared" si="3"/>
        <v>0.56561905204029528</v>
      </c>
      <c r="M15" s="12">
        <f t="shared" si="4"/>
        <v>14.895207136408404</v>
      </c>
      <c r="N15" s="13">
        <f t="shared" si="5"/>
        <v>0.11525078311727874</v>
      </c>
      <c r="O15" s="14">
        <v>10545.230769230768</v>
      </c>
      <c r="P15" s="14">
        <f t="shared" si="6"/>
        <v>196.71376050420173</v>
      </c>
      <c r="Q15" s="15">
        <f t="shared" si="7"/>
        <v>14.577085546319962</v>
      </c>
    </row>
    <row r="16" spans="2:17" s="16" customFormat="1" ht="15.75" customHeight="1" x14ac:dyDescent="0.2">
      <c r="B16" s="10" t="s">
        <v>28</v>
      </c>
      <c r="C16" s="352">
        <v>122766</v>
      </c>
      <c r="D16" s="388">
        <v>340</v>
      </c>
      <c r="E16" s="190">
        <f t="shared" si="0"/>
        <v>122426</v>
      </c>
      <c r="F16" s="461">
        <v>83864</v>
      </c>
      <c r="G16" s="353">
        <v>44620</v>
      </c>
      <c r="H16" s="190">
        <f t="shared" si="1"/>
        <v>128484</v>
      </c>
      <c r="I16" s="461">
        <v>1364083.1500000001</v>
      </c>
      <c r="J16" s="474">
        <v>134629.34</v>
      </c>
      <c r="K16" s="198">
        <f t="shared" si="2"/>
        <v>1498712.4900000002</v>
      </c>
      <c r="L16" s="11">
        <f t="shared" si="3"/>
        <v>0.68501788835704835</v>
      </c>
      <c r="M16" s="12">
        <f t="shared" si="4"/>
        <v>16.265419607936661</v>
      </c>
      <c r="N16" s="13">
        <f t="shared" si="5"/>
        <v>0.12585272097114678</v>
      </c>
      <c r="O16" s="14">
        <v>10048.984615384614</v>
      </c>
      <c r="P16" s="14">
        <f t="shared" si="6"/>
        <v>146.6010802469136</v>
      </c>
      <c r="Q16" s="15">
        <f t="shared" si="7"/>
        <v>13.847606994098706</v>
      </c>
    </row>
    <row r="17" spans="2:18" s="16" customFormat="1" ht="15.75" customHeight="1" x14ac:dyDescent="0.2">
      <c r="B17" s="10" t="s">
        <v>23</v>
      </c>
      <c r="C17" s="352">
        <v>50986</v>
      </c>
      <c r="D17" s="388">
        <v>285</v>
      </c>
      <c r="E17" s="190">
        <f t="shared" si="0"/>
        <v>50701</v>
      </c>
      <c r="F17" s="461">
        <v>45630</v>
      </c>
      <c r="G17" s="353">
        <v>9040</v>
      </c>
      <c r="H17" s="190">
        <f t="shared" si="1"/>
        <v>54670</v>
      </c>
      <c r="I17" s="461">
        <v>681728.22000000009</v>
      </c>
      <c r="J17" s="474">
        <v>27793.11</v>
      </c>
      <c r="K17" s="198">
        <f t="shared" si="2"/>
        <v>709521.33000000007</v>
      </c>
      <c r="L17" s="11">
        <f t="shared" si="3"/>
        <v>0.899982248870831</v>
      </c>
      <c r="M17" s="12">
        <f t="shared" si="4"/>
        <v>14.940351084812626</v>
      </c>
      <c r="N17" s="13">
        <f t="shared" si="5"/>
        <v>0.11560008174461203</v>
      </c>
      <c r="O17" s="14">
        <v>5173.3661538461538</v>
      </c>
      <c r="P17" s="14">
        <f t="shared" si="6"/>
        <v>118.26574454721938</v>
      </c>
      <c r="Q17" s="15">
        <f t="shared" si="7"/>
        <v>12.734175257160292</v>
      </c>
    </row>
    <row r="18" spans="2:18" s="16" customFormat="1" ht="15.75" customHeight="1" x14ac:dyDescent="0.2">
      <c r="B18" s="10" t="s">
        <v>26</v>
      </c>
      <c r="C18" s="352">
        <v>34259</v>
      </c>
      <c r="D18" s="388">
        <v>241</v>
      </c>
      <c r="E18" s="190">
        <f t="shared" si="0"/>
        <v>34018</v>
      </c>
      <c r="F18" s="461">
        <v>16418</v>
      </c>
      <c r="G18" s="353">
        <v>4380</v>
      </c>
      <c r="H18" s="190">
        <f t="shared" si="1"/>
        <v>20798</v>
      </c>
      <c r="I18" s="461">
        <v>291032.87</v>
      </c>
      <c r="J18" s="474">
        <v>13681.05</v>
      </c>
      <c r="K18" s="198">
        <f t="shared" si="2"/>
        <v>304713.92</v>
      </c>
      <c r="L18" s="11">
        <f t="shared" si="3"/>
        <v>0.48262684461167615</v>
      </c>
      <c r="M18" s="12">
        <f t="shared" si="4"/>
        <v>17.726450846631746</v>
      </c>
      <c r="N18" s="13">
        <f t="shared" si="5"/>
        <v>0.13715736365764103</v>
      </c>
      <c r="O18" s="14">
        <v>2357.1692307692306</v>
      </c>
      <c r="P18" s="14">
        <f t="shared" si="6"/>
        <v>174.40750313283209</v>
      </c>
      <c r="Q18" s="15">
        <f t="shared" si="7"/>
        <v>12.002732158211552</v>
      </c>
    </row>
    <row r="19" spans="2:18" s="16" customFormat="1" ht="15.75" customHeight="1" x14ac:dyDescent="0.2">
      <c r="B19" s="10" t="s">
        <v>33</v>
      </c>
      <c r="C19" s="352">
        <v>25146</v>
      </c>
      <c r="D19" s="388">
        <v>230</v>
      </c>
      <c r="E19" s="190">
        <f t="shared" si="0"/>
        <v>24916</v>
      </c>
      <c r="F19" s="475">
        <v>20348</v>
      </c>
      <c r="G19" s="353">
        <v>2920</v>
      </c>
      <c r="H19" s="190">
        <f t="shared" si="1"/>
        <v>23268</v>
      </c>
      <c r="I19" s="475">
        <v>260653.93</v>
      </c>
      <c r="J19" s="474">
        <v>8810.36</v>
      </c>
      <c r="K19" s="198">
        <f t="shared" si="2"/>
        <v>269464.28999999998</v>
      </c>
      <c r="L19" s="11">
        <f t="shared" si="3"/>
        <v>0.81666399100979292</v>
      </c>
      <c r="M19" s="12">
        <f t="shared" si="4"/>
        <v>12.809805877727541</v>
      </c>
      <c r="N19" s="13">
        <f t="shared" si="5"/>
        <v>9.9115114376610178E-2</v>
      </c>
      <c r="O19" s="14">
        <v>2605.292307692308</v>
      </c>
      <c r="P19" s="14">
        <f t="shared" si="6"/>
        <v>115.82270408163265</v>
      </c>
      <c r="Q19" s="15">
        <f t="shared" si="7"/>
        <v>9.603363031131158</v>
      </c>
    </row>
    <row r="20" spans="2:18" s="16" customFormat="1" ht="15.75" customHeight="1" x14ac:dyDescent="0.2">
      <c r="B20" s="10" t="s">
        <v>22</v>
      </c>
      <c r="C20" s="352">
        <v>52197</v>
      </c>
      <c r="D20" s="388">
        <v>288</v>
      </c>
      <c r="E20" s="190">
        <f t="shared" si="0"/>
        <v>51909</v>
      </c>
      <c r="F20" s="461">
        <v>32193</v>
      </c>
      <c r="G20" s="353">
        <v>13400</v>
      </c>
      <c r="H20" s="190">
        <f t="shared" si="1"/>
        <v>45593</v>
      </c>
      <c r="I20" s="461">
        <v>460224.22000000003</v>
      </c>
      <c r="J20" s="474">
        <v>40844.85</v>
      </c>
      <c r="K20" s="198">
        <f t="shared" si="2"/>
        <v>501069.07</v>
      </c>
      <c r="L20" s="11">
        <f t="shared" si="3"/>
        <v>0.62018147142114088</v>
      </c>
      <c r="M20" s="12">
        <f t="shared" si="4"/>
        <v>14.295785419190508</v>
      </c>
      <c r="N20" s="13">
        <f t="shared" si="5"/>
        <v>0.11061279307832153</v>
      </c>
      <c r="O20" s="351">
        <v>4962.4615384615381</v>
      </c>
      <c r="P20" s="14">
        <f t="shared" si="6"/>
        <v>126.22042410714286</v>
      </c>
      <c r="Q20" s="15">
        <f t="shared" si="7"/>
        <v>9.3751672847361984</v>
      </c>
    </row>
    <row r="21" spans="2:18" s="16" customFormat="1" ht="15.75" customHeight="1" x14ac:dyDescent="0.2">
      <c r="B21" s="17" t="s">
        <v>31</v>
      </c>
      <c r="C21" s="352">
        <v>19196</v>
      </c>
      <c r="D21" s="390">
        <v>205</v>
      </c>
      <c r="E21" s="193">
        <f t="shared" si="0"/>
        <v>18991</v>
      </c>
      <c r="F21" s="461">
        <v>10300</v>
      </c>
      <c r="G21" s="356">
        <v>4800</v>
      </c>
      <c r="H21" s="193">
        <f t="shared" si="1"/>
        <v>15100</v>
      </c>
      <c r="I21" s="461">
        <v>159389.1</v>
      </c>
      <c r="J21" s="474">
        <v>14689.66</v>
      </c>
      <c r="K21" s="205">
        <f t="shared" si="2"/>
        <v>174078.76</v>
      </c>
      <c r="L21" s="358">
        <f t="shared" si="3"/>
        <v>0.54236217155494704</v>
      </c>
      <c r="M21" s="18">
        <f t="shared" si="4"/>
        <v>15.474669902912622</v>
      </c>
      <c r="N21" s="13">
        <f t="shared" si="5"/>
        <v>0.11973434195706664</v>
      </c>
      <c r="O21" s="19">
        <v>2977.4769230769234</v>
      </c>
      <c r="P21" s="19">
        <f t="shared" si="6"/>
        <v>77.364831349206341</v>
      </c>
      <c r="Q21" s="15">
        <f t="shared" si="7"/>
        <v>5.4284515297110785</v>
      </c>
      <c r="R21" s="16" t="s">
        <v>118</v>
      </c>
    </row>
    <row r="22" spans="2:18" ht="15.75" customHeight="1" thickBot="1" x14ac:dyDescent="0.25">
      <c r="B22" s="21" t="s">
        <v>35</v>
      </c>
      <c r="C22" s="39">
        <f>SUM(C6:C21)</f>
        <v>1266595</v>
      </c>
      <c r="D22" s="39">
        <f t="shared" ref="D22:K22" si="8">SUM(D6:D21)</f>
        <v>5606</v>
      </c>
      <c r="E22" s="39">
        <f t="shared" si="8"/>
        <v>1260989</v>
      </c>
      <c r="F22" s="39">
        <f t="shared" si="8"/>
        <v>968735</v>
      </c>
      <c r="G22" s="39">
        <f t="shared" si="8"/>
        <v>308780</v>
      </c>
      <c r="H22" s="39">
        <f t="shared" si="8"/>
        <v>1277515</v>
      </c>
      <c r="I22" s="39">
        <f t="shared" si="8"/>
        <v>15818760.850000003</v>
      </c>
      <c r="J22" s="39">
        <f t="shared" si="8"/>
        <v>945448.52</v>
      </c>
      <c r="K22" s="39">
        <f t="shared" si="8"/>
        <v>16764209.370000001</v>
      </c>
      <c r="L22" s="471">
        <f t="shared" ref="L22" si="9">F22/E22</f>
        <v>0.76823429863385007</v>
      </c>
      <c r="M22" s="23">
        <f t="shared" ref="M22" si="10">I22/F22</f>
        <v>16.329296298781404</v>
      </c>
      <c r="N22" s="24">
        <f t="shared" si="5"/>
        <v>0.1263469630837524</v>
      </c>
      <c r="O22" s="39">
        <f>SUM(O6:O21)</f>
        <v>86952.369230769196</v>
      </c>
      <c r="P22" s="477">
        <f t="shared" ref="P22" si="11">C22/O22*12</f>
        <v>174.79845729863786</v>
      </c>
      <c r="Q22" s="472">
        <f t="shared" si="7"/>
        <v>17.901121503288085</v>
      </c>
    </row>
    <row r="23" spans="2:18" ht="17.25" customHeight="1" thickTop="1" thickBot="1" x14ac:dyDescent="0.25">
      <c r="B23" s="26" t="s">
        <v>36</v>
      </c>
      <c r="C23" s="27"/>
      <c r="D23" s="28">
        <f>D22/C22</f>
        <v>4.426039894362444E-3</v>
      </c>
      <c r="E23" s="29">
        <f>E22/C22</f>
        <v>0.99557396010563759</v>
      </c>
      <c r="F23" s="30"/>
      <c r="G23" s="31"/>
      <c r="H23" s="30"/>
      <c r="I23" s="30"/>
      <c r="J23" s="30"/>
      <c r="K23" s="30"/>
      <c r="L23" s="32"/>
      <c r="M23" s="30"/>
      <c r="N23" s="33"/>
      <c r="O23" s="34"/>
      <c r="P23" s="34"/>
      <c r="Q23" s="35"/>
    </row>
    <row r="24" spans="2:18" ht="21" customHeight="1" thickTop="1" x14ac:dyDescent="0.25">
      <c r="B24" s="624" t="s">
        <v>37</v>
      </c>
      <c r="C24" s="620"/>
      <c r="D24" s="620"/>
      <c r="E24" s="620"/>
      <c r="F24" s="620"/>
      <c r="G24" s="620"/>
      <c r="H24" s="620"/>
      <c r="I24" s="620"/>
      <c r="J24" s="620"/>
      <c r="K24" s="620"/>
      <c r="L24" s="625"/>
      <c r="M24" s="625"/>
      <c r="N24" s="625"/>
      <c r="O24" s="625"/>
      <c r="P24" s="625"/>
      <c r="Q24" s="625"/>
    </row>
    <row r="25" spans="2:18" ht="15.75" customHeight="1" x14ac:dyDescent="0.2">
      <c r="B25" s="208" t="s">
        <v>52</v>
      </c>
      <c r="C25" s="199">
        <v>46534</v>
      </c>
      <c r="D25" s="391">
        <v>263</v>
      </c>
      <c r="E25" s="200">
        <f t="shared" ref="E25:E53" si="12">C25-D25</f>
        <v>46271</v>
      </c>
      <c r="F25" s="201">
        <v>48840</v>
      </c>
      <c r="G25" s="191">
        <v>3280</v>
      </c>
      <c r="H25" s="202">
        <f t="shared" ref="H25:H53" si="13">F25+G25</f>
        <v>52120</v>
      </c>
      <c r="I25" s="201">
        <v>1744610.74</v>
      </c>
      <c r="J25" s="191">
        <v>11310.34</v>
      </c>
      <c r="K25" s="200">
        <f t="shared" ref="K25:K53" si="14">I25+J25</f>
        <v>1755921.08</v>
      </c>
      <c r="L25" s="36">
        <f t="shared" ref="L25:L53" si="15">F25/E25</f>
        <v>1.0555207365304402</v>
      </c>
      <c r="M25" s="20">
        <f t="shared" ref="M25:M53" si="16">I25/F25</f>
        <v>35.720940622440622</v>
      </c>
      <c r="N25" s="37">
        <f t="shared" ref="N25:N54" si="17">M25/129.2417</f>
        <v>0.27638866265640749</v>
      </c>
      <c r="O25" s="20">
        <v>5024.4923076923069</v>
      </c>
      <c r="P25" s="14">
        <f t="shared" ref="P25:P53" si="18">C25/O25*12</f>
        <v>111.13719870664318</v>
      </c>
      <c r="Q25" s="15">
        <f t="shared" ref="Q25:Q54" si="19">(K25*12/O25)/129.2417</f>
        <v>32.448258342723697</v>
      </c>
    </row>
    <row r="26" spans="2:18" ht="15.75" customHeight="1" x14ac:dyDescent="0.2">
      <c r="B26" s="208" t="s">
        <v>46</v>
      </c>
      <c r="C26" s="199">
        <v>38037</v>
      </c>
      <c r="D26" s="391">
        <v>215</v>
      </c>
      <c r="E26" s="200">
        <f t="shared" si="12"/>
        <v>37822</v>
      </c>
      <c r="F26" s="201">
        <v>44760</v>
      </c>
      <c r="G26" s="191">
        <v>160</v>
      </c>
      <c r="H26" s="202">
        <f t="shared" si="13"/>
        <v>44920</v>
      </c>
      <c r="I26" s="201">
        <v>1705104.79</v>
      </c>
      <c r="J26" s="191">
        <v>551.72</v>
      </c>
      <c r="K26" s="200">
        <f t="shared" si="14"/>
        <v>1705656.51</v>
      </c>
      <c r="L26" s="36">
        <f t="shared" si="15"/>
        <v>1.1834382105652794</v>
      </c>
      <c r="M26" s="20">
        <f t="shared" si="16"/>
        <v>38.094387622877569</v>
      </c>
      <c r="N26" s="37">
        <f t="shared" si="17"/>
        <v>0.29475306826571895</v>
      </c>
      <c r="O26" s="20">
        <v>5027.4461538461537</v>
      </c>
      <c r="P26" s="14">
        <f t="shared" si="18"/>
        <v>90.790430376028212</v>
      </c>
      <c r="Q26" s="15">
        <f t="shared" si="19"/>
        <v>31.500883349222651</v>
      </c>
    </row>
    <row r="27" spans="2:18" ht="15.75" customHeight="1" x14ac:dyDescent="0.2">
      <c r="B27" s="208" t="s">
        <v>50</v>
      </c>
      <c r="C27" s="199">
        <v>19115</v>
      </c>
      <c r="D27" s="391">
        <v>115</v>
      </c>
      <c r="E27" s="200">
        <f t="shared" si="12"/>
        <v>19000</v>
      </c>
      <c r="F27" s="201">
        <v>24010</v>
      </c>
      <c r="G27" s="191">
        <v>9020</v>
      </c>
      <c r="H27" s="202">
        <f t="shared" si="13"/>
        <v>33030</v>
      </c>
      <c r="I27" s="201">
        <v>831747.17</v>
      </c>
      <c r="J27" s="191">
        <v>31103.43</v>
      </c>
      <c r="K27" s="200">
        <f t="shared" si="14"/>
        <v>862850.60000000009</v>
      </c>
      <c r="L27" s="36">
        <f t="shared" si="15"/>
        <v>1.2636842105263157</v>
      </c>
      <c r="M27" s="20">
        <f t="shared" si="16"/>
        <v>34.641698042482304</v>
      </c>
      <c r="N27" s="37">
        <f t="shared" si="17"/>
        <v>0.26803808710719762</v>
      </c>
      <c r="O27" s="20">
        <v>2667.3230769230763</v>
      </c>
      <c r="P27" s="14">
        <f t="shared" si="18"/>
        <v>85.99633167220378</v>
      </c>
      <c r="Q27" s="15">
        <f t="shared" si="19"/>
        <v>30.035755969141452</v>
      </c>
    </row>
    <row r="28" spans="2:18" ht="15.75" customHeight="1" x14ac:dyDescent="0.2">
      <c r="B28" s="208" t="s">
        <v>53</v>
      </c>
      <c r="C28" s="199">
        <v>63765</v>
      </c>
      <c r="D28" s="391">
        <v>200</v>
      </c>
      <c r="E28" s="200">
        <f t="shared" si="12"/>
        <v>63565</v>
      </c>
      <c r="F28" s="201">
        <v>65760</v>
      </c>
      <c r="G28" s="191">
        <v>460</v>
      </c>
      <c r="H28" s="202">
        <f t="shared" si="13"/>
        <v>66220</v>
      </c>
      <c r="I28" s="201">
        <v>2372555.71</v>
      </c>
      <c r="J28" s="191">
        <v>1586.2</v>
      </c>
      <c r="K28" s="200">
        <f t="shared" si="14"/>
        <v>2374141.91</v>
      </c>
      <c r="L28" s="36">
        <f t="shared" si="15"/>
        <v>1.0345315818453551</v>
      </c>
      <c r="M28" s="20">
        <f t="shared" si="16"/>
        <v>36.079010188564475</v>
      </c>
      <c r="N28" s="37">
        <f t="shared" si="17"/>
        <v>0.27915920471925448</v>
      </c>
      <c r="O28" s="20">
        <v>7381.6615384615379</v>
      </c>
      <c r="P28" s="14">
        <f t="shared" si="18"/>
        <v>103.65958883553422</v>
      </c>
      <c r="Q28" s="15">
        <f t="shared" si="19"/>
        <v>29.862841586851662</v>
      </c>
    </row>
    <row r="29" spans="2:18" ht="15.75" customHeight="1" x14ac:dyDescent="0.2">
      <c r="B29" s="208" t="s">
        <v>45</v>
      </c>
      <c r="C29" s="199">
        <v>18804</v>
      </c>
      <c r="D29" s="391">
        <v>167</v>
      </c>
      <c r="E29" s="200">
        <f t="shared" si="12"/>
        <v>18637</v>
      </c>
      <c r="F29" s="201">
        <v>19620</v>
      </c>
      <c r="G29" s="354"/>
      <c r="H29" s="202">
        <f t="shared" si="13"/>
        <v>19620</v>
      </c>
      <c r="I29" s="201">
        <v>760021.45000000007</v>
      </c>
      <c r="J29" s="354"/>
      <c r="K29" s="200">
        <f t="shared" si="14"/>
        <v>760021.45000000007</v>
      </c>
      <c r="L29" s="36">
        <f t="shared" si="15"/>
        <v>1.0527445404303268</v>
      </c>
      <c r="M29" s="20">
        <f t="shared" si="16"/>
        <v>38.737076962283389</v>
      </c>
      <c r="N29" s="37">
        <f t="shared" si="17"/>
        <v>0.29972583896902771</v>
      </c>
      <c r="O29" s="20">
        <v>2481.2307692307691</v>
      </c>
      <c r="P29" s="14">
        <f t="shared" si="18"/>
        <v>90.941964285714292</v>
      </c>
      <c r="Q29" s="15">
        <f t="shared" si="19"/>
        <v>28.440503157529836</v>
      </c>
    </row>
    <row r="30" spans="2:18" ht="15.75" customHeight="1" x14ac:dyDescent="0.2">
      <c r="B30" s="208" t="s">
        <v>44</v>
      </c>
      <c r="C30" s="199">
        <v>16370</v>
      </c>
      <c r="D30" s="391">
        <v>184</v>
      </c>
      <c r="E30" s="200">
        <f t="shared" si="12"/>
        <v>16186</v>
      </c>
      <c r="F30" s="201">
        <v>19140</v>
      </c>
      <c r="G30" s="191">
        <v>20</v>
      </c>
      <c r="H30" s="202">
        <f t="shared" si="13"/>
        <v>19160</v>
      </c>
      <c r="I30" s="201">
        <v>707525.11</v>
      </c>
      <c r="J30" s="191">
        <v>68.97</v>
      </c>
      <c r="K30" s="200">
        <f t="shared" si="14"/>
        <v>707594.08</v>
      </c>
      <c r="L30" s="36">
        <f t="shared" si="15"/>
        <v>1.1825033979982702</v>
      </c>
      <c r="M30" s="20">
        <f t="shared" si="16"/>
        <v>36.965784221525603</v>
      </c>
      <c r="N30" s="37">
        <f t="shared" si="17"/>
        <v>0.28602056628414513</v>
      </c>
      <c r="O30" s="20">
        <v>2357.1692307692306</v>
      </c>
      <c r="P30" s="14">
        <f t="shared" si="18"/>
        <v>83.337249373433593</v>
      </c>
      <c r="Q30" s="15">
        <f t="shared" si="19"/>
        <v>27.872248891603363</v>
      </c>
    </row>
    <row r="31" spans="2:18" ht="15.75" customHeight="1" x14ac:dyDescent="0.2">
      <c r="B31" s="208" t="s">
        <v>43</v>
      </c>
      <c r="C31" s="199">
        <v>20707</v>
      </c>
      <c r="D31" s="391">
        <v>207</v>
      </c>
      <c r="E31" s="200">
        <f t="shared" si="12"/>
        <v>20500</v>
      </c>
      <c r="F31" s="201">
        <v>20450</v>
      </c>
      <c r="G31" s="191">
        <v>420</v>
      </c>
      <c r="H31" s="202">
        <f t="shared" si="13"/>
        <v>20870</v>
      </c>
      <c r="I31" s="201">
        <v>756071.80999999994</v>
      </c>
      <c r="J31" s="191">
        <v>1448.27</v>
      </c>
      <c r="K31" s="200">
        <f t="shared" si="14"/>
        <v>757520.08</v>
      </c>
      <c r="L31" s="36">
        <f t="shared" si="15"/>
        <v>0.9975609756097561</v>
      </c>
      <c r="M31" s="20">
        <f t="shared" si="16"/>
        <v>36.971726650366747</v>
      </c>
      <c r="N31" s="37">
        <f t="shared" si="17"/>
        <v>0.28606654547539023</v>
      </c>
      <c r="O31" s="20">
        <v>2605.292307692308</v>
      </c>
      <c r="P31" s="14">
        <f t="shared" si="18"/>
        <v>95.376629818594097</v>
      </c>
      <c r="Q31" s="15">
        <f t="shared" si="19"/>
        <v>26.997047852283202</v>
      </c>
    </row>
    <row r="32" spans="2:18" ht="15.75" customHeight="1" x14ac:dyDescent="0.2">
      <c r="B32" s="208" t="s">
        <v>39</v>
      </c>
      <c r="C32" s="199">
        <v>43845</v>
      </c>
      <c r="D32" s="391">
        <v>186</v>
      </c>
      <c r="E32" s="200">
        <f t="shared" si="12"/>
        <v>43659</v>
      </c>
      <c r="F32" s="201">
        <v>41330</v>
      </c>
      <c r="G32" s="191">
        <v>3700</v>
      </c>
      <c r="H32" s="202">
        <f t="shared" si="13"/>
        <v>45030</v>
      </c>
      <c r="I32" s="201">
        <v>1483096.3400000003</v>
      </c>
      <c r="J32" s="191">
        <v>12758.63</v>
      </c>
      <c r="K32" s="200">
        <f t="shared" si="14"/>
        <v>1495854.9700000002</v>
      </c>
      <c r="L32" s="36">
        <f t="shared" si="15"/>
        <v>0.94665475617856565</v>
      </c>
      <c r="M32" s="20">
        <f t="shared" si="16"/>
        <v>35.884256956206151</v>
      </c>
      <c r="N32" s="37">
        <f t="shared" si="17"/>
        <v>0.27765231311725358</v>
      </c>
      <c r="O32" s="20">
        <v>5148.5538461538454</v>
      </c>
      <c r="P32" s="14">
        <f t="shared" si="18"/>
        <v>102.19180292598969</v>
      </c>
      <c r="Q32" s="15">
        <f t="shared" si="19"/>
        <v>26.976326769123411</v>
      </c>
    </row>
    <row r="33" spans="2:18" ht="15.75" customHeight="1" x14ac:dyDescent="0.2">
      <c r="B33" s="208" t="s">
        <v>62</v>
      </c>
      <c r="C33" s="199">
        <v>23734</v>
      </c>
      <c r="D33" s="391">
        <v>137</v>
      </c>
      <c r="E33" s="200">
        <f t="shared" si="12"/>
        <v>23597</v>
      </c>
      <c r="F33" s="201">
        <v>22430</v>
      </c>
      <c r="G33" s="191">
        <v>620</v>
      </c>
      <c r="H33" s="202">
        <f t="shared" si="13"/>
        <v>23050</v>
      </c>
      <c r="I33" s="201">
        <v>769764.50999999989</v>
      </c>
      <c r="J33" s="191">
        <v>2137.9299999999998</v>
      </c>
      <c r="K33" s="200">
        <f t="shared" si="14"/>
        <v>771902.44</v>
      </c>
      <c r="L33" s="36">
        <f t="shared" si="15"/>
        <v>0.95054456074924776</v>
      </c>
      <c r="M33" s="20">
        <f t="shared" si="16"/>
        <v>34.318524743646897</v>
      </c>
      <c r="N33" s="37">
        <f t="shared" si="17"/>
        <v>0.26553755284592273</v>
      </c>
      <c r="O33" s="20">
        <v>2667.3230769230763</v>
      </c>
      <c r="P33" s="14">
        <f t="shared" si="18"/>
        <v>106.77671650055373</v>
      </c>
      <c r="Q33" s="15">
        <f t="shared" si="19"/>
        <v>26.869858257993734</v>
      </c>
    </row>
    <row r="34" spans="2:18" ht="15.75" customHeight="1" x14ac:dyDescent="0.2">
      <c r="B34" s="208" t="s">
        <v>58</v>
      </c>
      <c r="C34" s="199">
        <v>30621</v>
      </c>
      <c r="D34" s="391">
        <v>326</v>
      </c>
      <c r="E34" s="200">
        <f t="shared" si="12"/>
        <v>30295</v>
      </c>
      <c r="F34" s="201">
        <v>39770</v>
      </c>
      <c r="G34" s="354"/>
      <c r="H34" s="202">
        <f t="shared" si="13"/>
        <v>39770</v>
      </c>
      <c r="I34" s="201">
        <v>1493018.19</v>
      </c>
      <c r="J34" s="354"/>
      <c r="K34" s="200">
        <f t="shared" si="14"/>
        <v>1493018.19</v>
      </c>
      <c r="L34" s="36">
        <f t="shared" si="15"/>
        <v>1.3127578808384222</v>
      </c>
      <c r="M34" s="20">
        <f t="shared" si="16"/>
        <v>37.541317324616543</v>
      </c>
      <c r="N34" s="37">
        <f t="shared" si="17"/>
        <v>0.29047371958598922</v>
      </c>
      <c r="O34" s="20">
        <v>5210.584615384616</v>
      </c>
      <c r="P34" s="14">
        <f t="shared" si="18"/>
        <v>70.520301870748298</v>
      </c>
      <c r="Q34" s="15">
        <f t="shared" si="19"/>
        <v>26.604630414390641</v>
      </c>
    </row>
    <row r="35" spans="2:18" ht="15.75" customHeight="1" x14ac:dyDescent="0.2">
      <c r="B35" s="208" t="s">
        <v>49</v>
      </c>
      <c r="C35" s="199">
        <v>37743</v>
      </c>
      <c r="D35" s="391">
        <v>191</v>
      </c>
      <c r="E35" s="200">
        <f t="shared" si="12"/>
        <v>37552</v>
      </c>
      <c r="F35" s="201">
        <v>38840</v>
      </c>
      <c r="G35" s="191">
        <v>760</v>
      </c>
      <c r="H35" s="202">
        <f t="shared" si="13"/>
        <v>39600</v>
      </c>
      <c r="I35" s="201">
        <v>1403469.52</v>
      </c>
      <c r="J35" s="191">
        <v>2620.6799999999998</v>
      </c>
      <c r="K35" s="200">
        <f t="shared" si="14"/>
        <v>1406090.2</v>
      </c>
      <c r="L35" s="36">
        <f t="shared" si="15"/>
        <v>1.0342991052407329</v>
      </c>
      <c r="M35" s="20">
        <f t="shared" si="16"/>
        <v>36.134642636457258</v>
      </c>
      <c r="N35" s="37">
        <f t="shared" si="17"/>
        <v>0.279589657490247</v>
      </c>
      <c r="O35" s="20">
        <v>5024.4923076923069</v>
      </c>
      <c r="P35" s="14">
        <f t="shared" si="18"/>
        <v>90.141644620811306</v>
      </c>
      <c r="Q35" s="15">
        <f t="shared" si="19"/>
        <v>25.983615426937082</v>
      </c>
    </row>
    <row r="36" spans="2:18" ht="15.75" customHeight="1" x14ac:dyDescent="0.2">
      <c r="B36" s="208" t="s">
        <v>51</v>
      </c>
      <c r="C36" s="199">
        <v>58712</v>
      </c>
      <c r="D36" s="391">
        <v>240</v>
      </c>
      <c r="E36" s="200">
        <f t="shared" si="12"/>
        <v>58472</v>
      </c>
      <c r="F36" s="201">
        <v>62200</v>
      </c>
      <c r="G36" s="191">
        <v>1920</v>
      </c>
      <c r="H36" s="202">
        <f t="shared" si="13"/>
        <v>64120</v>
      </c>
      <c r="I36" s="201">
        <v>2177574.3899999997</v>
      </c>
      <c r="J36" s="191">
        <v>6620.65</v>
      </c>
      <c r="K36" s="200">
        <f t="shared" si="14"/>
        <v>2184195.0399999996</v>
      </c>
      <c r="L36" s="36">
        <f t="shared" si="15"/>
        <v>1.0637570119031332</v>
      </c>
      <c r="M36" s="20">
        <f t="shared" si="16"/>
        <v>35.009234565916394</v>
      </c>
      <c r="N36" s="37">
        <f t="shared" si="17"/>
        <v>0.27088187919159523</v>
      </c>
      <c r="O36" s="20">
        <v>8436.1846153846163</v>
      </c>
      <c r="P36" s="14">
        <f t="shared" si="18"/>
        <v>83.514530812324921</v>
      </c>
      <c r="Q36" s="15">
        <f t="shared" si="19"/>
        <v>24.039416693932466</v>
      </c>
    </row>
    <row r="37" spans="2:18" ht="15.75" customHeight="1" x14ac:dyDescent="0.2">
      <c r="B37" s="208" t="s">
        <v>55</v>
      </c>
      <c r="C37" s="199">
        <v>35402</v>
      </c>
      <c r="D37" s="391">
        <v>155</v>
      </c>
      <c r="E37" s="200">
        <f t="shared" si="12"/>
        <v>35247</v>
      </c>
      <c r="F37" s="201">
        <v>33920</v>
      </c>
      <c r="G37" s="191">
        <v>300</v>
      </c>
      <c r="H37" s="202">
        <f t="shared" si="13"/>
        <v>34220</v>
      </c>
      <c r="I37" s="201">
        <v>1255315.29</v>
      </c>
      <c r="J37" s="191">
        <v>1034.48</v>
      </c>
      <c r="K37" s="200">
        <f t="shared" si="14"/>
        <v>1256349.77</v>
      </c>
      <c r="L37" s="36">
        <f t="shared" si="15"/>
        <v>0.96235140579340084</v>
      </c>
      <c r="M37" s="20">
        <f t="shared" si="16"/>
        <v>37.00811586084906</v>
      </c>
      <c r="N37" s="37">
        <f t="shared" si="17"/>
        <v>0.28634810483651219</v>
      </c>
      <c r="O37" s="20">
        <v>5055.5076923076922</v>
      </c>
      <c r="P37" s="14">
        <f t="shared" si="18"/>
        <v>84.031916447560619</v>
      </c>
      <c r="Q37" s="15">
        <f t="shared" si="19"/>
        <v>23.074078890830002</v>
      </c>
    </row>
    <row r="38" spans="2:18" ht="15.75" customHeight="1" x14ac:dyDescent="0.2">
      <c r="B38" s="208" t="s">
        <v>56</v>
      </c>
      <c r="C38" s="199">
        <v>17495</v>
      </c>
      <c r="D38" s="391">
        <v>186</v>
      </c>
      <c r="E38" s="200">
        <f t="shared" si="12"/>
        <v>17309</v>
      </c>
      <c r="F38" s="201">
        <v>16490</v>
      </c>
      <c r="G38" s="191">
        <v>280</v>
      </c>
      <c r="H38" s="202">
        <f t="shared" si="13"/>
        <v>16770</v>
      </c>
      <c r="I38" s="201">
        <v>589237.1</v>
      </c>
      <c r="J38" s="191">
        <v>965.52</v>
      </c>
      <c r="K38" s="200">
        <f t="shared" si="14"/>
        <v>590202.62</v>
      </c>
      <c r="L38" s="36">
        <f t="shared" si="15"/>
        <v>0.95268357501877632</v>
      </c>
      <c r="M38" s="20">
        <f t="shared" si="16"/>
        <v>35.732995755003031</v>
      </c>
      <c r="N38" s="37">
        <f t="shared" si="17"/>
        <v>0.27648193853069891</v>
      </c>
      <c r="O38" s="20">
        <v>2481.2307692307691</v>
      </c>
      <c r="P38" s="14">
        <f t="shared" si="18"/>
        <v>84.61123511904762</v>
      </c>
      <c r="Q38" s="15">
        <f t="shared" si="19"/>
        <v>22.085770707777236</v>
      </c>
    </row>
    <row r="39" spans="2:18" ht="15.75" customHeight="1" x14ac:dyDescent="0.2">
      <c r="B39" s="208" t="s">
        <v>38</v>
      </c>
      <c r="C39" s="199">
        <v>20508</v>
      </c>
      <c r="D39" s="391">
        <v>221</v>
      </c>
      <c r="E39" s="200">
        <f t="shared" si="12"/>
        <v>20287</v>
      </c>
      <c r="F39" s="197">
        <v>17960</v>
      </c>
      <c r="G39" s="191">
        <v>1760</v>
      </c>
      <c r="H39" s="202">
        <f t="shared" si="13"/>
        <v>19720</v>
      </c>
      <c r="I39" s="201">
        <v>680001.46</v>
      </c>
      <c r="J39" s="191">
        <v>6068.95</v>
      </c>
      <c r="K39" s="200">
        <f t="shared" si="14"/>
        <v>686070.40999999992</v>
      </c>
      <c r="L39" s="36">
        <f t="shared" si="15"/>
        <v>0.88529600236604722</v>
      </c>
      <c r="M39" s="20">
        <f t="shared" si="16"/>
        <v>37.861996659242763</v>
      </c>
      <c r="N39" s="37">
        <f t="shared" si="17"/>
        <v>0.29295495694688911</v>
      </c>
      <c r="O39" s="20">
        <v>3039.5076923076917</v>
      </c>
      <c r="P39" s="14">
        <f t="shared" si="18"/>
        <v>80.96574344023324</v>
      </c>
      <c r="Q39" s="15">
        <f t="shared" si="19"/>
        <v>20.95771962579213</v>
      </c>
    </row>
    <row r="40" spans="2:18" ht="15.75" customHeight="1" x14ac:dyDescent="0.2">
      <c r="B40" s="208" t="s">
        <v>63</v>
      </c>
      <c r="C40" s="199">
        <v>15546</v>
      </c>
      <c r="D40" s="391">
        <v>46</v>
      </c>
      <c r="E40" s="200">
        <f t="shared" si="12"/>
        <v>15500</v>
      </c>
      <c r="F40" s="201">
        <v>11130</v>
      </c>
      <c r="G40" s="191">
        <v>5960</v>
      </c>
      <c r="H40" s="202">
        <f t="shared" si="13"/>
        <v>17090</v>
      </c>
      <c r="I40" s="201">
        <v>517665.80999999994</v>
      </c>
      <c r="J40" s="191">
        <v>21275.87</v>
      </c>
      <c r="K40" s="200">
        <f t="shared" si="14"/>
        <v>538941.67999999993</v>
      </c>
      <c r="L40" s="36">
        <f t="shared" si="15"/>
        <v>0.71806451612903222</v>
      </c>
      <c r="M40" s="20">
        <f t="shared" si="16"/>
        <v>46.51085444743935</v>
      </c>
      <c r="N40" s="37">
        <f t="shared" si="17"/>
        <v>0.35987498189391925</v>
      </c>
      <c r="O40" s="20">
        <v>2481.2307692307691</v>
      </c>
      <c r="P40" s="14">
        <f t="shared" si="18"/>
        <v>75.185267857142861</v>
      </c>
      <c r="Q40" s="15">
        <f t="shared" si="19"/>
        <v>20.167552576002205</v>
      </c>
    </row>
    <row r="41" spans="2:18" ht="15.75" customHeight="1" x14ac:dyDescent="0.2">
      <c r="B41" s="208" t="s">
        <v>54</v>
      </c>
      <c r="C41" s="199">
        <v>28256</v>
      </c>
      <c r="D41" s="391">
        <v>197</v>
      </c>
      <c r="E41" s="200">
        <f t="shared" si="12"/>
        <v>28059</v>
      </c>
      <c r="F41" s="201">
        <v>26110</v>
      </c>
      <c r="G41" s="191">
        <v>4980</v>
      </c>
      <c r="H41" s="202">
        <f t="shared" si="13"/>
        <v>31090</v>
      </c>
      <c r="I41" s="201">
        <v>942191.86999999988</v>
      </c>
      <c r="J41" s="191">
        <v>17172.41</v>
      </c>
      <c r="K41" s="200">
        <f t="shared" si="14"/>
        <v>959364.27999999991</v>
      </c>
      <c r="L41" s="36">
        <f t="shared" si="15"/>
        <v>0.93053922092733166</v>
      </c>
      <c r="M41" s="20">
        <f t="shared" si="16"/>
        <v>36.085479509766365</v>
      </c>
      <c r="N41" s="37">
        <f t="shared" si="17"/>
        <v>0.27920926070893809</v>
      </c>
      <c r="O41" s="20">
        <v>4652.3076923076915</v>
      </c>
      <c r="P41" s="14">
        <f t="shared" si="18"/>
        <v>72.882539682539687</v>
      </c>
      <c r="Q41" s="15">
        <f t="shared" si="19"/>
        <v>19.146689669218389</v>
      </c>
    </row>
    <row r="42" spans="2:18" ht="15.75" customHeight="1" x14ac:dyDescent="0.2">
      <c r="B42" s="208" t="s">
        <v>65</v>
      </c>
      <c r="C42" s="199">
        <v>19230</v>
      </c>
      <c r="D42" s="391">
        <v>122</v>
      </c>
      <c r="E42" s="200">
        <f t="shared" si="12"/>
        <v>19108</v>
      </c>
      <c r="F42" s="201">
        <v>15620</v>
      </c>
      <c r="G42" s="191">
        <v>3400</v>
      </c>
      <c r="H42" s="202">
        <f t="shared" si="13"/>
        <v>19020</v>
      </c>
      <c r="I42" s="201">
        <v>547384.28</v>
      </c>
      <c r="J42" s="191">
        <v>11724.14</v>
      </c>
      <c r="K42" s="200">
        <f t="shared" si="14"/>
        <v>559108.42000000004</v>
      </c>
      <c r="L42" s="36">
        <f t="shared" si="15"/>
        <v>0.81745865606028889</v>
      </c>
      <c r="M42" s="20">
        <f t="shared" si="16"/>
        <v>35.043807938540333</v>
      </c>
      <c r="N42" s="37">
        <f t="shared" si="17"/>
        <v>0.27114938861482268</v>
      </c>
      <c r="O42" s="20">
        <v>2788.4307692307689</v>
      </c>
      <c r="P42" s="14">
        <f t="shared" si="18"/>
        <v>82.756223516949163</v>
      </c>
      <c r="Q42" s="15">
        <f t="shared" si="19"/>
        <v>18.617216551364816</v>
      </c>
    </row>
    <row r="43" spans="2:18" ht="15.75" customHeight="1" x14ac:dyDescent="0.2">
      <c r="B43" s="208" t="s">
        <v>60</v>
      </c>
      <c r="C43" s="199">
        <v>12456</v>
      </c>
      <c r="D43" s="391">
        <v>155</v>
      </c>
      <c r="E43" s="200">
        <f t="shared" si="12"/>
        <v>12301</v>
      </c>
      <c r="F43" s="201">
        <v>14540</v>
      </c>
      <c r="G43" s="191">
        <v>220</v>
      </c>
      <c r="H43" s="202">
        <f t="shared" si="13"/>
        <v>14760</v>
      </c>
      <c r="I43" s="201">
        <v>511518.18999999994</v>
      </c>
      <c r="J43" s="191">
        <v>758.62</v>
      </c>
      <c r="K43" s="200">
        <f t="shared" si="14"/>
        <v>512276.80999999994</v>
      </c>
      <c r="L43" s="36">
        <f t="shared" si="15"/>
        <v>1.1820177221364117</v>
      </c>
      <c r="M43" s="20">
        <f t="shared" si="16"/>
        <v>35.180068088033011</v>
      </c>
      <c r="N43" s="37">
        <f t="shared" si="17"/>
        <v>0.27220369345213663</v>
      </c>
      <c r="O43" s="20">
        <v>2605.292307692308</v>
      </c>
      <c r="P43" s="14">
        <f t="shared" si="18"/>
        <v>57.372448979591823</v>
      </c>
      <c r="Q43" s="15">
        <f t="shared" si="19"/>
        <v>18.256891029456263</v>
      </c>
    </row>
    <row r="44" spans="2:18" ht="15.75" customHeight="1" x14ac:dyDescent="0.2">
      <c r="B44" s="208" t="s">
        <v>42</v>
      </c>
      <c r="C44" s="199">
        <v>13825</v>
      </c>
      <c r="D44" s="391">
        <v>125</v>
      </c>
      <c r="E44" s="200">
        <f t="shared" si="12"/>
        <v>13700</v>
      </c>
      <c r="F44" s="201">
        <v>12001</v>
      </c>
      <c r="G44" s="191">
        <v>1800</v>
      </c>
      <c r="H44" s="202">
        <f t="shared" si="13"/>
        <v>13801</v>
      </c>
      <c r="I44" s="201">
        <v>440184.13</v>
      </c>
      <c r="J44" s="191">
        <v>6206.9</v>
      </c>
      <c r="K44" s="200">
        <f t="shared" si="14"/>
        <v>446391.03</v>
      </c>
      <c r="L44" s="36">
        <f t="shared" si="15"/>
        <v>0.87598540145985404</v>
      </c>
      <c r="M44" s="20">
        <f t="shared" si="16"/>
        <v>36.678954253812179</v>
      </c>
      <c r="N44" s="37">
        <f t="shared" si="17"/>
        <v>0.28380123639515864</v>
      </c>
      <c r="O44" s="20">
        <v>2357.1692307692306</v>
      </c>
      <c r="P44" s="14">
        <f t="shared" si="18"/>
        <v>70.381030701754383</v>
      </c>
      <c r="Q44" s="15">
        <f t="shared" si="19"/>
        <v>17.583417163607681</v>
      </c>
    </row>
    <row r="45" spans="2:18" ht="15.75" customHeight="1" x14ac:dyDescent="0.2">
      <c r="B45" s="208" t="s">
        <v>40</v>
      </c>
      <c r="C45" s="199">
        <v>10670</v>
      </c>
      <c r="D45" s="391">
        <v>119</v>
      </c>
      <c r="E45" s="200">
        <f t="shared" si="12"/>
        <v>10551</v>
      </c>
      <c r="F45" s="201">
        <v>11090</v>
      </c>
      <c r="G45" s="354"/>
      <c r="H45" s="202">
        <f t="shared" si="13"/>
        <v>11090</v>
      </c>
      <c r="I45" s="201">
        <v>418036.8</v>
      </c>
      <c r="J45" s="354"/>
      <c r="K45" s="200">
        <f t="shared" si="14"/>
        <v>418036.8</v>
      </c>
      <c r="L45" s="36">
        <f t="shared" si="15"/>
        <v>1.0510852051938204</v>
      </c>
      <c r="M45" s="20">
        <f t="shared" si="16"/>
        <v>37.694932371505857</v>
      </c>
      <c r="N45" s="37">
        <f t="shared" si="17"/>
        <v>0.29166230691414502</v>
      </c>
      <c r="O45" s="20">
        <v>2481.2307692307691</v>
      </c>
      <c r="P45" s="14">
        <f t="shared" si="18"/>
        <v>51.60342261904762</v>
      </c>
      <c r="Q45" s="15">
        <f t="shared" si="19"/>
        <v>15.643212346656357</v>
      </c>
    </row>
    <row r="46" spans="2:18" ht="15.75" customHeight="1" x14ac:dyDescent="0.2">
      <c r="B46" s="208" t="s">
        <v>41</v>
      </c>
      <c r="C46" s="199">
        <v>16621</v>
      </c>
      <c r="D46" s="391">
        <v>164</v>
      </c>
      <c r="E46" s="200">
        <f t="shared" si="12"/>
        <v>16457</v>
      </c>
      <c r="F46" s="201">
        <v>14290</v>
      </c>
      <c r="G46" s="191">
        <v>60</v>
      </c>
      <c r="H46" s="202">
        <f t="shared" si="13"/>
        <v>14350</v>
      </c>
      <c r="I46" s="201">
        <v>519508.12</v>
      </c>
      <c r="J46" s="191">
        <v>206.9</v>
      </c>
      <c r="K46" s="200">
        <f t="shared" si="14"/>
        <v>519715.02</v>
      </c>
      <c r="L46" s="36">
        <f t="shared" si="15"/>
        <v>0.86832350975268879</v>
      </c>
      <c r="M46" s="20">
        <f t="shared" si="16"/>
        <v>36.354662001399582</v>
      </c>
      <c r="N46" s="37">
        <f t="shared" si="17"/>
        <v>0.28129204429684523</v>
      </c>
      <c r="O46" s="20">
        <v>3225.5999999999995</v>
      </c>
      <c r="P46" s="14">
        <f t="shared" si="18"/>
        <v>61.834077380952394</v>
      </c>
      <c r="Q46" s="15">
        <f t="shared" si="19"/>
        <v>14.960060228791704</v>
      </c>
    </row>
    <row r="47" spans="2:18" ht="15.75" customHeight="1" x14ac:dyDescent="0.2">
      <c r="B47" s="208" t="s">
        <v>48</v>
      </c>
      <c r="C47" s="199">
        <v>6496</v>
      </c>
      <c r="D47" s="391">
        <v>85</v>
      </c>
      <c r="E47" s="200">
        <f t="shared" si="12"/>
        <v>6411</v>
      </c>
      <c r="F47" s="201">
        <v>6580</v>
      </c>
      <c r="G47" s="191">
        <v>100</v>
      </c>
      <c r="H47" s="202">
        <f t="shared" si="13"/>
        <v>6680</v>
      </c>
      <c r="I47" s="201">
        <v>241654.37</v>
      </c>
      <c r="J47" s="191">
        <v>344.83</v>
      </c>
      <c r="K47" s="200">
        <f t="shared" si="14"/>
        <v>241999.19999999998</v>
      </c>
      <c r="L47" s="36">
        <f t="shared" si="15"/>
        <v>1.0263609421307129</v>
      </c>
      <c r="M47" s="20">
        <f t="shared" si="16"/>
        <v>36.725588145896658</v>
      </c>
      <c r="N47" s="37">
        <f t="shared" si="17"/>
        <v>0.28416206337348282</v>
      </c>
      <c r="O47" s="20">
        <v>1736.8615384615382</v>
      </c>
      <c r="P47" s="14">
        <f t="shared" si="18"/>
        <v>44.880952380952387</v>
      </c>
      <c r="Q47" s="15">
        <f t="shared" si="19"/>
        <v>12.936813468920036</v>
      </c>
    </row>
    <row r="48" spans="2:18" ht="15.75" customHeight="1" x14ac:dyDescent="0.2">
      <c r="B48" s="208" t="s">
        <v>59</v>
      </c>
      <c r="C48" s="199">
        <v>12201</v>
      </c>
      <c r="D48" s="391">
        <v>165</v>
      </c>
      <c r="E48" s="200">
        <f t="shared" si="12"/>
        <v>12036</v>
      </c>
      <c r="F48" s="201">
        <v>8800</v>
      </c>
      <c r="G48" s="191">
        <v>1500</v>
      </c>
      <c r="H48" s="202">
        <f t="shared" si="13"/>
        <v>10300</v>
      </c>
      <c r="I48" s="201">
        <v>325110.84999999998</v>
      </c>
      <c r="J48" s="191">
        <v>5172.41</v>
      </c>
      <c r="K48" s="200">
        <f t="shared" si="14"/>
        <v>330283.25999999995</v>
      </c>
      <c r="L48" s="36">
        <f t="shared" si="15"/>
        <v>0.7311399135925557</v>
      </c>
      <c r="M48" s="20">
        <f t="shared" si="16"/>
        <v>36.944414772727271</v>
      </c>
      <c r="N48" s="37">
        <f t="shared" si="17"/>
        <v>0.28585522143957615</v>
      </c>
      <c r="O48" s="20">
        <v>2481.2307692307691</v>
      </c>
      <c r="P48" s="14">
        <f t="shared" si="18"/>
        <v>59.007812500000007</v>
      </c>
      <c r="Q48" s="15">
        <f t="shared" si="19"/>
        <v>12.359417091332416</v>
      </c>
      <c r="R48" s="16"/>
    </row>
    <row r="49" spans="1:18" ht="15.75" customHeight="1" x14ac:dyDescent="0.2">
      <c r="B49" s="208" t="s">
        <v>57</v>
      </c>
      <c r="C49" s="199">
        <v>10380</v>
      </c>
      <c r="D49" s="391">
        <v>177</v>
      </c>
      <c r="E49" s="200">
        <f t="shared" si="12"/>
        <v>10203</v>
      </c>
      <c r="F49" s="201">
        <v>7530</v>
      </c>
      <c r="G49" s="191">
        <v>2220</v>
      </c>
      <c r="H49" s="202">
        <f t="shared" si="13"/>
        <v>9750</v>
      </c>
      <c r="I49" s="201">
        <v>257524.72</v>
      </c>
      <c r="J49" s="191">
        <v>7655.16</v>
      </c>
      <c r="K49" s="200">
        <f t="shared" si="14"/>
        <v>265179.88</v>
      </c>
      <c r="L49" s="36">
        <f t="shared" si="15"/>
        <v>0.73801822993237287</v>
      </c>
      <c r="M49" s="20">
        <f t="shared" si="16"/>
        <v>34.199830013280213</v>
      </c>
      <c r="N49" s="37">
        <f t="shared" si="17"/>
        <v>0.26461915939886438</v>
      </c>
      <c r="O49" s="20">
        <v>2481.2307692307691</v>
      </c>
      <c r="P49" s="14">
        <f t="shared" si="18"/>
        <v>50.200892857142861</v>
      </c>
      <c r="Q49" s="15">
        <f t="shared" si="19"/>
        <v>9.9232057390661588</v>
      </c>
    </row>
    <row r="50" spans="1:18" ht="15.75" customHeight="1" x14ac:dyDescent="0.2">
      <c r="B50" s="208" t="s">
        <v>64</v>
      </c>
      <c r="C50" s="199">
        <v>15413</v>
      </c>
      <c r="D50" s="391">
        <v>159</v>
      </c>
      <c r="E50" s="200">
        <f t="shared" si="12"/>
        <v>15254</v>
      </c>
      <c r="F50" s="201">
        <v>14030</v>
      </c>
      <c r="G50" s="191">
        <v>360</v>
      </c>
      <c r="H50" s="202">
        <f t="shared" si="13"/>
        <v>14390</v>
      </c>
      <c r="I50" s="201">
        <v>486332.97000000003</v>
      </c>
      <c r="J50" s="191">
        <v>1241.3699999999999</v>
      </c>
      <c r="K50" s="200">
        <f t="shared" si="14"/>
        <v>487574.34</v>
      </c>
      <c r="L50" s="36">
        <f t="shared" si="15"/>
        <v>0.91975875180280586</v>
      </c>
      <c r="M50" s="20">
        <f t="shared" si="16"/>
        <v>34.663789736279405</v>
      </c>
      <c r="N50" s="37">
        <f t="shared" si="17"/>
        <v>0.26820902027967292</v>
      </c>
      <c r="O50" s="20">
        <v>5009.7230769230764</v>
      </c>
      <c r="P50" s="14">
        <f t="shared" si="18"/>
        <v>36.919405955188687</v>
      </c>
      <c r="Q50" s="15">
        <f t="shared" si="19"/>
        <v>9.0366134577676114</v>
      </c>
      <c r="R50" s="16" t="s">
        <v>118</v>
      </c>
    </row>
    <row r="51" spans="1:18" ht="15.75" customHeight="1" x14ac:dyDescent="0.2">
      <c r="B51" s="208" t="s">
        <v>47</v>
      </c>
      <c r="C51" s="199">
        <v>27598</v>
      </c>
      <c r="D51" s="391">
        <v>248</v>
      </c>
      <c r="E51" s="200">
        <f t="shared" si="12"/>
        <v>27350</v>
      </c>
      <c r="F51" s="201">
        <v>13390</v>
      </c>
      <c r="G51" s="191">
        <v>2700</v>
      </c>
      <c r="H51" s="202">
        <f t="shared" si="13"/>
        <v>16090</v>
      </c>
      <c r="I51" s="201">
        <v>473581.2</v>
      </c>
      <c r="J51" s="191">
        <v>9310.34</v>
      </c>
      <c r="K51" s="200">
        <f t="shared" si="14"/>
        <v>482891.54000000004</v>
      </c>
      <c r="L51" s="36">
        <f t="shared" si="15"/>
        <v>0.48957952468007315</v>
      </c>
      <c r="M51" s="20">
        <f t="shared" si="16"/>
        <v>35.36827483196415</v>
      </c>
      <c r="N51" s="37">
        <f t="shared" si="17"/>
        <v>0.27365993198761812</v>
      </c>
      <c r="O51" s="20">
        <v>4993.4769230769225</v>
      </c>
      <c r="P51" s="14">
        <f t="shared" si="18"/>
        <v>66.321724341910681</v>
      </c>
      <c r="Q51" s="15">
        <f t="shared" si="19"/>
        <v>8.9789413298808434</v>
      </c>
    </row>
    <row r="52" spans="1:18" ht="15.75" customHeight="1" x14ac:dyDescent="0.2">
      <c r="B52" s="208" t="s">
        <v>61</v>
      </c>
      <c r="C52" s="199">
        <v>19055</v>
      </c>
      <c r="D52" s="391">
        <v>98</v>
      </c>
      <c r="E52" s="200">
        <f t="shared" si="12"/>
        <v>18957</v>
      </c>
      <c r="F52" s="201">
        <v>6730</v>
      </c>
      <c r="G52" s="354">
        <v>0</v>
      </c>
      <c r="H52" s="202">
        <f t="shared" si="13"/>
        <v>6730</v>
      </c>
      <c r="I52" s="201">
        <v>235976.97</v>
      </c>
      <c r="J52" s="354">
        <v>0</v>
      </c>
      <c r="K52" s="200">
        <f t="shared" si="14"/>
        <v>235976.97</v>
      </c>
      <c r="L52" s="36">
        <f t="shared" si="15"/>
        <v>0.35501397900511683</v>
      </c>
      <c r="M52" s="20">
        <f t="shared" si="16"/>
        <v>35.063442793462109</v>
      </c>
      <c r="N52" s="37">
        <f t="shared" si="17"/>
        <v>0.27130131214199527</v>
      </c>
      <c r="O52" s="20">
        <v>2481.2307692307695</v>
      </c>
      <c r="P52" s="14">
        <f t="shared" si="18"/>
        <v>92.155877976190467</v>
      </c>
      <c r="Q52" s="15">
        <f t="shared" si="19"/>
        <v>8.8304136158121889</v>
      </c>
    </row>
    <row r="53" spans="1:18" ht="15.75" customHeight="1" x14ac:dyDescent="0.2">
      <c r="B53" s="387" t="s">
        <v>66</v>
      </c>
      <c r="C53" s="392">
        <v>7352</v>
      </c>
      <c r="D53" s="393">
        <v>90</v>
      </c>
      <c r="E53" s="359">
        <f t="shared" si="12"/>
        <v>7262</v>
      </c>
      <c r="F53" s="394">
        <v>6500</v>
      </c>
      <c r="G53" s="191">
        <v>1400</v>
      </c>
      <c r="H53" s="357">
        <f t="shared" si="13"/>
        <v>7900</v>
      </c>
      <c r="I53" s="394">
        <v>216037.93</v>
      </c>
      <c r="J53" s="191">
        <v>4827.58</v>
      </c>
      <c r="K53" s="359">
        <f t="shared" si="14"/>
        <v>220865.50999999998</v>
      </c>
      <c r="L53" s="360">
        <f t="shared" si="15"/>
        <v>0.89507022858716612</v>
      </c>
      <c r="M53" s="244">
        <f t="shared" si="16"/>
        <v>33.236604615384614</v>
      </c>
      <c r="N53" s="37">
        <f t="shared" si="17"/>
        <v>0.25716625992527653</v>
      </c>
      <c r="O53" s="244">
        <v>2605.292307692308</v>
      </c>
      <c r="P53" s="14">
        <f t="shared" si="18"/>
        <v>33.863378684807252</v>
      </c>
      <c r="Q53" s="15">
        <f t="shared" si="19"/>
        <v>7.8713646011719369</v>
      </c>
    </row>
    <row r="54" spans="1:18" ht="15.75" customHeight="1" thickBot="1" x14ac:dyDescent="0.25">
      <c r="B54" s="270" t="s">
        <v>35</v>
      </c>
      <c r="C54" s="389">
        <f>SUM(C25:C53)</f>
        <v>706491</v>
      </c>
      <c r="D54" s="389">
        <f t="shared" ref="D54:K54" si="20">SUM(D25:D53)</f>
        <v>4943</v>
      </c>
      <c r="E54" s="389">
        <f t="shared" si="20"/>
        <v>701548</v>
      </c>
      <c r="F54" s="389">
        <f t="shared" si="20"/>
        <v>683861</v>
      </c>
      <c r="G54" s="389">
        <f t="shared" si="20"/>
        <v>47400</v>
      </c>
      <c r="H54" s="389">
        <f t="shared" si="20"/>
        <v>731261</v>
      </c>
      <c r="I54" s="389">
        <f t="shared" si="20"/>
        <v>24861821.790000003</v>
      </c>
      <c r="J54" s="389">
        <f t="shared" si="20"/>
        <v>164172.29999999996</v>
      </c>
      <c r="K54" s="389">
        <f t="shared" si="20"/>
        <v>25025994.09</v>
      </c>
      <c r="L54" s="471">
        <f t="shared" ref="L54" si="21">F54/E54</f>
        <v>0.97478861033029818</v>
      </c>
      <c r="M54" s="39">
        <f t="shared" ref="M54" si="22">I54/F54</f>
        <v>36.355080623109089</v>
      </c>
      <c r="N54" s="212">
        <f t="shared" si="17"/>
        <v>0.28129528335753157</v>
      </c>
      <c r="O54" s="39">
        <f>SUM(O25:O53)</f>
        <v>106988.30769230766</v>
      </c>
      <c r="P54" s="480">
        <f>(C54/O54)*12</f>
        <v>79.241294519602462</v>
      </c>
      <c r="Q54" s="473">
        <f t="shared" si="19"/>
        <v>21.718688862108067</v>
      </c>
    </row>
    <row r="55" spans="1:18" ht="17.25" customHeight="1" thickTop="1" thickBot="1" x14ac:dyDescent="0.25">
      <c r="B55" s="26" t="s">
        <v>36</v>
      </c>
      <c r="C55" s="42"/>
      <c r="D55" s="28">
        <f>D54/C54</f>
        <v>6.9965505576150295E-3</v>
      </c>
      <c r="E55" s="28">
        <f>E54/C54</f>
        <v>0.99300344944238494</v>
      </c>
      <c r="F55" s="30"/>
      <c r="G55" s="30"/>
      <c r="H55" s="30"/>
      <c r="I55" s="30"/>
      <c r="J55" s="30"/>
      <c r="K55" s="30"/>
      <c r="L55" s="32"/>
      <c r="M55" s="30"/>
      <c r="N55" s="43"/>
      <c r="O55" s="34"/>
      <c r="P55" s="34"/>
      <c r="Q55" s="34"/>
    </row>
    <row r="56" spans="1:18" ht="18.75" customHeight="1" thickTop="1" x14ac:dyDescent="0.2">
      <c r="M56" s="45"/>
      <c r="N56" s="46"/>
      <c r="O56" s="47"/>
    </row>
    <row r="57" spans="1:18" s="48" customFormat="1" ht="15" customHeight="1" thickBot="1" x14ac:dyDescent="0.25">
      <c r="B57" s="49" t="s">
        <v>68</v>
      </c>
      <c r="C57" s="50">
        <f t="shared" ref="C57:K57" si="23">C22+C54</f>
        <v>1973086</v>
      </c>
      <c r="D57" s="51">
        <f t="shared" si="23"/>
        <v>10549</v>
      </c>
      <c r="E57" s="51">
        <f t="shared" si="23"/>
        <v>1962537</v>
      </c>
      <c r="F57" s="52">
        <f t="shared" si="23"/>
        <v>1652596</v>
      </c>
      <c r="G57" s="52">
        <f t="shared" si="23"/>
        <v>356180</v>
      </c>
      <c r="H57" s="52">
        <f t="shared" si="23"/>
        <v>2008776</v>
      </c>
      <c r="I57" s="52">
        <f t="shared" si="23"/>
        <v>40680582.640000008</v>
      </c>
      <c r="J57" s="52">
        <f t="shared" si="23"/>
        <v>1109620.82</v>
      </c>
      <c r="K57" s="52">
        <f t="shared" si="23"/>
        <v>41790203.460000001</v>
      </c>
      <c r="L57" s="471">
        <f>F57/(E57)</f>
        <v>0.84207125776482172</v>
      </c>
      <c r="M57" s="53">
        <f>I57/F57</f>
        <v>24.616169130265359</v>
      </c>
      <c r="N57" s="212">
        <f>M57/129.2417</f>
        <v>0.19046615086512603</v>
      </c>
      <c r="O57" s="52">
        <f>O54+O22</f>
        <v>193940.67692307686</v>
      </c>
      <c r="P57" s="477">
        <f>(C57/O57)*12</f>
        <v>122.08388861812148</v>
      </c>
      <c r="Q57" s="473">
        <f>(K57*12/O57)/129.2417</f>
        <v>20.007100907410415</v>
      </c>
    </row>
    <row r="58" spans="1:18" ht="16.5" customHeight="1" thickTop="1" thickBot="1" x14ac:dyDescent="0.25">
      <c r="B58" s="26" t="s">
        <v>36</v>
      </c>
      <c r="C58" s="54"/>
      <c r="D58" s="55">
        <f>D57/C57</f>
        <v>5.3464471391515625E-3</v>
      </c>
      <c r="E58" s="55">
        <f>E57/C57</f>
        <v>0.99465355286084844</v>
      </c>
      <c r="G58" s="56"/>
      <c r="N58" s="46"/>
    </row>
    <row r="59" spans="1:18" ht="16.5" customHeight="1" thickTop="1" x14ac:dyDescent="0.2">
      <c r="G59" s="57"/>
      <c r="H59" s="45"/>
      <c r="O59" s="211"/>
    </row>
    <row r="60" spans="1:18" s="16" customFormat="1" ht="15" customHeight="1" x14ac:dyDescent="0.25">
      <c r="B60" s="48" t="s">
        <v>69</v>
      </c>
      <c r="C60" s="47"/>
      <c r="F60" s="47"/>
      <c r="G60" s="58"/>
      <c r="I60" s="59"/>
      <c r="J60" s="59"/>
      <c r="K60" s="59"/>
      <c r="L60" s="38"/>
      <c r="M60" s="60"/>
      <c r="N60"/>
      <c r="O60" s="129"/>
      <c r="P60"/>
      <c r="Q60" s="61"/>
    </row>
    <row r="61" spans="1:18" ht="16.5" customHeight="1" x14ac:dyDescent="0.25">
      <c r="A61" s="16">
        <v>1</v>
      </c>
      <c r="B61" s="16" t="s">
        <v>70</v>
      </c>
      <c r="E61" s="16"/>
      <c r="N61"/>
      <c r="O61"/>
      <c r="P61"/>
      <c r="Q61" s="62"/>
    </row>
    <row r="62" spans="1:18" ht="16.5" customHeight="1" x14ac:dyDescent="0.25">
      <c r="A62" s="16">
        <v>2</v>
      </c>
      <c r="B62" s="16" t="s">
        <v>137</v>
      </c>
      <c r="C62" s="47"/>
      <c r="E62" s="16"/>
      <c r="N62"/>
      <c r="O62"/>
      <c r="P62"/>
    </row>
    <row r="63" spans="1:18" ht="16.5" customHeight="1" x14ac:dyDescent="0.2">
      <c r="A63" s="16">
        <v>3</v>
      </c>
      <c r="B63" s="16" t="s">
        <v>138</v>
      </c>
      <c r="C63" s="47"/>
      <c r="E63" s="16"/>
    </row>
    <row r="64" spans="1:18" ht="16.5" customHeight="1" x14ac:dyDescent="0.2">
      <c r="A64" s="16">
        <v>4</v>
      </c>
      <c r="B64" s="16" t="s">
        <v>139</v>
      </c>
      <c r="C64" s="47"/>
      <c r="E64" s="16"/>
    </row>
    <row r="65" spans="1:5" ht="16.5" customHeight="1" x14ac:dyDescent="0.2">
      <c r="A65" s="16">
        <v>5</v>
      </c>
      <c r="B65" s="16" t="s">
        <v>140</v>
      </c>
      <c r="C65" s="47"/>
      <c r="E65" s="16"/>
    </row>
    <row r="66" spans="1:5" ht="16.5" customHeight="1" x14ac:dyDescent="0.2">
      <c r="A66" s="16">
        <v>6</v>
      </c>
      <c r="B66" s="16" t="s">
        <v>141</v>
      </c>
      <c r="C66" s="47"/>
      <c r="E66" s="16"/>
    </row>
    <row r="67" spans="1:5" ht="16.5" customHeight="1" x14ac:dyDescent="0.2">
      <c r="A67" s="1">
        <v>7</v>
      </c>
      <c r="B67" s="16" t="s">
        <v>142</v>
      </c>
    </row>
    <row r="68" spans="1:5" ht="16.5" customHeight="1" x14ac:dyDescent="0.2"/>
    <row r="69" spans="1:5" ht="16.5" customHeight="1" x14ac:dyDescent="0.2">
      <c r="B69" s="216" t="s">
        <v>108</v>
      </c>
      <c r="C69" s="217" t="s">
        <v>93</v>
      </c>
    </row>
    <row r="70" spans="1:5" ht="16.5" customHeight="1" x14ac:dyDescent="0.2">
      <c r="B70" s="10" t="s">
        <v>103</v>
      </c>
      <c r="C70" s="14">
        <f>O22</f>
        <v>86952.369230769196</v>
      </c>
    </row>
    <row r="71" spans="1:5" ht="16.5" customHeight="1" x14ac:dyDescent="0.2">
      <c r="B71" s="10" t="s">
        <v>106</v>
      </c>
      <c r="C71" s="14">
        <f>O54</f>
        <v>106988.30769230766</v>
      </c>
    </row>
    <row r="72" spans="1:5" ht="16.5" customHeight="1" x14ac:dyDescent="0.2">
      <c r="B72" s="188" t="s">
        <v>67</v>
      </c>
      <c r="C72" s="213">
        <v>1612.8</v>
      </c>
    </row>
    <row r="73" spans="1:5" ht="16.5" customHeight="1" x14ac:dyDescent="0.2">
      <c r="B73" s="188" t="s">
        <v>107</v>
      </c>
      <c r="C73" s="214">
        <v>2171.0769230769229</v>
      </c>
    </row>
    <row r="74" spans="1:5" ht="16.5" customHeight="1" thickBot="1" x14ac:dyDescent="0.25">
      <c r="B74" s="189" t="s">
        <v>101</v>
      </c>
      <c r="C74" s="215">
        <f>SUM(C70:C73)</f>
        <v>197724.55384615378</v>
      </c>
    </row>
    <row r="75" spans="1:5" ht="16.5" customHeight="1" thickTop="1" x14ac:dyDescent="0.2"/>
    <row r="76" spans="1:5" ht="16.5" customHeight="1" x14ac:dyDescent="0.2"/>
    <row r="77" spans="1:5" ht="16.5" customHeight="1" x14ac:dyDescent="0.2"/>
    <row r="78" spans="1:5" ht="16.5" customHeight="1" x14ac:dyDescent="0.2"/>
    <row r="79" spans="1:5" ht="16.5" customHeight="1" x14ac:dyDescent="0.2"/>
    <row r="80" spans="1:5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</sheetData>
  <mergeCells count="5">
    <mergeCell ref="B1:Q1"/>
    <mergeCell ref="B2:Q2"/>
    <mergeCell ref="B3:Q3"/>
    <mergeCell ref="B5:Q5"/>
    <mergeCell ref="B24:Q24"/>
  </mergeCells>
  <conditionalFormatting sqref="P6:P21">
    <cfRule type="cellIs" dxfId="43" priority="2" operator="between">
      <formula>0</formula>
      <formula>140</formula>
    </cfRule>
  </conditionalFormatting>
  <conditionalFormatting sqref="P25:P53">
    <cfRule type="cellIs" dxfId="42" priority="1" operator="between">
      <formula>0</formula>
      <formula>79</formula>
    </cfRule>
  </conditionalFormatting>
  <conditionalFormatting sqref="P54">
    <cfRule type="cellIs" dxfId="41" priority="8" operator="between">
      <formula>0</formula>
      <formula>79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Q116"/>
  <sheetViews>
    <sheetView workbookViewId="0">
      <pane ySplit="4" topLeftCell="A52" activePane="bottomLeft" state="frozen"/>
      <selection pane="bottomLeft" activeCell="I53" sqref="I53"/>
    </sheetView>
  </sheetViews>
  <sheetFormatPr defaultColWidth="9.140625" defaultRowHeight="12" x14ac:dyDescent="0.2"/>
  <cols>
    <col min="1" max="1" width="2" style="1" customWidth="1"/>
    <col min="2" max="2" width="30.28515625" style="1" customWidth="1"/>
    <col min="3" max="3" width="10.5703125" style="44" customWidth="1"/>
    <col min="4" max="4" width="8.28515625" style="1" customWidth="1"/>
    <col min="5" max="5" width="10.7109375" style="1" customWidth="1"/>
    <col min="6" max="6" width="9.7109375" style="44" customWidth="1"/>
    <col min="7" max="7" width="9" style="1" customWidth="1"/>
    <col min="8" max="8" width="10.140625" style="1" customWidth="1"/>
    <col min="9" max="9" width="12.28515625" style="45" customWidth="1"/>
    <col min="10" max="10" width="10.5703125" style="45" customWidth="1"/>
    <col min="11" max="11" width="10.7109375" style="45" customWidth="1"/>
    <col min="12" max="12" width="8.7109375" style="1" hidden="1" customWidth="1"/>
    <col min="13" max="14" width="10.42578125" style="1" hidden="1" customWidth="1"/>
    <col min="15" max="15" width="10" style="411" hidden="1" customWidth="1"/>
    <col min="16" max="16" width="9.85546875" style="47" hidden="1" customWidth="1"/>
    <col min="17" max="17" width="8.5703125" style="16" customWidth="1"/>
    <col min="18" max="18" width="12" style="1" customWidth="1"/>
    <col min="19" max="19" width="10" style="1" bestFit="1" customWidth="1"/>
    <col min="20" max="16384" width="9.140625" style="1"/>
  </cols>
  <sheetData>
    <row r="1" spans="2:17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7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7" ht="15" x14ac:dyDescent="0.25">
      <c r="B3" s="622">
        <v>45838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7" ht="34.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508" t="s">
        <v>145</v>
      </c>
      <c r="P4" s="455" t="s">
        <v>16</v>
      </c>
      <c r="Q4" s="456" t="s">
        <v>17</v>
      </c>
    </row>
    <row r="5" spans="2:17" ht="16.5" customHeight="1" x14ac:dyDescent="0.25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7" s="16" customFormat="1" ht="15.75" customHeight="1" x14ac:dyDescent="0.2">
      <c r="B6" s="10" t="s">
        <v>19</v>
      </c>
      <c r="C6" s="352">
        <v>51535</v>
      </c>
      <c r="D6" s="352">
        <v>375</v>
      </c>
      <c r="E6" s="190">
        <f t="shared" ref="E6:E7" si="0">C6-D6</f>
        <v>51160</v>
      </c>
      <c r="F6" s="353">
        <v>42090</v>
      </c>
      <c r="G6" s="353">
        <v>4240</v>
      </c>
      <c r="H6" s="190">
        <f t="shared" ref="H6:H7" si="1">F6+G6</f>
        <v>46330</v>
      </c>
      <c r="I6" s="489">
        <v>625800.95999999996</v>
      </c>
      <c r="J6" s="488">
        <v>13155.16</v>
      </c>
      <c r="K6" s="198">
        <f t="shared" ref="K6:K7" si="2">I6+J6</f>
        <v>638956.12</v>
      </c>
      <c r="L6" s="11">
        <f t="shared" ref="L6:L7" si="3">F6/E6</f>
        <v>0.82271305707584053</v>
      </c>
      <c r="M6" s="12">
        <f t="shared" ref="M6:M7" si="4">I6/F6</f>
        <v>14.868162508909478</v>
      </c>
      <c r="N6" s="13">
        <f>M6/129.2343</f>
        <v>0.11504811423058336</v>
      </c>
      <c r="O6" s="509">
        <v>3349.6615384615388</v>
      </c>
      <c r="P6" s="14">
        <f t="shared" ref="P6:P7" si="5">C6/O6*12</f>
        <v>184.62163800705466</v>
      </c>
      <c r="Q6" s="15">
        <f>(K6*12/O6)/129.2343</f>
        <v>17.712242879519803</v>
      </c>
    </row>
    <row r="7" spans="2:17" s="16" customFormat="1" ht="15.75" customHeight="1" x14ac:dyDescent="0.2">
      <c r="B7" s="10" t="s">
        <v>20</v>
      </c>
      <c r="C7" s="352">
        <v>180582</v>
      </c>
      <c r="D7" s="352">
        <v>470</v>
      </c>
      <c r="E7" s="190">
        <f t="shared" si="0"/>
        <v>180112</v>
      </c>
      <c r="F7" s="353">
        <v>141343</v>
      </c>
      <c r="G7" s="353">
        <v>22900</v>
      </c>
      <c r="H7" s="190">
        <f t="shared" si="1"/>
        <v>164243</v>
      </c>
      <c r="I7" s="489">
        <v>1904712.2600000002</v>
      </c>
      <c r="J7" s="488">
        <v>70698.25</v>
      </c>
      <c r="K7" s="198">
        <f t="shared" si="2"/>
        <v>1975410.5100000002</v>
      </c>
      <c r="L7" s="11">
        <f t="shared" si="3"/>
        <v>0.78475059962689886</v>
      </c>
      <c r="M7" s="12">
        <f t="shared" si="4"/>
        <v>13.475815993717413</v>
      </c>
      <c r="N7" s="13">
        <f t="shared" ref="N7:N20" si="6">M7/129.2343</f>
        <v>0.10427429864763003</v>
      </c>
      <c r="O7" s="509">
        <v>10545.230769230768</v>
      </c>
      <c r="P7" s="14">
        <f t="shared" si="5"/>
        <v>205.49422268907563</v>
      </c>
      <c r="Q7" s="15">
        <f t="shared" ref="Q7:Q20" si="7">(K7*12/O7)/129.2343</f>
        <v>17.39421056620132</v>
      </c>
    </row>
    <row r="8" spans="2:17" s="16" customFormat="1" ht="15.75" customHeight="1" x14ac:dyDescent="0.2">
      <c r="B8" s="10" t="s">
        <v>27</v>
      </c>
      <c r="C8" s="352">
        <v>136446</v>
      </c>
      <c r="D8" s="352">
        <v>441</v>
      </c>
      <c r="E8" s="190">
        <f t="shared" ref="E8:E20" si="8">C8-D8</f>
        <v>136005</v>
      </c>
      <c r="F8" s="353">
        <v>114618</v>
      </c>
      <c r="G8" s="353">
        <v>6060</v>
      </c>
      <c r="H8" s="190">
        <f t="shared" ref="H8:H20" si="9">F8+G8</f>
        <v>120678</v>
      </c>
      <c r="I8" s="489">
        <v>2002367.13</v>
      </c>
      <c r="J8" s="488">
        <v>19189.64</v>
      </c>
      <c r="K8" s="198">
        <f t="shared" ref="K8:K20" si="10">I8+J8</f>
        <v>2021556.7699999998</v>
      </c>
      <c r="L8" s="11">
        <f t="shared" ref="L8:L20" si="11">F8/E8</f>
        <v>0.84274842836660413</v>
      </c>
      <c r="M8" s="12">
        <f t="shared" ref="M8:M20" si="12">I8/F8</f>
        <v>17.469918599172903</v>
      </c>
      <c r="N8" s="13">
        <f t="shared" si="6"/>
        <v>0.13518020060597616</v>
      </c>
      <c r="O8" s="509">
        <v>8560</v>
      </c>
      <c r="P8" s="14">
        <f t="shared" ref="P8:P20" si="13">C8/O8*12</f>
        <v>191.27943925233643</v>
      </c>
      <c r="Q8" s="15">
        <f t="shared" si="7"/>
        <v>21.928838464595287</v>
      </c>
    </row>
    <row r="9" spans="2:17" s="16" customFormat="1" ht="15.75" customHeight="1" x14ac:dyDescent="0.2">
      <c r="B9" s="10" t="s">
        <v>34</v>
      </c>
      <c r="C9" s="352">
        <v>91111</v>
      </c>
      <c r="D9" s="352">
        <v>277</v>
      </c>
      <c r="E9" s="190">
        <f t="shared" si="8"/>
        <v>90834</v>
      </c>
      <c r="F9" s="353">
        <v>83093</v>
      </c>
      <c r="G9" s="353">
        <v>2480</v>
      </c>
      <c r="H9" s="190">
        <f t="shared" si="9"/>
        <v>85573</v>
      </c>
      <c r="I9" s="489">
        <v>1217494.76</v>
      </c>
      <c r="J9" s="488">
        <v>8051.69</v>
      </c>
      <c r="K9" s="198">
        <f t="shared" si="10"/>
        <v>1225546.45</v>
      </c>
      <c r="L9" s="11">
        <f t="shared" si="11"/>
        <v>0.914778607129489</v>
      </c>
      <c r="M9" s="12">
        <f t="shared" si="12"/>
        <v>14.652194047633374</v>
      </c>
      <c r="N9" s="13">
        <f t="shared" si="6"/>
        <v>0.11337697536670509</v>
      </c>
      <c r="O9" s="509">
        <v>5334</v>
      </c>
      <c r="P9" s="14">
        <f t="shared" si="13"/>
        <v>204.97412823397076</v>
      </c>
      <c r="Q9" s="15">
        <f t="shared" si="7"/>
        <v>21.334389327300645</v>
      </c>
    </row>
    <row r="10" spans="2:17" s="16" customFormat="1" ht="15.75" customHeight="1" x14ac:dyDescent="0.2">
      <c r="B10" s="10" t="s">
        <v>29</v>
      </c>
      <c r="C10" s="352">
        <v>34390</v>
      </c>
      <c r="D10" s="352">
        <v>295</v>
      </c>
      <c r="E10" s="190">
        <f t="shared" si="8"/>
        <v>34095</v>
      </c>
      <c r="F10" s="353">
        <v>27540</v>
      </c>
      <c r="G10" s="353">
        <v>780</v>
      </c>
      <c r="H10" s="190">
        <f t="shared" si="9"/>
        <v>28320</v>
      </c>
      <c r="I10" s="489">
        <v>385500.20999999996</v>
      </c>
      <c r="J10" s="488">
        <v>2353.4299999999998</v>
      </c>
      <c r="K10" s="198">
        <f t="shared" si="10"/>
        <v>387853.63999999996</v>
      </c>
      <c r="L10" s="11">
        <f t="shared" si="11"/>
        <v>0.80774307083150021</v>
      </c>
      <c r="M10" s="12">
        <f t="shared" si="12"/>
        <v>13.997828976034857</v>
      </c>
      <c r="N10" s="13">
        <f t="shared" si="6"/>
        <v>0.10831357446153891</v>
      </c>
      <c r="O10" s="509">
        <v>2233</v>
      </c>
      <c r="P10" s="14">
        <f t="shared" si="13"/>
        <v>184.80967308553517</v>
      </c>
      <c r="Q10" s="15">
        <f t="shared" si="7"/>
        <v>16.128077430944419</v>
      </c>
    </row>
    <row r="11" spans="2:17" s="16" customFormat="1" ht="15.75" customHeight="1" x14ac:dyDescent="0.2">
      <c r="B11" s="10" t="s">
        <v>32</v>
      </c>
      <c r="C11" s="352">
        <v>49355</v>
      </c>
      <c r="D11" s="352">
        <v>621</v>
      </c>
      <c r="E11" s="190">
        <f t="shared" si="8"/>
        <v>48734</v>
      </c>
      <c r="F11" s="353">
        <v>34380</v>
      </c>
      <c r="G11" s="353">
        <v>5220</v>
      </c>
      <c r="H11" s="190">
        <f t="shared" si="9"/>
        <v>39600</v>
      </c>
      <c r="I11" s="489">
        <v>748209.52</v>
      </c>
      <c r="J11" s="488">
        <v>15982.77</v>
      </c>
      <c r="K11" s="198">
        <f t="shared" si="10"/>
        <v>764192.29</v>
      </c>
      <c r="L11" s="11">
        <f t="shared" si="11"/>
        <v>0.70546230557721512</v>
      </c>
      <c r="M11" s="12">
        <f t="shared" si="12"/>
        <v>21.762929610238512</v>
      </c>
      <c r="N11" s="13">
        <f t="shared" si="6"/>
        <v>0.16839902108216251</v>
      </c>
      <c r="O11" s="509">
        <v>4962.4615384615381</v>
      </c>
      <c r="P11" s="14">
        <f t="shared" si="13"/>
        <v>119.34802827380952</v>
      </c>
      <c r="Q11" s="15">
        <f t="shared" si="7"/>
        <v>14.299108093396297</v>
      </c>
    </row>
    <row r="12" spans="2:17" s="16" customFormat="1" ht="15.75" customHeight="1" x14ac:dyDescent="0.2">
      <c r="B12" s="10" t="s">
        <v>21</v>
      </c>
      <c r="C12" s="352">
        <v>50988</v>
      </c>
      <c r="D12" s="352">
        <v>322</v>
      </c>
      <c r="E12" s="190">
        <f t="shared" si="8"/>
        <v>50666</v>
      </c>
      <c r="F12" s="353">
        <v>43420</v>
      </c>
      <c r="G12" s="353">
        <v>2080</v>
      </c>
      <c r="H12" s="190">
        <f t="shared" si="9"/>
        <v>45500</v>
      </c>
      <c r="I12" s="489">
        <v>787167.55</v>
      </c>
      <c r="J12" s="488">
        <v>6534.45</v>
      </c>
      <c r="K12" s="198">
        <f t="shared" si="10"/>
        <v>793702</v>
      </c>
      <c r="L12" s="11">
        <f t="shared" si="11"/>
        <v>0.85698496032842542</v>
      </c>
      <c r="M12" s="12">
        <f t="shared" si="12"/>
        <v>18.129146706586827</v>
      </c>
      <c r="N12" s="13">
        <f t="shared" si="6"/>
        <v>0.14028123111733362</v>
      </c>
      <c r="O12" s="352">
        <v>5768.8615384615377</v>
      </c>
      <c r="P12" s="14">
        <f t="shared" si="13"/>
        <v>106.06182795698928</v>
      </c>
      <c r="Q12" s="15">
        <f t="shared" si="7"/>
        <v>12.775291268438489</v>
      </c>
    </row>
    <row r="13" spans="2:17" s="16" customFormat="1" ht="15.75" customHeight="1" x14ac:dyDescent="0.2">
      <c r="B13" s="10" t="s">
        <v>23</v>
      </c>
      <c r="C13" s="352">
        <v>51633</v>
      </c>
      <c r="D13" s="352">
        <v>291</v>
      </c>
      <c r="E13" s="190">
        <f t="shared" si="8"/>
        <v>51342</v>
      </c>
      <c r="F13" s="353">
        <v>44225</v>
      </c>
      <c r="G13" s="353">
        <v>7900</v>
      </c>
      <c r="H13" s="190">
        <f t="shared" si="9"/>
        <v>52125</v>
      </c>
      <c r="I13" s="489">
        <v>651158.89</v>
      </c>
      <c r="J13" s="488">
        <v>24198.26</v>
      </c>
      <c r="K13" s="198">
        <f t="shared" si="10"/>
        <v>675357.15</v>
      </c>
      <c r="L13" s="11">
        <f t="shared" si="11"/>
        <v>0.86138054614156057</v>
      </c>
      <c r="M13" s="12">
        <f t="shared" si="12"/>
        <v>14.723773657433579</v>
      </c>
      <c r="N13" s="13">
        <f t="shared" si="6"/>
        <v>0.11393085007179658</v>
      </c>
      <c r="O13" s="509">
        <v>5148.5538461538463</v>
      </c>
      <c r="P13" s="14">
        <f t="shared" si="13"/>
        <v>120.34369621342513</v>
      </c>
      <c r="Q13" s="15">
        <f t="shared" si="7"/>
        <v>12.180123565494396</v>
      </c>
    </row>
    <row r="14" spans="2:17" s="16" customFormat="1" ht="15.75" customHeight="1" x14ac:dyDescent="0.2">
      <c r="B14" s="10" t="s">
        <v>25</v>
      </c>
      <c r="C14" s="352">
        <v>72300</v>
      </c>
      <c r="D14" s="352">
        <v>301</v>
      </c>
      <c r="E14" s="190">
        <f t="shared" si="8"/>
        <v>71999</v>
      </c>
      <c r="F14" s="353">
        <v>66684</v>
      </c>
      <c r="G14" s="353">
        <v>2600</v>
      </c>
      <c r="H14" s="190">
        <f t="shared" si="9"/>
        <v>69284</v>
      </c>
      <c r="I14" s="489">
        <v>1032272.8099999998</v>
      </c>
      <c r="J14" s="488">
        <v>8724.1200000000008</v>
      </c>
      <c r="K14" s="198">
        <f t="shared" si="10"/>
        <v>1040996.9299999998</v>
      </c>
      <c r="L14" s="11">
        <f t="shared" si="11"/>
        <v>0.92617953027125377</v>
      </c>
      <c r="M14" s="12">
        <f t="shared" si="12"/>
        <v>15.480067332493549</v>
      </c>
      <c r="N14" s="13">
        <f t="shared" si="6"/>
        <v>0.11978296266930336</v>
      </c>
      <c r="O14" s="509">
        <v>8071.9428571428562</v>
      </c>
      <c r="P14" s="14">
        <f t="shared" si="13"/>
        <v>107.48341698582038</v>
      </c>
      <c r="Q14" s="15">
        <f t="shared" si="7"/>
        <v>11.974980674062436</v>
      </c>
    </row>
    <row r="15" spans="2:17" s="16" customFormat="1" ht="15.75" customHeight="1" x14ac:dyDescent="0.2">
      <c r="B15" s="10" t="s">
        <v>24</v>
      </c>
      <c r="C15" s="352">
        <v>74680</v>
      </c>
      <c r="D15" s="352">
        <v>315</v>
      </c>
      <c r="E15" s="190">
        <f t="shared" si="8"/>
        <v>74365</v>
      </c>
      <c r="F15" s="353">
        <v>45631</v>
      </c>
      <c r="G15" s="353">
        <v>13180</v>
      </c>
      <c r="H15" s="190">
        <f t="shared" si="9"/>
        <v>58811</v>
      </c>
      <c r="I15" s="489">
        <v>609230.30999999994</v>
      </c>
      <c r="J15" s="488">
        <v>39767.24</v>
      </c>
      <c r="K15" s="198">
        <f t="shared" si="10"/>
        <v>648997.54999999993</v>
      </c>
      <c r="L15" s="11">
        <f t="shared" si="11"/>
        <v>0.61360855241040813</v>
      </c>
      <c r="M15" s="12">
        <f t="shared" si="12"/>
        <v>13.351237316736428</v>
      </c>
      <c r="N15" s="13">
        <f t="shared" si="6"/>
        <v>0.10331032331769839</v>
      </c>
      <c r="O15" s="509">
        <v>5492.6769230769232</v>
      </c>
      <c r="P15" s="14">
        <f t="shared" si="13"/>
        <v>163.15541812315138</v>
      </c>
      <c r="Q15" s="15">
        <f t="shared" si="7"/>
        <v>10.971410225480566</v>
      </c>
    </row>
    <row r="16" spans="2:17" s="16" customFormat="1" ht="15.75" customHeight="1" x14ac:dyDescent="0.2">
      <c r="B16" s="10" t="s">
        <v>28</v>
      </c>
      <c r="C16" s="352">
        <v>107425</v>
      </c>
      <c r="D16" s="352">
        <v>390</v>
      </c>
      <c r="E16" s="190">
        <f t="shared" si="8"/>
        <v>107035</v>
      </c>
      <c r="F16" s="353">
        <v>76450</v>
      </c>
      <c r="G16" s="353">
        <v>26740</v>
      </c>
      <c r="H16" s="190">
        <f t="shared" si="9"/>
        <v>103190</v>
      </c>
      <c r="I16" s="489">
        <v>1102905.6499999999</v>
      </c>
      <c r="J16" s="488">
        <v>83784.490000000005</v>
      </c>
      <c r="K16" s="198">
        <f t="shared" si="10"/>
        <v>1186690.1399999999</v>
      </c>
      <c r="L16" s="11">
        <f t="shared" si="11"/>
        <v>0.71425234736301213</v>
      </c>
      <c r="M16" s="12">
        <f t="shared" si="12"/>
        <v>14.426496402877696</v>
      </c>
      <c r="N16" s="13">
        <f t="shared" si="6"/>
        <v>0.11163055321132004</v>
      </c>
      <c r="O16" s="509">
        <v>10048.984615384614</v>
      </c>
      <c r="P16" s="14">
        <f t="shared" si="13"/>
        <v>128.28161743092301</v>
      </c>
      <c r="Q16" s="15">
        <f t="shared" si="7"/>
        <v>10.965251668305156</v>
      </c>
    </row>
    <row r="17" spans="2:17" s="16" customFormat="1" ht="15.75" customHeight="1" x14ac:dyDescent="0.2">
      <c r="B17" s="10" t="s">
        <v>30</v>
      </c>
      <c r="C17" s="352">
        <v>134729</v>
      </c>
      <c r="D17" s="352">
        <v>348</v>
      </c>
      <c r="E17" s="190">
        <f t="shared" si="8"/>
        <v>134381</v>
      </c>
      <c r="F17" s="353">
        <v>79208</v>
      </c>
      <c r="G17" s="353">
        <v>2240</v>
      </c>
      <c r="H17" s="190">
        <f t="shared" si="9"/>
        <v>81448</v>
      </c>
      <c r="I17" s="489">
        <v>1135599.95</v>
      </c>
      <c r="J17" s="488">
        <v>7120.69</v>
      </c>
      <c r="K17" s="198">
        <f t="shared" si="10"/>
        <v>1142720.6399999999</v>
      </c>
      <c r="L17" s="11">
        <f t="shared" si="11"/>
        <v>0.58942856505011865</v>
      </c>
      <c r="M17" s="12">
        <f t="shared" si="12"/>
        <v>14.336935031814967</v>
      </c>
      <c r="N17" s="13">
        <f t="shared" si="6"/>
        <v>0.11093753772655532</v>
      </c>
      <c r="O17" s="510">
        <v>10330.231</v>
      </c>
      <c r="P17" s="14">
        <f t="shared" si="13"/>
        <v>156.50647115248438</v>
      </c>
      <c r="Q17" s="15">
        <f t="shared" si="7"/>
        <v>10.271490997915443</v>
      </c>
    </row>
    <row r="18" spans="2:17" s="16" customFormat="1" ht="15.75" customHeight="1" x14ac:dyDescent="0.2">
      <c r="B18" s="10" t="s">
        <v>22</v>
      </c>
      <c r="C18" s="352">
        <v>61114</v>
      </c>
      <c r="D18" s="352">
        <v>245</v>
      </c>
      <c r="E18" s="190">
        <f t="shared" si="8"/>
        <v>60869</v>
      </c>
      <c r="F18" s="353">
        <v>37823</v>
      </c>
      <c r="G18" s="353">
        <v>13000</v>
      </c>
      <c r="H18" s="190">
        <f t="shared" si="9"/>
        <v>50823</v>
      </c>
      <c r="I18" s="489">
        <v>502560.92</v>
      </c>
      <c r="J18" s="488">
        <v>39793.11</v>
      </c>
      <c r="K18" s="198">
        <f t="shared" si="10"/>
        <v>542354.03</v>
      </c>
      <c r="L18" s="11">
        <f t="shared" si="11"/>
        <v>0.62138362713368056</v>
      </c>
      <c r="M18" s="12">
        <f t="shared" si="12"/>
        <v>13.287177643232953</v>
      </c>
      <c r="N18" s="13">
        <f t="shared" si="6"/>
        <v>0.10281463700606537</v>
      </c>
      <c r="O18" s="511">
        <v>4962.4615384615381</v>
      </c>
      <c r="P18" s="14">
        <f t="shared" si="13"/>
        <v>147.78311011904762</v>
      </c>
      <c r="Q18" s="15">
        <f t="shared" si="7"/>
        <v>10.148203536388856</v>
      </c>
    </row>
    <row r="19" spans="2:17" s="16" customFormat="1" ht="15.75" customHeight="1" x14ac:dyDescent="0.2">
      <c r="B19" s="10" t="s">
        <v>33</v>
      </c>
      <c r="C19" s="352">
        <v>24105</v>
      </c>
      <c r="D19" s="352">
        <v>323</v>
      </c>
      <c r="E19" s="190">
        <f t="shared" si="8"/>
        <v>23782</v>
      </c>
      <c r="F19" s="353">
        <v>16250</v>
      </c>
      <c r="G19" s="353">
        <v>3200</v>
      </c>
      <c r="H19" s="190">
        <f t="shared" si="9"/>
        <v>19450</v>
      </c>
      <c r="I19" s="489">
        <v>214434.47999999998</v>
      </c>
      <c r="J19" s="488">
        <v>9655.15</v>
      </c>
      <c r="K19" s="198">
        <f t="shared" si="10"/>
        <v>224089.62999999998</v>
      </c>
      <c r="L19" s="11">
        <f t="shared" si="11"/>
        <v>0.68328988310486927</v>
      </c>
      <c r="M19" s="12">
        <f t="shared" si="12"/>
        <v>13.195967999999999</v>
      </c>
      <c r="N19" s="13">
        <f t="shared" si="6"/>
        <v>0.10210886738273044</v>
      </c>
      <c r="O19" s="509">
        <v>2605.292307692308</v>
      </c>
      <c r="P19" s="14">
        <f t="shared" si="13"/>
        <v>111.02784863945578</v>
      </c>
      <c r="Q19" s="15">
        <f t="shared" si="7"/>
        <v>7.9867254153038489</v>
      </c>
    </row>
    <row r="20" spans="2:17" s="16" customFormat="1" ht="15.75" customHeight="1" x14ac:dyDescent="0.2">
      <c r="B20" s="10" t="s">
        <v>26</v>
      </c>
      <c r="C20" s="352">
        <v>32169</v>
      </c>
      <c r="D20" s="352">
        <v>242</v>
      </c>
      <c r="E20" s="190">
        <f t="shared" si="8"/>
        <v>31927</v>
      </c>
      <c r="F20" s="353">
        <v>11780</v>
      </c>
      <c r="G20" s="353">
        <v>5760</v>
      </c>
      <c r="H20" s="190">
        <f t="shared" si="9"/>
        <v>17540</v>
      </c>
      <c r="I20" s="489">
        <v>169261.81</v>
      </c>
      <c r="J20" s="488">
        <v>18206.900000000001</v>
      </c>
      <c r="K20" s="198">
        <f t="shared" si="10"/>
        <v>187468.71</v>
      </c>
      <c r="L20" s="11">
        <f t="shared" si="11"/>
        <v>0.36896670529645753</v>
      </c>
      <c r="M20" s="12">
        <f t="shared" si="12"/>
        <v>14.368574702886248</v>
      </c>
      <c r="N20" s="13">
        <f t="shared" si="6"/>
        <v>0.11118236182566275</v>
      </c>
      <c r="O20" s="509">
        <v>2419.1999999999998</v>
      </c>
      <c r="P20" s="14">
        <f t="shared" si="13"/>
        <v>159.56845238095241</v>
      </c>
      <c r="Q20" s="15">
        <f t="shared" si="7"/>
        <v>7.1954915643617099</v>
      </c>
    </row>
    <row r="21" spans="2:17" ht="15.75" customHeight="1" thickBot="1" x14ac:dyDescent="0.25">
      <c r="B21" s="482" t="s">
        <v>35</v>
      </c>
      <c r="C21" s="483">
        <f t="shared" ref="C21:K21" si="14">SUM(C6:C20)</f>
        <v>1152562</v>
      </c>
      <c r="D21" s="483">
        <f t="shared" si="14"/>
        <v>5256</v>
      </c>
      <c r="E21" s="483">
        <f t="shared" si="14"/>
        <v>1147306</v>
      </c>
      <c r="F21" s="483">
        <f t="shared" si="14"/>
        <v>864535</v>
      </c>
      <c r="G21" s="483">
        <f t="shared" si="14"/>
        <v>118380</v>
      </c>
      <c r="H21" s="483">
        <f t="shared" si="14"/>
        <v>982915</v>
      </c>
      <c r="I21" s="483">
        <f t="shared" si="14"/>
        <v>13088677.210000001</v>
      </c>
      <c r="J21" s="483">
        <f t="shared" si="14"/>
        <v>367215.35000000003</v>
      </c>
      <c r="K21" s="483">
        <f t="shared" si="14"/>
        <v>13455892.560000002</v>
      </c>
      <c r="L21" s="484">
        <f t="shared" ref="L21" si="15">F21/E21</f>
        <v>0.75353480239796533</v>
      </c>
      <c r="M21" s="91">
        <f t="shared" ref="M21" si="16">I21/F21</f>
        <v>15.139557345856444</v>
      </c>
      <c r="N21" s="485">
        <f>M21/129.2343</f>
        <v>0.11714813595041289</v>
      </c>
      <c r="O21" s="483">
        <f>SUM(O6:O20)</f>
        <v>89832.558472527453</v>
      </c>
      <c r="P21" s="486">
        <f t="shared" ref="P21" si="17">C21/O21*12</f>
        <v>153.96137252652903</v>
      </c>
      <c r="Q21" s="487">
        <f>(K21*12/O21)/129.2343</f>
        <v>13.908560798331584</v>
      </c>
    </row>
    <row r="22" spans="2:17" ht="17.25" customHeight="1" thickTop="1" thickBot="1" x14ac:dyDescent="0.25">
      <c r="B22" s="26" t="s">
        <v>36</v>
      </c>
      <c r="C22" s="27"/>
      <c r="D22" s="28">
        <f>D21/C21</f>
        <v>4.5602752823709269E-3</v>
      </c>
      <c r="E22" s="29">
        <f>E21/C21</f>
        <v>0.99543972471762909</v>
      </c>
      <c r="F22" s="30"/>
      <c r="G22" s="31"/>
      <c r="H22" s="30"/>
      <c r="I22" s="30"/>
      <c r="J22" s="30"/>
      <c r="K22" s="30"/>
      <c r="L22" s="32"/>
      <c r="M22" s="30"/>
      <c r="N22" s="33"/>
      <c r="O22" s="30"/>
      <c r="P22" s="34"/>
      <c r="Q22" s="35"/>
    </row>
    <row r="23" spans="2:17" ht="21" customHeight="1" thickTop="1" x14ac:dyDescent="0.25">
      <c r="B23" s="623" t="s">
        <v>37</v>
      </c>
      <c r="C23" s="620"/>
      <c r="D23" s="620"/>
      <c r="E23" s="620"/>
      <c r="F23" s="620"/>
      <c r="G23" s="620"/>
      <c r="H23" s="620"/>
      <c r="I23" s="620"/>
      <c r="J23" s="620"/>
      <c r="K23" s="620"/>
      <c r="L23" s="620"/>
      <c r="M23" s="620"/>
      <c r="N23" s="620"/>
      <c r="O23" s="620"/>
      <c r="P23" s="620"/>
      <c r="Q23" s="620"/>
    </row>
    <row r="24" spans="2:17" ht="15.75" customHeight="1" x14ac:dyDescent="0.2">
      <c r="B24" s="13" t="s">
        <v>39</v>
      </c>
      <c r="C24" s="199">
        <v>45738</v>
      </c>
      <c r="D24" s="391">
        <v>235</v>
      </c>
      <c r="E24" s="200">
        <f t="shared" ref="E24" si="18">C24-D24</f>
        <v>45503</v>
      </c>
      <c r="F24" s="353">
        <v>39410</v>
      </c>
      <c r="G24" s="353">
        <v>920</v>
      </c>
      <c r="H24" s="202">
        <f t="shared" ref="H24" si="19">F24+G24</f>
        <v>40330</v>
      </c>
      <c r="I24" s="489">
        <v>1386077.89</v>
      </c>
      <c r="J24" s="191">
        <v>3172.43</v>
      </c>
      <c r="K24" s="200">
        <f t="shared" ref="K24" si="20">I24+J24</f>
        <v>1389250.3199999998</v>
      </c>
      <c r="L24" s="36">
        <f t="shared" ref="L24" si="21">F24/E24</f>
        <v>0.86609674087422805</v>
      </c>
      <c r="M24" s="20">
        <f t="shared" ref="M24" si="22">I24/F24</f>
        <v>35.170715300685103</v>
      </c>
      <c r="N24" s="37">
        <f>M24/129.2343</f>
        <v>0.27214690914629558</v>
      </c>
      <c r="O24" s="510">
        <v>5520.7384615384617</v>
      </c>
      <c r="P24" s="14">
        <f t="shared" ref="P24" si="23">C24/O24*12</f>
        <v>99.417134831460672</v>
      </c>
      <c r="Q24" s="15">
        <f>(K24*12/O24)/129.2343</f>
        <v>23.366129714290039</v>
      </c>
    </row>
    <row r="25" spans="2:17" ht="15.75" customHeight="1" x14ac:dyDescent="0.2">
      <c r="B25" s="13" t="s">
        <v>43</v>
      </c>
      <c r="C25" s="199">
        <v>27087</v>
      </c>
      <c r="D25" s="391">
        <v>263</v>
      </c>
      <c r="E25" s="200">
        <f t="shared" ref="E25:E52" si="24">C25-D25</f>
        <v>26824</v>
      </c>
      <c r="F25" s="353">
        <v>27710</v>
      </c>
      <c r="G25" s="353">
        <v>1400</v>
      </c>
      <c r="H25" s="202">
        <f t="shared" ref="H25:H52" si="25">F25+G25</f>
        <v>29110</v>
      </c>
      <c r="I25" s="489">
        <v>955806.61</v>
      </c>
      <c r="J25" s="191">
        <v>4896.57</v>
      </c>
      <c r="K25" s="200">
        <f t="shared" ref="K25:K52" si="26">I25+J25</f>
        <v>960703.17999999993</v>
      </c>
      <c r="L25" s="36">
        <f t="shared" ref="L25:L52" si="27">F25/E25</f>
        <v>1.0330301222785565</v>
      </c>
      <c r="M25" s="20">
        <f t="shared" ref="M25:M52" si="28">I25/F25</f>
        <v>34.493201371346082</v>
      </c>
      <c r="N25" s="37">
        <f t="shared" ref="N25:N52" si="29">M25/129.2343</f>
        <v>0.26690438506918118</v>
      </c>
      <c r="O25" s="510">
        <v>2605.292307692308</v>
      </c>
      <c r="P25" s="14">
        <f t="shared" ref="P25:P52" si="30">C25/O25*12</f>
        <v>124.76296768707482</v>
      </c>
      <c r="Q25" s="15">
        <f t="shared" ref="Q25:Q52" si="31">(K25*12/O25)/129.2343</f>
        <v>34.240194444826507</v>
      </c>
    </row>
    <row r="26" spans="2:17" ht="15.75" customHeight="1" x14ac:dyDescent="0.2">
      <c r="B26" s="13" t="s">
        <v>52</v>
      </c>
      <c r="C26" s="199">
        <v>50291</v>
      </c>
      <c r="D26" s="391">
        <v>272</v>
      </c>
      <c r="E26" s="200">
        <f t="shared" si="24"/>
        <v>50019</v>
      </c>
      <c r="F26" s="353">
        <v>50410</v>
      </c>
      <c r="G26" s="353">
        <v>900</v>
      </c>
      <c r="H26" s="202">
        <f t="shared" si="25"/>
        <v>51310</v>
      </c>
      <c r="I26" s="489">
        <v>1758501.74</v>
      </c>
      <c r="J26" s="191">
        <v>3103.46</v>
      </c>
      <c r="K26" s="200">
        <f t="shared" si="26"/>
        <v>1761605.2</v>
      </c>
      <c r="L26" s="36">
        <f t="shared" si="27"/>
        <v>1.0078170295287792</v>
      </c>
      <c r="M26" s="20">
        <f t="shared" si="28"/>
        <v>34.8839861138663</v>
      </c>
      <c r="N26" s="37">
        <f t="shared" si="29"/>
        <v>0.26992823200857902</v>
      </c>
      <c r="O26" s="510">
        <v>4838.3999999999996</v>
      </c>
      <c r="P26" s="14">
        <f t="shared" si="30"/>
        <v>124.72966269841271</v>
      </c>
      <c r="Q26" s="15">
        <f t="shared" si="31"/>
        <v>33.807282709567168</v>
      </c>
    </row>
    <row r="27" spans="2:17" ht="15.75" customHeight="1" x14ac:dyDescent="0.2">
      <c r="B27" s="13" t="s">
        <v>50</v>
      </c>
      <c r="C27" s="199">
        <v>16945</v>
      </c>
      <c r="D27" s="391">
        <v>203</v>
      </c>
      <c r="E27" s="200">
        <f t="shared" si="24"/>
        <v>16742</v>
      </c>
      <c r="F27" s="353">
        <v>27180</v>
      </c>
      <c r="G27" s="353">
        <v>800</v>
      </c>
      <c r="H27" s="202">
        <f t="shared" si="25"/>
        <v>27980</v>
      </c>
      <c r="I27" s="489">
        <v>920178.88</v>
      </c>
      <c r="J27" s="191">
        <v>2758.63</v>
      </c>
      <c r="K27" s="200">
        <f t="shared" si="26"/>
        <v>922937.51</v>
      </c>
      <c r="L27" s="36">
        <f t="shared" si="27"/>
        <v>1.6234619519770637</v>
      </c>
      <c r="M27" s="20">
        <f t="shared" si="28"/>
        <v>33.854999264164825</v>
      </c>
      <c r="N27" s="37">
        <f t="shared" si="29"/>
        <v>0.26196605130499279</v>
      </c>
      <c r="O27" s="510">
        <v>2667.3230769230763</v>
      </c>
      <c r="P27" s="14">
        <f t="shared" si="30"/>
        <v>76.233734772978977</v>
      </c>
      <c r="Q27" s="15">
        <f t="shared" si="31"/>
        <v>32.12921581815678</v>
      </c>
    </row>
    <row r="28" spans="2:17" ht="15.75" customHeight="1" x14ac:dyDescent="0.2">
      <c r="B28" s="13" t="s">
        <v>62</v>
      </c>
      <c r="C28" s="199">
        <v>23713</v>
      </c>
      <c r="D28" s="391">
        <v>216</v>
      </c>
      <c r="E28" s="200">
        <f t="shared" si="24"/>
        <v>23497</v>
      </c>
      <c r="F28" s="353">
        <v>24730</v>
      </c>
      <c r="G28" s="353">
        <v>560</v>
      </c>
      <c r="H28" s="202">
        <f t="shared" si="25"/>
        <v>25290</v>
      </c>
      <c r="I28" s="489">
        <v>822098.57000000007</v>
      </c>
      <c r="J28" s="191">
        <v>1931.03</v>
      </c>
      <c r="K28" s="200">
        <f t="shared" si="26"/>
        <v>824029.60000000009</v>
      </c>
      <c r="L28" s="36">
        <f t="shared" si="27"/>
        <v>1.0524747840149806</v>
      </c>
      <c r="M28" s="20">
        <f t="shared" si="28"/>
        <v>33.242966841892439</v>
      </c>
      <c r="N28" s="37">
        <f t="shared" si="29"/>
        <v>0.25723021552244602</v>
      </c>
      <c r="O28" s="510">
        <v>2605.292307692308</v>
      </c>
      <c r="P28" s="14">
        <f t="shared" si="30"/>
        <v>109.22229308390021</v>
      </c>
      <c r="Q28" s="15">
        <f t="shared" si="31"/>
        <v>29.369043758440164</v>
      </c>
    </row>
    <row r="29" spans="2:17" ht="15.75" customHeight="1" x14ac:dyDescent="0.2">
      <c r="B29" s="13" t="s">
        <v>46</v>
      </c>
      <c r="C29" s="199">
        <v>40347</v>
      </c>
      <c r="D29" s="391">
        <v>269</v>
      </c>
      <c r="E29" s="200">
        <f t="shared" si="24"/>
        <v>40078</v>
      </c>
      <c r="F29" s="353">
        <v>37310</v>
      </c>
      <c r="G29" s="353">
        <v>880</v>
      </c>
      <c r="H29" s="202">
        <f t="shared" si="25"/>
        <v>38190</v>
      </c>
      <c r="I29" s="489">
        <v>1449857.7400000002</v>
      </c>
      <c r="J29" s="191">
        <v>3034.51</v>
      </c>
      <c r="K29" s="200">
        <f t="shared" si="26"/>
        <v>1452892.2500000002</v>
      </c>
      <c r="L29" s="36">
        <f t="shared" si="27"/>
        <v>0.93093467737911073</v>
      </c>
      <c r="M29" s="20">
        <f t="shared" si="28"/>
        <v>38.859762530152778</v>
      </c>
      <c r="N29" s="37">
        <f t="shared" si="29"/>
        <v>0.30069232804412438</v>
      </c>
      <c r="O29" s="510">
        <v>4838.3999999999996</v>
      </c>
      <c r="P29" s="14">
        <f t="shared" si="30"/>
        <v>100.06696428571431</v>
      </c>
      <c r="Q29" s="15">
        <f t="shared" si="31"/>
        <v>27.882716877929941</v>
      </c>
    </row>
    <row r="30" spans="2:17" ht="15.75" customHeight="1" x14ac:dyDescent="0.2">
      <c r="B30" s="13" t="s">
        <v>53</v>
      </c>
      <c r="C30" s="199">
        <v>57534</v>
      </c>
      <c r="D30" s="391">
        <v>266</v>
      </c>
      <c r="E30" s="200">
        <f t="shared" si="24"/>
        <v>57268</v>
      </c>
      <c r="F30" s="353">
        <v>56380</v>
      </c>
      <c r="G30" s="353">
        <v>760</v>
      </c>
      <c r="H30" s="202">
        <f t="shared" si="25"/>
        <v>57140</v>
      </c>
      <c r="I30" s="489">
        <v>1999179.9399999997</v>
      </c>
      <c r="J30" s="191">
        <v>2620.7199999999998</v>
      </c>
      <c r="K30" s="200">
        <f t="shared" si="26"/>
        <v>2001800.6599999997</v>
      </c>
      <c r="L30" s="36">
        <f t="shared" si="27"/>
        <v>0.98449395823147312</v>
      </c>
      <c r="M30" s="20">
        <f t="shared" si="28"/>
        <v>35.459026959914858</v>
      </c>
      <c r="N30" s="37">
        <f t="shared" si="29"/>
        <v>0.27437783127168919</v>
      </c>
      <c r="O30" s="510">
        <v>7257.3692307692309</v>
      </c>
      <c r="P30" s="14">
        <f t="shared" si="30"/>
        <v>95.131993157088075</v>
      </c>
      <c r="Q30" s="15">
        <f t="shared" si="31"/>
        <v>25.612092417728995</v>
      </c>
    </row>
    <row r="31" spans="2:17" ht="15.75" customHeight="1" x14ac:dyDescent="0.2">
      <c r="B31" s="13" t="s">
        <v>49</v>
      </c>
      <c r="C31" s="199">
        <v>36231</v>
      </c>
      <c r="D31" s="391">
        <v>244</v>
      </c>
      <c r="E31" s="200">
        <f t="shared" si="24"/>
        <v>35987</v>
      </c>
      <c r="F31" s="353">
        <v>37880</v>
      </c>
      <c r="G31" s="353">
        <v>1340</v>
      </c>
      <c r="H31" s="202">
        <f t="shared" si="25"/>
        <v>39220</v>
      </c>
      <c r="I31" s="489">
        <v>1315422.3999999999</v>
      </c>
      <c r="J31" s="191">
        <v>4672.3999999999996</v>
      </c>
      <c r="K31" s="200">
        <f t="shared" si="26"/>
        <v>1320094.7999999998</v>
      </c>
      <c r="L31" s="36">
        <f t="shared" si="27"/>
        <v>1.0526023286186679</v>
      </c>
      <c r="M31" s="20">
        <f t="shared" si="28"/>
        <v>34.726040126715944</v>
      </c>
      <c r="N31" s="37">
        <f t="shared" si="29"/>
        <v>0.26870606430890209</v>
      </c>
      <c r="O31" s="510">
        <v>5024.4923076923069</v>
      </c>
      <c r="P31" s="14">
        <f t="shared" si="30"/>
        <v>86.530533509700192</v>
      </c>
      <c r="Q31" s="15">
        <f t="shared" si="31"/>
        <v>24.395874238949958</v>
      </c>
    </row>
    <row r="32" spans="2:17" ht="15.75" customHeight="1" x14ac:dyDescent="0.2">
      <c r="B32" s="13" t="s">
        <v>59</v>
      </c>
      <c r="C32" s="199">
        <v>17333</v>
      </c>
      <c r="D32" s="391">
        <v>208</v>
      </c>
      <c r="E32" s="200">
        <f t="shared" si="24"/>
        <v>17125</v>
      </c>
      <c r="F32" s="353">
        <v>16650</v>
      </c>
      <c r="G32" s="353">
        <v>800</v>
      </c>
      <c r="H32" s="202">
        <f t="shared" si="25"/>
        <v>17450</v>
      </c>
      <c r="I32" s="489">
        <v>616950.92999999993</v>
      </c>
      <c r="J32" s="191">
        <v>2758.63</v>
      </c>
      <c r="K32" s="200">
        <f t="shared" si="26"/>
        <v>619709.55999999994</v>
      </c>
      <c r="L32" s="36">
        <f t="shared" si="27"/>
        <v>0.9722627737226277</v>
      </c>
      <c r="M32" s="20">
        <f t="shared" si="28"/>
        <v>37.054109909909904</v>
      </c>
      <c r="N32" s="37">
        <f t="shared" si="29"/>
        <v>0.28672039783486203</v>
      </c>
      <c r="O32" s="510">
        <v>2481.2307692307691</v>
      </c>
      <c r="P32" s="14">
        <f t="shared" si="30"/>
        <v>83.827752976190482</v>
      </c>
      <c r="Q32" s="15">
        <f t="shared" si="31"/>
        <v>23.191267697691785</v>
      </c>
    </row>
    <row r="33" spans="2:17" ht="15.75" customHeight="1" x14ac:dyDescent="0.2">
      <c r="B33" s="13" t="s">
        <v>45</v>
      </c>
      <c r="C33" s="199">
        <v>16108</v>
      </c>
      <c r="D33" s="391">
        <v>180</v>
      </c>
      <c r="E33" s="200">
        <f t="shared" si="24"/>
        <v>15928</v>
      </c>
      <c r="F33" s="353">
        <v>15220</v>
      </c>
      <c r="G33" s="353"/>
      <c r="H33" s="202">
        <f t="shared" si="25"/>
        <v>15220</v>
      </c>
      <c r="I33" s="489">
        <v>607836.17000000004</v>
      </c>
      <c r="J33" s="354"/>
      <c r="K33" s="200">
        <f t="shared" si="26"/>
        <v>607836.17000000004</v>
      </c>
      <c r="L33" s="36">
        <f t="shared" si="27"/>
        <v>0.95554997488699145</v>
      </c>
      <c r="M33" s="20">
        <f t="shared" si="28"/>
        <v>39.936673455978976</v>
      </c>
      <c r="N33" s="37">
        <f t="shared" si="29"/>
        <v>0.30902533968133056</v>
      </c>
      <c r="O33" s="510">
        <v>2481.2307692307691</v>
      </c>
      <c r="P33" s="14">
        <f t="shared" si="30"/>
        <v>77.90327380952381</v>
      </c>
      <c r="Q33" s="15">
        <f t="shared" si="31"/>
        <v>22.746932183537233</v>
      </c>
    </row>
    <row r="34" spans="2:17" ht="15.75" customHeight="1" x14ac:dyDescent="0.2">
      <c r="B34" s="13" t="s">
        <v>58</v>
      </c>
      <c r="C34" s="199">
        <v>35235</v>
      </c>
      <c r="D34" s="391">
        <v>283</v>
      </c>
      <c r="E34" s="200">
        <f t="shared" si="24"/>
        <v>34952</v>
      </c>
      <c r="F34" s="353">
        <v>48540</v>
      </c>
      <c r="G34" s="353">
        <v>460</v>
      </c>
      <c r="H34" s="202">
        <f t="shared" si="25"/>
        <v>49000</v>
      </c>
      <c r="I34" s="489">
        <v>1865660.6600000001</v>
      </c>
      <c r="J34" s="354">
        <v>1689.66</v>
      </c>
      <c r="K34" s="200">
        <f t="shared" si="26"/>
        <v>1867350.32</v>
      </c>
      <c r="L34" s="36">
        <f t="shared" si="27"/>
        <v>1.388761730373083</v>
      </c>
      <c r="M34" s="20">
        <f t="shared" si="28"/>
        <v>38.435530696332926</v>
      </c>
      <c r="N34" s="37">
        <f t="shared" si="29"/>
        <v>0.29740967139786362</v>
      </c>
      <c r="O34" s="510">
        <v>7653</v>
      </c>
      <c r="P34" s="14">
        <f t="shared" si="30"/>
        <v>55.24892199137593</v>
      </c>
      <c r="Q34" s="15">
        <f t="shared" si="31"/>
        <v>22.656746126916833</v>
      </c>
    </row>
    <row r="35" spans="2:17" ht="15.75" customHeight="1" x14ac:dyDescent="0.2">
      <c r="B35" s="13" t="s">
        <v>60</v>
      </c>
      <c r="C35" s="199">
        <v>21421</v>
      </c>
      <c r="D35" s="391">
        <v>206</v>
      </c>
      <c r="E35" s="200">
        <f t="shared" si="24"/>
        <v>21215</v>
      </c>
      <c r="F35" s="353">
        <v>17555</v>
      </c>
      <c r="G35" s="353">
        <v>720</v>
      </c>
      <c r="H35" s="202">
        <f t="shared" si="25"/>
        <v>18275</v>
      </c>
      <c r="I35" s="489">
        <v>605756.02</v>
      </c>
      <c r="J35" s="191">
        <v>2482.79</v>
      </c>
      <c r="K35" s="200">
        <f t="shared" si="26"/>
        <v>608238.81000000006</v>
      </c>
      <c r="L35" s="36">
        <f t="shared" si="27"/>
        <v>0.82748055621022865</v>
      </c>
      <c r="M35" s="20">
        <f t="shared" si="28"/>
        <v>34.506181714611223</v>
      </c>
      <c r="N35" s="37">
        <f t="shared" si="29"/>
        <v>0.26700482545741516</v>
      </c>
      <c r="O35" s="510">
        <v>2605.292307692308</v>
      </c>
      <c r="P35" s="14">
        <f t="shared" si="30"/>
        <v>98.665320294784578</v>
      </c>
      <c r="Q35" s="15">
        <f t="shared" si="31"/>
        <v>21.678095333555458</v>
      </c>
    </row>
    <row r="36" spans="2:17" ht="15.75" customHeight="1" x14ac:dyDescent="0.2">
      <c r="B36" s="13" t="s">
        <v>44</v>
      </c>
      <c r="C36" s="199">
        <v>15946</v>
      </c>
      <c r="D36" s="391">
        <v>164</v>
      </c>
      <c r="E36" s="200">
        <f t="shared" si="24"/>
        <v>15782</v>
      </c>
      <c r="F36" s="353">
        <v>14120</v>
      </c>
      <c r="G36" s="353">
        <v>80</v>
      </c>
      <c r="H36" s="202">
        <f t="shared" si="25"/>
        <v>14200</v>
      </c>
      <c r="I36" s="489">
        <v>532761.47</v>
      </c>
      <c r="J36" s="191">
        <v>275.87</v>
      </c>
      <c r="K36" s="200">
        <f t="shared" si="26"/>
        <v>533037.34</v>
      </c>
      <c r="L36" s="36">
        <f t="shared" si="27"/>
        <v>0.89469015333924728</v>
      </c>
      <c r="M36" s="20">
        <f t="shared" si="28"/>
        <v>37.730982294617561</v>
      </c>
      <c r="N36" s="37">
        <f t="shared" si="29"/>
        <v>0.29195795771414834</v>
      </c>
      <c r="O36" s="510">
        <v>2357.1692307692306</v>
      </c>
      <c r="P36" s="14">
        <f t="shared" si="30"/>
        <v>81.178728070175453</v>
      </c>
      <c r="Q36" s="15">
        <f t="shared" si="31"/>
        <v>20.997632036403694</v>
      </c>
    </row>
    <row r="37" spans="2:17" ht="15.75" customHeight="1" x14ac:dyDescent="0.2">
      <c r="B37" s="13" t="s">
        <v>41</v>
      </c>
      <c r="C37" s="199">
        <v>21232</v>
      </c>
      <c r="D37" s="391">
        <v>229</v>
      </c>
      <c r="E37" s="200">
        <f t="shared" si="24"/>
        <v>21003</v>
      </c>
      <c r="F37" s="353">
        <v>19800</v>
      </c>
      <c r="G37" s="353">
        <v>180</v>
      </c>
      <c r="H37" s="202">
        <f t="shared" si="25"/>
        <v>19980</v>
      </c>
      <c r="I37" s="489">
        <v>727287.48</v>
      </c>
      <c r="J37" s="191">
        <v>620.69000000000005</v>
      </c>
      <c r="K37" s="200">
        <f t="shared" si="26"/>
        <v>727908.16999999993</v>
      </c>
      <c r="L37" s="36">
        <f t="shared" si="27"/>
        <v>0.94272246821882588</v>
      </c>
      <c r="M37" s="20">
        <f t="shared" si="28"/>
        <v>36.731690909090908</v>
      </c>
      <c r="N37" s="37">
        <f t="shared" si="29"/>
        <v>0.28422555706256708</v>
      </c>
      <c r="O37" s="510">
        <v>3225.5999999999995</v>
      </c>
      <c r="P37" s="14">
        <f t="shared" si="30"/>
        <v>78.988095238095241</v>
      </c>
      <c r="Q37" s="15">
        <f t="shared" si="31"/>
        <v>20.954125211875237</v>
      </c>
    </row>
    <row r="38" spans="2:17" ht="15.75" customHeight="1" x14ac:dyDescent="0.2">
      <c r="B38" s="13" t="s">
        <v>55</v>
      </c>
      <c r="C38" s="199">
        <v>34783</v>
      </c>
      <c r="D38" s="391">
        <v>239</v>
      </c>
      <c r="E38" s="200">
        <f t="shared" si="24"/>
        <v>34544</v>
      </c>
      <c r="F38" s="191">
        <v>31210</v>
      </c>
      <c r="G38" s="353">
        <v>280</v>
      </c>
      <c r="H38" s="202">
        <f t="shared" si="25"/>
        <v>31490</v>
      </c>
      <c r="I38" s="488">
        <v>1134868.08</v>
      </c>
      <c r="J38" s="191">
        <v>965.53</v>
      </c>
      <c r="K38" s="200">
        <f t="shared" si="26"/>
        <v>1135833.6100000001</v>
      </c>
      <c r="L38" s="36">
        <f t="shared" si="27"/>
        <v>0.90348540991199633</v>
      </c>
      <c r="M38" s="20">
        <f t="shared" si="28"/>
        <v>36.362322332585713</v>
      </c>
      <c r="N38" s="37">
        <f t="shared" si="29"/>
        <v>0.28136742592783581</v>
      </c>
      <c r="O38" s="510">
        <v>5086.5230769230766</v>
      </c>
      <c r="P38" s="14">
        <f t="shared" si="30"/>
        <v>82.059197154471548</v>
      </c>
      <c r="Q38" s="15">
        <f t="shared" si="31"/>
        <v>20.734670947361963</v>
      </c>
    </row>
    <row r="39" spans="2:17" ht="15.75" customHeight="1" x14ac:dyDescent="0.2">
      <c r="B39" s="13" t="s">
        <v>51</v>
      </c>
      <c r="C39" s="199">
        <v>58731</v>
      </c>
      <c r="D39" s="391">
        <v>293</v>
      </c>
      <c r="E39" s="200">
        <f t="shared" si="24"/>
        <v>58438</v>
      </c>
      <c r="F39" s="353">
        <v>53050</v>
      </c>
      <c r="G39" s="353">
        <v>2260</v>
      </c>
      <c r="H39" s="202">
        <f t="shared" si="25"/>
        <v>55310</v>
      </c>
      <c r="I39" s="489">
        <v>1823312.06</v>
      </c>
      <c r="J39" s="191">
        <v>8155.2</v>
      </c>
      <c r="K39" s="200">
        <f t="shared" si="26"/>
        <v>1831467.26</v>
      </c>
      <c r="L39" s="36">
        <f t="shared" si="27"/>
        <v>0.90779971936068993</v>
      </c>
      <c r="M39" s="20">
        <f t="shared" si="28"/>
        <v>34.369690103675779</v>
      </c>
      <c r="N39" s="37">
        <f t="shared" si="29"/>
        <v>0.26594866922849258</v>
      </c>
      <c r="O39" s="510">
        <v>8436.1846153846163</v>
      </c>
      <c r="P39" s="14">
        <f t="shared" si="30"/>
        <v>83.541557247899149</v>
      </c>
      <c r="Q39" s="15">
        <f t="shared" si="31"/>
        <v>20.158422138257077</v>
      </c>
    </row>
    <row r="40" spans="2:17" ht="15.75" customHeight="1" x14ac:dyDescent="0.2">
      <c r="B40" s="13" t="s">
        <v>65</v>
      </c>
      <c r="C40" s="199">
        <v>17417</v>
      </c>
      <c r="D40" s="391">
        <v>195</v>
      </c>
      <c r="E40" s="200">
        <f t="shared" si="24"/>
        <v>17222</v>
      </c>
      <c r="F40" s="353">
        <v>16480</v>
      </c>
      <c r="G40" s="353">
        <v>380</v>
      </c>
      <c r="H40" s="202">
        <f t="shared" si="25"/>
        <v>16860</v>
      </c>
      <c r="I40" s="489">
        <v>569298.17999999993</v>
      </c>
      <c r="J40" s="191">
        <v>1310.3399999999999</v>
      </c>
      <c r="K40" s="200">
        <f t="shared" si="26"/>
        <v>570608.5199999999</v>
      </c>
      <c r="L40" s="36">
        <f t="shared" si="27"/>
        <v>0.95691557310416908</v>
      </c>
      <c r="M40" s="20">
        <f t="shared" si="28"/>
        <v>34.544792475728151</v>
      </c>
      <c r="N40" s="37">
        <f t="shared" si="29"/>
        <v>0.26730359104145074</v>
      </c>
      <c r="O40" s="510">
        <v>2741.1692307692306</v>
      </c>
      <c r="P40" s="14">
        <f t="shared" si="30"/>
        <v>76.246295797413794</v>
      </c>
      <c r="Q40" s="15">
        <f t="shared" si="31"/>
        <v>19.328842843399343</v>
      </c>
    </row>
    <row r="41" spans="2:17" ht="15.75" customHeight="1" x14ac:dyDescent="0.2">
      <c r="B41" s="13" t="s">
        <v>56</v>
      </c>
      <c r="C41" s="199">
        <v>14362</v>
      </c>
      <c r="D41" s="391">
        <v>240</v>
      </c>
      <c r="E41" s="200">
        <f t="shared" si="24"/>
        <v>14122</v>
      </c>
      <c r="F41" s="353">
        <v>13210</v>
      </c>
      <c r="G41" s="353">
        <v>40</v>
      </c>
      <c r="H41" s="202">
        <f t="shared" si="25"/>
        <v>13250</v>
      </c>
      <c r="I41" s="489">
        <v>467422.13</v>
      </c>
      <c r="J41" s="191">
        <v>137.94</v>
      </c>
      <c r="K41" s="200">
        <f t="shared" si="26"/>
        <v>467560.07</v>
      </c>
      <c r="L41" s="36">
        <f t="shared" si="27"/>
        <v>0.93541991219374021</v>
      </c>
      <c r="M41" s="20">
        <f t="shared" si="28"/>
        <v>35.383961392884181</v>
      </c>
      <c r="N41" s="37">
        <f t="shared" si="29"/>
        <v>0.27379698263451874</v>
      </c>
      <c r="O41" s="510">
        <v>2481.2307692307691</v>
      </c>
      <c r="P41" s="14">
        <f t="shared" si="30"/>
        <v>69.45907738095238</v>
      </c>
      <c r="Q41" s="15">
        <f t="shared" si="31"/>
        <v>17.497407572866088</v>
      </c>
    </row>
    <row r="42" spans="2:17" ht="15.75" customHeight="1" x14ac:dyDescent="0.2">
      <c r="B42" s="13" t="s">
        <v>54</v>
      </c>
      <c r="C42" s="199">
        <v>28721</v>
      </c>
      <c r="D42" s="391">
        <v>248</v>
      </c>
      <c r="E42" s="200">
        <f t="shared" si="24"/>
        <v>28473</v>
      </c>
      <c r="F42" s="353">
        <v>23665</v>
      </c>
      <c r="G42" s="353">
        <v>820</v>
      </c>
      <c r="H42" s="202">
        <f t="shared" si="25"/>
        <v>24485</v>
      </c>
      <c r="I42" s="489">
        <v>862802.17</v>
      </c>
      <c r="J42" s="191">
        <v>2827.59</v>
      </c>
      <c r="K42" s="200">
        <f t="shared" si="26"/>
        <v>865629.76</v>
      </c>
      <c r="L42" s="36">
        <f t="shared" si="27"/>
        <v>0.8311382713447828</v>
      </c>
      <c r="M42" s="20">
        <f t="shared" si="28"/>
        <v>36.458997253327702</v>
      </c>
      <c r="N42" s="37">
        <f t="shared" si="29"/>
        <v>0.28211548523362379</v>
      </c>
      <c r="O42" s="510">
        <v>4652.3076923076915</v>
      </c>
      <c r="P42" s="14">
        <f t="shared" si="30"/>
        <v>74.08194444444446</v>
      </c>
      <c r="Q42" s="15">
        <f t="shared" si="31"/>
        <v>17.276954915244449</v>
      </c>
    </row>
    <row r="43" spans="2:17" ht="15.75" customHeight="1" x14ac:dyDescent="0.2">
      <c r="B43" s="13" t="s">
        <v>42</v>
      </c>
      <c r="C43" s="199">
        <v>16112</v>
      </c>
      <c r="D43" s="391">
        <v>186</v>
      </c>
      <c r="E43" s="200">
        <f t="shared" si="24"/>
        <v>15926</v>
      </c>
      <c r="F43" s="353">
        <v>11610</v>
      </c>
      <c r="G43" s="353">
        <v>160</v>
      </c>
      <c r="H43" s="202">
        <f t="shared" si="25"/>
        <v>11770</v>
      </c>
      <c r="I43" s="489">
        <v>434130.03</v>
      </c>
      <c r="J43" s="191">
        <v>551.73</v>
      </c>
      <c r="K43" s="200">
        <f t="shared" si="26"/>
        <v>434681.76</v>
      </c>
      <c r="L43" s="36">
        <f t="shared" si="27"/>
        <v>0.72899660931809618</v>
      </c>
      <c r="M43" s="20">
        <f t="shared" si="28"/>
        <v>37.392767441860471</v>
      </c>
      <c r="N43" s="37">
        <f t="shared" si="29"/>
        <v>0.28934089047459127</v>
      </c>
      <c r="O43" s="510">
        <v>2357.1692307692306</v>
      </c>
      <c r="P43" s="14">
        <f t="shared" si="30"/>
        <v>82.023809523809518</v>
      </c>
      <c r="Q43" s="15">
        <f t="shared" si="31"/>
        <v>17.123167486571095</v>
      </c>
    </row>
    <row r="44" spans="2:17" ht="15.75" customHeight="1" x14ac:dyDescent="0.2">
      <c r="B44" s="13" t="s">
        <v>48</v>
      </c>
      <c r="C44" s="199">
        <v>8964</v>
      </c>
      <c r="D44" s="391">
        <v>181</v>
      </c>
      <c r="E44" s="200">
        <f t="shared" si="24"/>
        <v>8783</v>
      </c>
      <c r="F44" s="353">
        <v>8520</v>
      </c>
      <c r="G44" s="353">
        <v>60</v>
      </c>
      <c r="H44" s="202">
        <f t="shared" si="25"/>
        <v>8580</v>
      </c>
      <c r="I44" s="489">
        <v>310481.91000000003</v>
      </c>
      <c r="J44" s="191">
        <v>206.91</v>
      </c>
      <c r="K44" s="200">
        <f t="shared" si="26"/>
        <v>310688.82</v>
      </c>
      <c r="L44" s="36">
        <f t="shared" si="27"/>
        <v>0.970055789593533</v>
      </c>
      <c r="M44" s="20">
        <f t="shared" si="28"/>
        <v>36.44153873239437</v>
      </c>
      <c r="N44" s="37">
        <f t="shared" si="29"/>
        <v>0.28198039322683199</v>
      </c>
      <c r="O44" s="510">
        <v>1736.8615384615382</v>
      </c>
      <c r="P44" s="14">
        <f t="shared" si="30"/>
        <v>61.932397959183682</v>
      </c>
      <c r="Q44" s="15">
        <f t="shared" si="31"/>
        <v>16.609779945717012</v>
      </c>
    </row>
    <row r="45" spans="2:17" ht="15.75" customHeight="1" x14ac:dyDescent="0.2">
      <c r="B45" s="13" t="s">
        <v>63</v>
      </c>
      <c r="C45" s="199">
        <v>17409</v>
      </c>
      <c r="D45" s="391">
        <v>145</v>
      </c>
      <c r="E45" s="200">
        <f t="shared" si="24"/>
        <v>17264</v>
      </c>
      <c r="F45" s="353">
        <v>11400</v>
      </c>
      <c r="G45" s="353">
        <v>1460</v>
      </c>
      <c r="H45" s="202">
        <f t="shared" si="25"/>
        <v>12860</v>
      </c>
      <c r="I45" s="489">
        <v>427341.5</v>
      </c>
      <c r="J45" s="191">
        <v>5034.49</v>
      </c>
      <c r="K45" s="200">
        <f t="shared" si="26"/>
        <v>432375.99</v>
      </c>
      <c r="L45" s="36">
        <f t="shared" si="27"/>
        <v>0.66033364226135316</v>
      </c>
      <c r="M45" s="20">
        <f t="shared" si="28"/>
        <v>37.486096491228068</v>
      </c>
      <c r="N45" s="37">
        <f t="shared" si="29"/>
        <v>0.29006305981638059</v>
      </c>
      <c r="O45" s="510">
        <v>2481.2307692307691</v>
      </c>
      <c r="P45" s="14">
        <f t="shared" si="30"/>
        <v>84.1953125</v>
      </c>
      <c r="Q45" s="15">
        <f t="shared" si="31"/>
        <v>16.180720739800282</v>
      </c>
    </row>
    <row r="46" spans="2:17" ht="15.75" customHeight="1" x14ac:dyDescent="0.2">
      <c r="B46" s="13" t="s">
        <v>40</v>
      </c>
      <c r="C46" s="199">
        <v>12849</v>
      </c>
      <c r="D46" s="391">
        <v>196</v>
      </c>
      <c r="E46" s="200">
        <f t="shared" si="24"/>
        <v>12653</v>
      </c>
      <c r="F46" s="353">
        <v>11640</v>
      </c>
      <c r="G46" s="353">
        <v>140</v>
      </c>
      <c r="H46" s="202">
        <f t="shared" si="25"/>
        <v>11780</v>
      </c>
      <c r="I46" s="489">
        <v>430548.91000000003</v>
      </c>
      <c r="J46" s="354">
        <v>482.77</v>
      </c>
      <c r="K46" s="200">
        <f t="shared" si="26"/>
        <v>431031.68000000005</v>
      </c>
      <c r="L46" s="36">
        <f t="shared" si="27"/>
        <v>0.9199399351932348</v>
      </c>
      <c r="M46" s="20">
        <f t="shared" si="28"/>
        <v>36.988737972508595</v>
      </c>
      <c r="N46" s="37">
        <f t="shared" si="29"/>
        <v>0.28621455737763579</v>
      </c>
      <c r="O46" s="510">
        <v>2481.2307692307691</v>
      </c>
      <c r="P46" s="14">
        <f t="shared" si="30"/>
        <v>62.141741071428584</v>
      </c>
      <c r="Q46" s="15">
        <f t="shared" si="31"/>
        <v>16.130412893849538</v>
      </c>
    </row>
    <row r="47" spans="2:17" ht="15.75" customHeight="1" x14ac:dyDescent="0.2">
      <c r="B47" s="13" t="s">
        <v>64</v>
      </c>
      <c r="C47" s="199">
        <v>15895</v>
      </c>
      <c r="D47" s="391">
        <v>292</v>
      </c>
      <c r="E47" s="200">
        <f t="shared" si="24"/>
        <v>15603</v>
      </c>
      <c r="F47" s="353">
        <v>11420</v>
      </c>
      <c r="G47" s="353">
        <v>1280</v>
      </c>
      <c r="H47" s="202">
        <f t="shared" si="25"/>
        <v>12700</v>
      </c>
      <c r="I47" s="489">
        <v>390377.48000000004</v>
      </c>
      <c r="J47" s="191">
        <v>4413.8100000000004</v>
      </c>
      <c r="K47" s="200">
        <f t="shared" si="26"/>
        <v>394791.29000000004</v>
      </c>
      <c r="L47" s="36">
        <f t="shared" si="27"/>
        <v>0.73191053002627704</v>
      </c>
      <c r="M47" s="20">
        <f t="shared" si="28"/>
        <v>34.183667250437828</v>
      </c>
      <c r="N47" s="37">
        <f t="shared" si="29"/>
        <v>0.26450924600077402</v>
      </c>
      <c r="O47" s="510">
        <v>2504</v>
      </c>
      <c r="P47" s="14">
        <f t="shared" si="30"/>
        <v>76.17412140575081</v>
      </c>
      <c r="Q47" s="15">
        <f t="shared" si="31"/>
        <v>14.63985210070901</v>
      </c>
    </row>
    <row r="48" spans="2:17" ht="15.75" customHeight="1" x14ac:dyDescent="0.2">
      <c r="B48" s="13" t="s">
        <v>38</v>
      </c>
      <c r="C48" s="199">
        <v>14482</v>
      </c>
      <c r="D48" s="391">
        <v>237</v>
      </c>
      <c r="E48" s="200">
        <f t="shared" si="24"/>
        <v>14245</v>
      </c>
      <c r="F48" s="353">
        <v>12980</v>
      </c>
      <c r="G48" s="353">
        <v>380</v>
      </c>
      <c r="H48" s="202">
        <f t="shared" si="25"/>
        <v>13360</v>
      </c>
      <c r="I48" s="489">
        <v>475438.12</v>
      </c>
      <c r="J48" s="191">
        <v>1310.3699999999999</v>
      </c>
      <c r="K48" s="200">
        <f t="shared" si="26"/>
        <v>476748.49</v>
      </c>
      <c r="L48" s="36">
        <f t="shared" si="27"/>
        <v>0.91119691119691115</v>
      </c>
      <c r="M48" s="20">
        <f t="shared" si="28"/>
        <v>36.628514637904466</v>
      </c>
      <c r="N48" s="37">
        <f t="shared" si="29"/>
        <v>0.28342719106231451</v>
      </c>
      <c r="O48" s="510">
        <v>3287.6307692307691</v>
      </c>
      <c r="P48" s="14">
        <f t="shared" si="30"/>
        <v>52.859950584007194</v>
      </c>
      <c r="Q48" s="15">
        <f t="shared" si="31"/>
        <v>13.46510489686319</v>
      </c>
    </row>
    <row r="49" spans="1:17" ht="15.75" customHeight="1" x14ac:dyDescent="0.2">
      <c r="B49" s="13" t="s">
        <v>47</v>
      </c>
      <c r="C49" s="199">
        <v>34144</v>
      </c>
      <c r="D49" s="391">
        <v>310</v>
      </c>
      <c r="E49" s="200">
        <f t="shared" si="24"/>
        <v>33834</v>
      </c>
      <c r="F49" s="353">
        <v>20150</v>
      </c>
      <c r="G49" s="353">
        <v>3740</v>
      </c>
      <c r="H49" s="202">
        <f t="shared" si="25"/>
        <v>23890</v>
      </c>
      <c r="I49" s="489">
        <v>701422.05</v>
      </c>
      <c r="J49" s="191">
        <v>12896.54</v>
      </c>
      <c r="K49" s="200">
        <f t="shared" si="26"/>
        <v>714318.59000000008</v>
      </c>
      <c r="L49" s="36">
        <f t="shared" si="27"/>
        <v>0.59555476739374591</v>
      </c>
      <c r="M49" s="20">
        <f t="shared" si="28"/>
        <v>34.810027295285359</v>
      </c>
      <c r="N49" s="37">
        <f t="shared" si="29"/>
        <v>0.26935594726233952</v>
      </c>
      <c r="O49" s="510">
        <v>4962.461538461539</v>
      </c>
      <c r="P49" s="14">
        <f t="shared" si="30"/>
        <v>82.56547619047619</v>
      </c>
      <c r="Q49" s="15">
        <f>(K49*12/O49)/129.2343</f>
        <v>13.365901312001501</v>
      </c>
    </row>
    <row r="50" spans="1:17" ht="15.75" customHeight="1" x14ac:dyDescent="0.2">
      <c r="B50" s="13" t="s">
        <v>66</v>
      </c>
      <c r="C50" s="199">
        <v>11054</v>
      </c>
      <c r="D50" s="391">
        <v>146</v>
      </c>
      <c r="E50" s="200">
        <f t="shared" si="24"/>
        <v>10908</v>
      </c>
      <c r="F50" s="353">
        <v>8710</v>
      </c>
      <c r="G50" s="353">
        <v>560</v>
      </c>
      <c r="H50" s="202">
        <f t="shared" si="25"/>
        <v>9270</v>
      </c>
      <c r="I50" s="489">
        <v>302640.32</v>
      </c>
      <c r="J50" s="191">
        <v>1931.04</v>
      </c>
      <c r="K50" s="200">
        <f t="shared" si="26"/>
        <v>304571.36</v>
      </c>
      <c r="L50" s="36">
        <f t="shared" si="27"/>
        <v>0.79849651631829854</v>
      </c>
      <c r="M50" s="20">
        <f t="shared" si="28"/>
        <v>34.746305396096439</v>
      </c>
      <c r="N50" s="37">
        <f t="shared" si="29"/>
        <v>0.26886287460911262</v>
      </c>
      <c r="O50" s="510">
        <v>2605.292307692308</v>
      </c>
      <c r="P50" s="14">
        <f t="shared" si="30"/>
        <v>50.91482426303854</v>
      </c>
      <c r="Q50" s="15">
        <f t="shared" si="31"/>
        <v>10.85515568786319</v>
      </c>
    </row>
    <row r="51" spans="1:17" ht="15.75" customHeight="1" x14ac:dyDescent="0.2">
      <c r="B51" s="13" t="s">
        <v>57</v>
      </c>
      <c r="C51" s="199">
        <v>11668</v>
      </c>
      <c r="D51" s="391">
        <v>248</v>
      </c>
      <c r="E51" s="200">
        <f t="shared" si="24"/>
        <v>11420</v>
      </c>
      <c r="F51" s="353">
        <v>6030</v>
      </c>
      <c r="G51" s="353">
        <v>900</v>
      </c>
      <c r="H51" s="202">
        <f t="shared" si="25"/>
        <v>6930</v>
      </c>
      <c r="I51" s="489">
        <v>227989.41999999998</v>
      </c>
      <c r="J51" s="191">
        <v>3103.45</v>
      </c>
      <c r="K51" s="200">
        <f t="shared" si="26"/>
        <v>231092.87</v>
      </c>
      <c r="L51" s="36">
        <f t="shared" si="27"/>
        <v>0.52802101576182137</v>
      </c>
      <c r="M51" s="20">
        <f t="shared" si="28"/>
        <v>37.80919071310116</v>
      </c>
      <c r="N51" s="37">
        <f t="shared" si="29"/>
        <v>0.29256312537075035</v>
      </c>
      <c r="O51" s="510">
        <v>2481.2307692307691</v>
      </c>
      <c r="P51" s="14">
        <f t="shared" si="30"/>
        <v>56.430059523809526</v>
      </c>
      <c r="Q51" s="15">
        <f t="shared" si="31"/>
        <v>8.6481425447073761</v>
      </c>
    </row>
    <row r="52" spans="1:17" ht="15.75" customHeight="1" x14ac:dyDescent="0.2">
      <c r="B52" s="13" t="s">
        <v>61</v>
      </c>
      <c r="C52" s="199">
        <v>17280</v>
      </c>
      <c r="D52" s="391">
        <v>212</v>
      </c>
      <c r="E52" s="200">
        <f t="shared" si="24"/>
        <v>17068</v>
      </c>
      <c r="F52" s="353">
        <v>4200</v>
      </c>
      <c r="G52" s="353">
        <v>160</v>
      </c>
      <c r="H52" s="202">
        <f t="shared" si="25"/>
        <v>4360</v>
      </c>
      <c r="I52" s="489">
        <v>180059.23</v>
      </c>
      <c r="J52" s="354">
        <v>551.73</v>
      </c>
      <c r="K52" s="200">
        <f t="shared" si="26"/>
        <v>180610.96000000002</v>
      </c>
      <c r="L52" s="36">
        <f t="shared" si="27"/>
        <v>0.24607452542770097</v>
      </c>
      <c r="M52" s="20">
        <f t="shared" si="28"/>
        <v>42.871245238095241</v>
      </c>
      <c r="N52" s="37">
        <f t="shared" si="29"/>
        <v>0.33173271521643438</v>
      </c>
      <c r="O52" s="510">
        <v>2481.2307692307695</v>
      </c>
      <c r="P52" s="14">
        <f t="shared" si="30"/>
        <v>83.571428571428555</v>
      </c>
      <c r="Q52" s="15">
        <f t="shared" si="31"/>
        <v>6.7589680599684527</v>
      </c>
    </row>
    <row r="53" spans="1:17" ht="15.75" customHeight="1" thickBot="1" x14ac:dyDescent="0.25">
      <c r="B53" s="490" t="s">
        <v>35</v>
      </c>
      <c r="C53" s="491">
        <f>SUM(C24:C52)</f>
        <v>739032</v>
      </c>
      <c r="D53" s="491">
        <f t="shared" ref="D53:K53" si="32">SUM(D24:D52)</f>
        <v>6606</v>
      </c>
      <c r="E53" s="491">
        <f t="shared" si="32"/>
        <v>732426</v>
      </c>
      <c r="F53" s="491">
        <f t="shared" si="32"/>
        <v>677170</v>
      </c>
      <c r="G53" s="491">
        <f t="shared" si="32"/>
        <v>22420</v>
      </c>
      <c r="H53" s="491">
        <f t="shared" si="32"/>
        <v>699590</v>
      </c>
      <c r="I53" s="491">
        <f t="shared" si="32"/>
        <v>24301508.090000007</v>
      </c>
      <c r="J53" s="491">
        <f t="shared" si="32"/>
        <v>77896.83</v>
      </c>
      <c r="K53" s="491">
        <f t="shared" si="32"/>
        <v>24379404.920000002</v>
      </c>
      <c r="L53" s="484">
        <f t="shared" ref="L53" si="33">F53/E53</f>
        <v>0.92455756622512031</v>
      </c>
      <c r="M53" s="483">
        <f t="shared" ref="M53" si="34">I53/F53</f>
        <v>35.886864583487167</v>
      </c>
      <c r="N53" s="492">
        <f>M53/129.2343</f>
        <v>0.2776883891001628</v>
      </c>
      <c r="O53" s="483">
        <f>SUM(O24:O52)</f>
        <v>106936.58461538459</v>
      </c>
      <c r="P53" s="493">
        <f>(C53/O53)*12</f>
        <v>82.931244081682934</v>
      </c>
      <c r="Q53" s="494">
        <f>(K53*12/O53)/129.2343</f>
        <v>21.16899511012787</v>
      </c>
    </row>
    <row r="54" spans="1:17" ht="17.25" customHeight="1" thickTop="1" thickBot="1" x14ac:dyDescent="0.25">
      <c r="B54" s="26" t="s">
        <v>36</v>
      </c>
      <c r="C54" s="42"/>
      <c r="D54" s="28">
        <f>D53/C53</f>
        <v>8.9387198389244311E-3</v>
      </c>
      <c r="E54" s="28">
        <f>E53/C53</f>
        <v>0.99106128016107553</v>
      </c>
      <c r="F54" s="30"/>
      <c r="G54" s="30"/>
      <c r="H54" s="30"/>
      <c r="I54" s="30"/>
      <c r="J54" s="30"/>
      <c r="K54" s="30"/>
      <c r="L54" s="32"/>
      <c r="M54" s="30"/>
      <c r="N54" s="43"/>
      <c r="O54" s="30"/>
      <c r="P54" s="34"/>
      <c r="Q54" s="34"/>
    </row>
    <row r="55" spans="1:17" ht="18.75" customHeight="1" thickTop="1" x14ac:dyDescent="0.2">
      <c r="M55" s="45"/>
      <c r="N55" s="46"/>
      <c r="O55" s="512"/>
    </row>
    <row r="56" spans="1:17" s="48" customFormat="1" ht="15" customHeight="1" thickBot="1" x14ac:dyDescent="0.25">
      <c r="B56" s="49" t="s">
        <v>68</v>
      </c>
      <c r="C56" s="50">
        <f t="shared" ref="C56:K56" si="35">C21+C53</f>
        <v>1891594</v>
      </c>
      <c r="D56" s="51">
        <f t="shared" si="35"/>
        <v>11862</v>
      </c>
      <c r="E56" s="51">
        <f t="shared" si="35"/>
        <v>1879732</v>
      </c>
      <c r="F56" s="52">
        <f t="shared" si="35"/>
        <v>1541705</v>
      </c>
      <c r="G56" s="52">
        <f t="shared" si="35"/>
        <v>140800</v>
      </c>
      <c r="H56" s="52">
        <f t="shared" si="35"/>
        <v>1682505</v>
      </c>
      <c r="I56" s="52">
        <f t="shared" si="35"/>
        <v>37390185.300000012</v>
      </c>
      <c r="J56" s="52">
        <f t="shared" si="35"/>
        <v>445112.18000000005</v>
      </c>
      <c r="K56" s="52">
        <f t="shared" si="35"/>
        <v>37835297.480000004</v>
      </c>
      <c r="L56" s="471">
        <f>F56/(E56)</f>
        <v>0.82017276930966754</v>
      </c>
      <c r="M56" s="53">
        <f>I56/F56</f>
        <v>24.252490132677789</v>
      </c>
      <c r="N56" s="212">
        <f>M56/129.2343</f>
        <v>0.18766295118770937</v>
      </c>
      <c r="O56" s="513">
        <f>O53+O21</f>
        <v>196769.14308791206</v>
      </c>
      <c r="P56" s="477">
        <f>(C56/O56)*12</f>
        <v>115.35918510281125</v>
      </c>
      <c r="Q56" s="473">
        <f>(K56*12/O56)/129.2343</f>
        <v>17.85433215223215</v>
      </c>
    </row>
    <row r="57" spans="1:17" ht="16.5" customHeight="1" thickTop="1" thickBot="1" x14ac:dyDescent="0.25">
      <c r="B57" s="26" t="s">
        <v>36</v>
      </c>
      <c r="C57" s="54"/>
      <c r="D57" s="55">
        <f>D56/C56</f>
        <v>6.2709016839765826E-3</v>
      </c>
      <c r="E57" s="55">
        <f>E56/C56</f>
        <v>0.99372909831602341</v>
      </c>
      <c r="G57" s="56"/>
      <c r="N57" s="46"/>
    </row>
    <row r="58" spans="1:17" ht="16.5" customHeight="1" thickTop="1" x14ac:dyDescent="0.2">
      <c r="G58" s="57"/>
      <c r="H58" s="45"/>
      <c r="O58" s="514"/>
    </row>
    <row r="59" spans="1:17" s="16" customFormat="1" ht="15" customHeight="1" x14ac:dyDescent="0.25">
      <c r="B59" s="48" t="s">
        <v>69</v>
      </c>
      <c r="C59" s="47"/>
      <c r="F59" s="47"/>
      <c r="G59" s="58"/>
      <c r="I59" s="59"/>
      <c r="J59" s="59"/>
      <c r="K59" s="59"/>
      <c r="L59" s="38"/>
      <c r="M59" s="60"/>
      <c r="N59"/>
      <c r="O59" s="129"/>
      <c r="P59"/>
      <c r="Q59" s="61"/>
    </row>
    <row r="60" spans="1:17" ht="16.5" customHeight="1" x14ac:dyDescent="0.25">
      <c r="A60" s="16">
        <v>1</v>
      </c>
      <c r="B60" s="16" t="s">
        <v>70</v>
      </c>
      <c r="E60" s="16"/>
      <c r="N60"/>
      <c r="O60"/>
      <c r="P60"/>
      <c r="Q60" s="62"/>
    </row>
    <row r="61" spans="1:17" ht="16.5" customHeight="1" x14ac:dyDescent="0.25">
      <c r="A61" s="16">
        <v>2</v>
      </c>
      <c r="B61" s="16" t="s">
        <v>144</v>
      </c>
      <c r="C61" s="47"/>
      <c r="E61" s="16"/>
      <c r="N61"/>
      <c r="O61"/>
      <c r="P61"/>
    </row>
    <row r="62" spans="1:17" ht="16.5" customHeight="1" x14ac:dyDescent="0.2">
      <c r="A62" s="16">
        <v>3</v>
      </c>
      <c r="B62" s="16" t="s">
        <v>146</v>
      </c>
      <c r="C62" s="47"/>
      <c r="E62" s="16"/>
    </row>
    <row r="63" spans="1:17" ht="16.5" customHeight="1" x14ac:dyDescent="0.2">
      <c r="A63" s="16">
        <v>4</v>
      </c>
      <c r="B63" s="16" t="s">
        <v>147</v>
      </c>
      <c r="C63" s="47"/>
      <c r="E63" s="16"/>
    </row>
    <row r="64" spans="1:17" ht="16.5" customHeight="1" x14ac:dyDescent="0.2">
      <c r="A64" s="16">
        <v>5</v>
      </c>
      <c r="B64" s="16" t="s">
        <v>148</v>
      </c>
      <c r="C64" s="47"/>
      <c r="E64" s="16"/>
    </row>
    <row r="65" spans="1:5" ht="16.5" customHeight="1" x14ac:dyDescent="0.2">
      <c r="A65" s="16">
        <v>6</v>
      </c>
      <c r="B65" s="16" t="s">
        <v>149</v>
      </c>
      <c r="C65" s="47"/>
      <c r="E65" s="16"/>
    </row>
    <row r="66" spans="1:5" ht="16.5" customHeight="1" x14ac:dyDescent="0.2">
      <c r="A66" s="1">
        <v>7</v>
      </c>
      <c r="B66" s="16" t="s">
        <v>150</v>
      </c>
    </row>
    <row r="67" spans="1:5" ht="16.5" customHeight="1" x14ac:dyDescent="0.2"/>
    <row r="68" spans="1:5" ht="16.5" customHeight="1" x14ac:dyDescent="0.2">
      <c r="B68" s="216" t="s">
        <v>108</v>
      </c>
      <c r="C68" s="217" t="s">
        <v>93</v>
      </c>
    </row>
    <row r="69" spans="1:5" ht="16.5" customHeight="1" x14ac:dyDescent="0.2">
      <c r="B69" s="10" t="s">
        <v>103</v>
      </c>
      <c r="C69" s="14">
        <f>O21</f>
        <v>89832.558472527453</v>
      </c>
    </row>
    <row r="70" spans="1:5" ht="16.5" customHeight="1" x14ac:dyDescent="0.2">
      <c r="B70" s="10" t="s">
        <v>106</v>
      </c>
      <c r="C70" s="14">
        <f>O53</f>
        <v>106936.58461538459</v>
      </c>
    </row>
    <row r="71" spans="1:5" ht="16.5" customHeight="1" x14ac:dyDescent="0.2">
      <c r="B71" s="188" t="s">
        <v>67</v>
      </c>
      <c r="C71" s="213">
        <v>1479.876923076923</v>
      </c>
    </row>
    <row r="72" spans="1:5" ht="16.5" customHeight="1" thickBot="1" x14ac:dyDescent="0.25">
      <c r="B72" s="189" t="s">
        <v>101</v>
      </c>
      <c r="C72" s="215">
        <f>SUM(C69:C71)</f>
        <v>198249.02001098898</v>
      </c>
    </row>
    <row r="73" spans="1:5" ht="16.5" customHeight="1" thickTop="1" x14ac:dyDescent="0.2"/>
    <row r="74" spans="1:5" ht="16.5" customHeight="1" x14ac:dyDescent="0.2"/>
    <row r="75" spans="1:5" ht="16.5" customHeight="1" x14ac:dyDescent="0.2"/>
    <row r="76" spans="1:5" ht="16.5" customHeight="1" x14ac:dyDescent="0.2"/>
    <row r="77" spans="1:5" ht="16.5" customHeight="1" x14ac:dyDescent="0.2"/>
    <row r="78" spans="1:5" ht="16.5" customHeight="1" x14ac:dyDescent="0.2"/>
    <row r="79" spans="1:5" ht="16.5" customHeight="1" x14ac:dyDescent="0.2"/>
    <row r="80" spans="1:5" ht="16.5" customHeight="1" x14ac:dyDescent="0.2"/>
    <row r="81" ht="16.5" customHeight="1" x14ac:dyDescent="0.2"/>
    <row r="82" ht="16.5" customHeight="1" x14ac:dyDescent="0.2"/>
    <row r="83" ht="16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</sheetData>
  <mergeCells count="5">
    <mergeCell ref="B1:Q1"/>
    <mergeCell ref="B2:Q2"/>
    <mergeCell ref="B3:Q3"/>
    <mergeCell ref="B5:Q5"/>
    <mergeCell ref="B23:Q23"/>
  </mergeCells>
  <conditionalFormatting sqref="P6:P20">
    <cfRule type="cellIs" dxfId="40" priority="2" operator="between">
      <formula>0</formula>
      <formula>140</formula>
    </cfRule>
  </conditionalFormatting>
  <conditionalFormatting sqref="P24:P52">
    <cfRule type="cellIs" dxfId="39" priority="1" operator="between">
      <formula>0</formula>
      <formula>79</formula>
    </cfRule>
  </conditionalFormatting>
  <conditionalFormatting sqref="P53">
    <cfRule type="cellIs" dxfId="38" priority="7" operator="between">
      <formula>0</formula>
      <formula>79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S108"/>
  <sheetViews>
    <sheetView topLeftCell="A37" workbookViewId="0">
      <selection activeCell="Q56" sqref="Q56"/>
    </sheetView>
  </sheetViews>
  <sheetFormatPr defaultColWidth="9.140625" defaultRowHeight="12" x14ac:dyDescent="0.2"/>
  <cols>
    <col min="1" max="1" width="2" style="1" customWidth="1"/>
    <col min="2" max="2" width="31.42578125" style="1" customWidth="1"/>
    <col min="3" max="3" width="10.5703125" style="44" customWidth="1"/>
    <col min="4" max="4" width="8.7109375" style="1" customWidth="1"/>
    <col min="5" max="5" width="10.140625" style="1" customWidth="1"/>
    <col min="6" max="6" width="10" style="44" customWidth="1"/>
    <col min="7" max="7" width="9.28515625" style="1" customWidth="1"/>
    <col min="8" max="8" width="9.85546875" style="1" customWidth="1"/>
    <col min="9" max="9" width="11.7109375" style="45" customWidth="1"/>
    <col min="10" max="10" width="10" style="45" customWidth="1"/>
    <col min="11" max="11" width="11.140625" style="45" customWidth="1"/>
    <col min="12" max="12" width="7.7109375" style="1" customWidth="1"/>
    <col min="13" max="13" width="8.85546875" style="1" customWidth="1"/>
    <col min="14" max="14" width="9.7109375" style="1" customWidth="1"/>
    <col min="15" max="15" width="9.5703125" style="1" customWidth="1"/>
    <col min="16" max="16" width="9.7109375" style="47" customWidth="1"/>
    <col min="17" max="17" width="9.85546875" style="16" customWidth="1"/>
    <col min="18" max="16384" width="9.140625" style="1"/>
  </cols>
  <sheetData>
    <row r="1" spans="2:18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8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8" ht="15" x14ac:dyDescent="0.25">
      <c r="B3" s="622">
        <v>45838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8" ht="35.2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7" t="s">
        <v>15</v>
      </c>
      <c r="P4" s="8" t="s">
        <v>16</v>
      </c>
      <c r="Q4" s="9" t="s">
        <v>17</v>
      </c>
    </row>
    <row r="5" spans="2:18" ht="16.5" customHeight="1" thickBot="1" x14ac:dyDescent="0.3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8" s="16" customFormat="1" ht="15.75" customHeight="1" x14ac:dyDescent="0.2">
      <c r="B6" s="240" t="s">
        <v>27</v>
      </c>
      <c r="C6" s="229">
        <f>'June 2025 - Prodn &amp; Sales'!C8</f>
        <v>136446</v>
      </c>
      <c r="D6" s="229">
        <f>'June 2025 - Prodn &amp; Sales'!D8</f>
        <v>441</v>
      </c>
      <c r="E6" s="229">
        <f>'June 2025 - Prodn &amp; Sales'!E8</f>
        <v>136005</v>
      </c>
      <c r="F6" s="229">
        <f>'June 2025 - Prodn &amp; Sales'!F8</f>
        <v>114618</v>
      </c>
      <c r="G6" s="229">
        <f>'June 2025 - Prodn &amp; Sales'!G8</f>
        <v>6060</v>
      </c>
      <c r="H6" s="229">
        <f>'June 2025 - Prodn &amp; Sales'!H8</f>
        <v>120678</v>
      </c>
      <c r="I6" s="229">
        <f>'June 2025 - Prodn &amp; Sales'!I8</f>
        <v>2002367.13</v>
      </c>
      <c r="J6" s="229">
        <f>'June 2025 - Prodn &amp; Sales'!J8</f>
        <v>19189.64</v>
      </c>
      <c r="K6" s="229">
        <f>'June 2025 - Prodn &amp; Sales'!K8</f>
        <v>2021556.7699999998</v>
      </c>
      <c r="L6" s="626">
        <f>(F6+F7)/(E6+E7)</f>
        <v>0.87159174568747</v>
      </c>
      <c r="M6" s="230">
        <f t="shared" ref="M6:M20" si="0">I6/F6</f>
        <v>17.469918599172903</v>
      </c>
      <c r="N6" s="231">
        <f t="shared" ref="N6:N21" si="1">M6/129.2343</f>
        <v>0.13518020060597616</v>
      </c>
      <c r="O6" s="232">
        <f>'June 2025 - Prodn &amp; Sales'!O8</f>
        <v>8560</v>
      </c>
      <c r="P6" s="233">
        <f t="shared" ref="P6:P20" si="2">C6/O6*12</f>
        <v>191.27943925233643</v>
      </c>
      <c r="Q6" s="628">
        <f>(K6+K7)*12/(O6+O7)/129.2343</f>
        <v>21.700625444706876</v>
      </c>
    </row>
    <row r="7" spans="2:18" s="16" customFormat="1" ht="15.75" customHeight="1" thickBot="1" x14ac:dyDescent="0.25">
      <c r="B7" s="241" t="s">
        <v>34</v>
      </c>
      <c r="C7" s="242">
        <f>'June 2025 - Prodn &amp; Sales'!C9</f>
        <v>91111</v>
      </c>
      <c r="D7" s="242">
        <f>'June 2025 - Prodn &amp; Sales'!D9</f>
        <v>277</v>
      </c>
      <c r="E7" s="242">
        <f>'June 2025 - Prodn &amp; Sales'!E9</f>
        <v>90834</v>
      </c>
      <c r="F7" s="242">
        <f>'June 2025 - Prodn &amp; Sales'!F9</f>
        <v>83093</v>
      </c>
      <c r="G7" s="242">
        <f>'June 2025 - Prodn &amp; Sales'!G9</f>
        <v>2480</v>
      </c>
      <c r="H7" s="242">
        <f>'June 2025 - Prodn &amp; Sales'!H9</f>
        <v>85573</v>
      </c>
      <c r="I7" s="242">
        <f>'June 2025 - Prodn &amp; Sales'!I9</f>
        <v>1217494.76</v>
      </c>
      <c r="J7" s="242">
        <f>'June 2025 - Prodn &amp; Sales'!J9</f>
        <v>8051.69</v>
      </c>
      <c r="K7" s="242">
        <f>'June 2025 - Prodn &amp; Sales'!K9</f>
        <v>1225546.45</v>
      </c>
      <c r="L7" s="627"/>
      <c r="M7" s="243">
        <f t="shared" si="0"/>
        <v>14.652194047633374</v>
      </c>
      <c r="N7" s="237">
        <f t="shared" si="1"/>
        <v>0.11337697536670509</v>
      </c>
      <c r="O7" s="238">
        <f>'June 2025 - Prodn &amp; Sales'!O9</f>
        <v>5334</v>
      </c>
      <c r="P7" s="239">
        <f t="shared" si="2"/>
        <v>204.97412823397076</v>
      </c>
      <c r="Q7" s="629"/>
    </row>
    <row r="8" spans="2:18" s="16" customFormat="1" ht="15.75" customHeight="1" thickBot="1" x14ac:dyDescent="0.25">
      <c r="B8" s="266" t="s">
        <v>20</v>
      </c>
      <c r="C8" s="267">
        <f>'June 2025 - Prodn &amp; Sales'!C7</f>
        <v>180582</v>
      </c>
      <c r="D8" s="267">
        <f>'June 2025 - Prodn &amp; Sales'!D7</f>
        <v>470</v>
      </c>
      <c r="E8" s="267">
        <f>'June 2025 - Prodn &amp; Sales'!E7</f>
        <v>180112</v>
      </c>
      <c r="F8" s="267">
        <f>'June 2025 - Prodn &amp; Sales'!F7</f>
        <v>141343</v>
      </c>
      <c r="G8" s="267">
        <f>'June 2025 - Prodn &amp; Sales'!G7</f>
        <v>22900</v>
      </c>
      <c r="H8" s="267">
        <f>'June 2025 - Prodn &amp; Sales'!H7</f>
        <v>164243</v>
      </c>
      <c r="I8" s="267">
        <f>'June 2025 - Prodn &amp; Sales'!I7</f>
        <v>1904712.2600000002</v>
      </c>
      <c r="J8" s="267">
        <f>'June 2025 - Prodn &amp; Sales'!J7</f>
        <v>70698.25</v>
      </c>
      <c r="K8" s="267">
        <f>'June 2025 - Prodn &amp; Sales'!K7</f>
        <v>1975410.5100000002</v>
      </c>
      <c r="L8" s="245">
        <f>F8/E8</f>
        <v>0.78475059962689886</v>
      </c>
      <c r="M8" s="495">
        <f>I8/F8</f>
        <v>13.475815993717413</v>
      </c>
      <c r="N8" s="496">
        <f t="shared" si="1"/>
        <v>0.10427429864763003</v>
      </c>
      <c r="O8" s="497">
        <f>'June 2025 - Prodn &amp; Sales'!O7</f>
        <v>10545.230769230768</v>
      </c>
      <c r="P8" s="315">
        <f>C8/O8*12</f>
        <v>205.49422268907563</v>
      </c>
      <c r="Q8" s="498">
        <f>(K8*12/O8)/129.2343</f>
        <v>17.39421056620132</v>
      </c>
    </row>
    <row r="9" spans="2:18" s="16" customFormat="1" ht="15.75" customHeight="1" x14ac:dyDescent="0.2">
      <c r="B9" s="228" t="s">
        <v>29</v>
      </c>
      <c r="C9" s="229">
        <f>'June 2025 - Prodn &amp; Sales'!C10</f>
        <v>34390</v>
      </c>
      <c r="D9" s="229">
        <f>'June 2025 - Prodn &amp; Sales'!D10</f>
        <v>295</v>
      </c>
      <c r="E9" s="229">
        <f>'June 2025 - Prodn &amp; Sales'!E10</f>
        <v>34095</v>
      </c>
      <c r="F9" s="229">
        <f>'June 2025 - Prodn &amp; Sales'!F10</f>
        <v>27540</v>
      </c>
      <c r="G9" s="229">
        <f>'June 2025 - Prodn &amp; Sales'!G10</f>
        <v>780</v>
      </c>
      <c r="H9" s="229">
        <f>'June 2025 - Prodn &amp; Sales'!H10</f>
        <v>28320</v>
      </c>
      <c r="I9" s="229">
        <f>'June 2025 - Prodn &amp; Sales'!I10</f>
        <v>385500.20999999996</v>
      </c>
      <c r="J9" s="229">
        <f>'June 2025 - Prodn &amp; Sales'!J10</f>
        <v>2353.4299999999998</v>
      </c>
      <c r="K9" s="229">
        <f>'June 2025 - Prodn &amp; Sales'!K10</f>
        <v>387853.63999999996</v>
      </c>
      <c r="L9" s="626">
        <f>(F9+F10)/(E9+E10)</f>
        <v>0.81672629171309596</v>
      </c>
      <c r="M9" s="230">
        <f t="shared" si="0"/>
        <v>13.997828976034857</v>
      </c>
      <c r="N9" s="231">
        <f t="shared" si="1"/>
        <v>0.10831357446153891</v>
      </c>
      <c r="O9" s="232">
        <f>'June 2025 - Prodn &amp; Sales'!O10</f>
        <v>2233</v>
      </c>
      <c r="P9" s="233">
        <f t="shared" si="2"/>
        <v>184.80967308553517</v>
      </c>
      <c r="Q9" s="628">
        <f>(K9+K10)*12/(O9+O10)/129.2343</f>
        <v>17.078595035691599</v>
      </c>
    </row>
    <row r="10" spans="2:18" s="16" customFormat="1" ht="15.75" customHeight="1" thickBot="1" x14ac:dyDescent="0.25">
      <c r="B10" s="234" t="s">
        <v>19</v>
      </c>
      <c r="C10" s="235">
        <f>'June 2025 - Prodn &amp; Sales'!C6</f>
        <v>51535</v>
      </c>
      <c r="D10" s="235">
        <f>'June 2025 - Prodn &amp; Sales'!D6</f>
        <v>375</v>
      </c>
      <c r="E10" s="235">
        <f>'June 2025 - Prodn &amp; Sales'!E6</f>
        <v>51160</v>
      </c>
      <c r="F10" s="235">
        <f>'June 2025 - Prodn &amp; Sales'!F6</f>
        <v>42090</v>
      </c>
      <c r="G10" s="235">
        <f>'June 2025 - Prodn &amp; Sales'!G6</f>
        <v>4240</v>
      </c>
      <c r="H10" s="235">
        <f>'June 2025 - Prodn &amp; Sales'!H6</f>
        <v>46330</v>
      </c>
      <c r="I10" s="235">
        <f>'June 2025 - Prodn &amp; Sales'!I6</f>
        <v>625800.95999999996</v>
      </c>
      <c r="J10" s="235">
        <f>'June 2025 - Prodn &amp; Sales'!J6</f>
        <v>13155.16</v>
      </c>
      <c r="K10" s="235">
        <f>'June 2025 - Prodn &amp; Sales'!K6</f>
        <v>638956.12</v>
      </c>
      <c r="L10" s="627"/>
      <c r="M10" s="236">
        <f t="shared" si="0"/>
        <v>14.868162508909478</v>
      </c>
      <c r="N10" s="237">
        <f t="shared" si="1"/>
        <v>0.11504811423058336</v>
      </c>
      <c r="O10" s="238">
        <f>'June 2025 - Prodn &amp; Sales'!O6</f>
        <v>3349.6615384615388</v>
      </c>
      <c r="P10" s="239">
        <f t="shared" si="2"/>
        <v>184.62163800705466</v>
      </c>
      <c r="Q10" s="629"/>
    </row>
    <row r="11" spans="2:18" s="16" customFormat="1" ht="15.75" customHeight="1" x14ac:dyDescent="0.2">
      <c r="B11" s="10" t="s">
        <v>32</v>
      </c>
      <c r="C11" s="20">
        <f>'June 2025 - Prodn &amp; Sales'!C11</f>
        <v>49355</v>
      </c>
      <c r="D11" s="20">
        <f>'June 2025 - Prodn &amp; Sales'!D11</f>
        <v>621</v>
      </c>
      <c r="E11" s="20">
        <f>'June 2025 - Prodn &amp; Sales'!E11</f>
        <v>48734</v>
      </c>
      <c r="F11" s="20">
        <f>'June 2025 - Prodn &amp; Sales'!F11</f>
        <v>34380</v>
      </c>
      <c r="G11" s="20">
        <f>'June 2025 - Prodn &amp; Sales'!G11</f>
        <v>5220</v>
      </c>
      <c r="H11" s="20">
        <f>'June 2025 - Prodn &amp; Sales'!H11</f>
        <v>39600</v>
      </c>
      <c r="I11" s="20">
        <f>'June 2025 - Prodn &amp; Sales'!I11</f>
        <v>748209.52</v>
      </c>
      <c r="J11" s="20">
        <f>'June 2025 - Prodn &amp; Sales'!J11</f>
        <v>15982.77</v>
      </c>
      <c r="K11" s="20">
        <f>'June 2025 - Prodn &amp; Sales'!K11</f>
        <v>764192.29</v>
      </c>
      <c r="L11" s="226">
        <f>F11/E11</f>
        <v>0.70546230557721512</v>
      </c>
      <c r="M11" s="12">
        <f t="shared" si="0"/>
        <v>21.762929610238512</v>
      </c>
      <c r="N11" s="227">
        <f t="shared" si="1"/>
        <v>0.16839902108216251</v>
      </c>
      <c r="O11" s="14">
        <f>'June 2025 - Prodn &amp; Sales'!O11</f>
        <v>4962.4615384615381</v>
      </c>
      <c r="P11" s="14">
        <f t="shared" si="2"/>
        <v>119.34802827380952</v>
      </c>
      <c r="Q11" s="218">
        <f>(K11*12/O11)/129.2343</f>
        <v>14.299108093396297</v>
      </c>
    </row>
    <row r="12" spans="2:18" s="16" customFormat="1" ht="15.75" customHeight="1" x14ac:dyDescent="0.2">
      <c r="B12" s="10" t="s">
        <v>21</v>
      </c>
      <c r="C12" s="250">
        <f>'June 2025 - Prodn &amp; Sales'!C12</f>
        <v>50988</v>
      </c>
      <c r="D12" s="20">
        <f>'June 2025 - Prodn &amp; Sales'!D12</f>
        <v>322</v>
      </c>
      <c r="E12" s="20">
        <f>'June 2025 - Prodn &amp; Sales'!E12</f>
        <v>50666</v>
      </c>
      <c r="F12" s="20">
        <f>'June 2025 - Prodn &amp; Sales'!F12</f>
        <v>43420</v>
      </c>
      <c r="G12" s="20">
        <f>'June 2025 - Prodn &amp; Sales'!G12</f>
        <v>2080</v>
      </c>
      <c r="H12" s="20">
        <f>'June 2025 - Prodn &amp; Sales'!H12</f>
        <v>45500</v>
      </c>
      <c r="I12" s="20">
        <f>'June 2025 - Prodn &amp; Sales'!I12</f>
        <v>787167.55</v>
      </c>
      <c r="J12" s="250">
        <f>'June 2025 - Prodn &amp; Sales'!J12</f>
        <v>6534.45</v>
      </c>
      <c r="K12" s="20">
        <f>'June 2025 - Prodn &amp; Sales'!K12</f>
        <v>793702</v>
      </c>
      <c r="L12" s="251">
        <f>F12/E12</f>
        <v>0.85698496032842542</v>
      </c>
      <c r="M12" s="252">
        <f t="shared" si="0"/>
        <v>18.129146706586827</v>
      </c>
      <c r="N12" s="227">
        <f t="shared" si="1"/>
        <v>0.14028123111733362</v>
      </c>
      <c r="O12" s="253">
        <f>'June 2025 - Prodn &amp; Sales'!O12</f>
        <v>5768.8615384615377</v>
      </c>
      <c r="P12" s="253">
        <f t="shared" si="2"/>
        <v>106.06182795698928</v>
      </c>
      <c r="Q12" s="325">
        <f>(K12*12/O12)/129.2343</f>
        <v>12.775291268438489</v>
      </c>
    </row>
    <row r="13" spans="2:18" s="16" customFormat="1" ht="15.75" customHeight="1" thickBot="1" x14ac:dyDescent="0.25">
      <c r="B13" s="266" t="s">
        <v>25</v>
      </c>
      <c r="C13" s="242">
        <f>'June 2025 - Prodn &amp; Sales'!C14</f>
        <v>72300</v>
      </c>
      <c r="D13" s="267">
        <f>'June 2025 - Prodn &amp; Sales'!D14</f>
        <v>301</v>
      </c>
      <c r="E13" s="267">
        <f>'June 2025 - Prodn &amp; Sales'!E14</f>
        <v>71999</v>
      </c>
      <c r="F13" s="250">
        <f>'June 2025 - Prodn &amp; Sales'!F14</f>
        <v>66684</v>
      </c>
      <c r="G13" s="250">
        <f>'June 2025 - Prodn &amp; Sales'!G14</f>
        <v>2600</v>
      </c>
      <c r="H13" s="267">
        <f>'June 2025 - Prodn &amp; Sales'!H14</f>
        <v>69284</v>
      </c>
      <c r="I13" s="267">
        <f>'June 2025 - Prodn &amp; Sales'!I14</f>
        <v>1032272.8099999998</v>
      </c>
      <c r="J13" s="242">
        <f>'June 2025 - Prodn &amp; Sales'!J14</f>
        <v>8724.1200000000008</v>
      </c>
      <c r="K13" s="504">
        <f>'June 2025 - Prodn &amp; Sales'!K14</f>
        <v>1040996.9299999998</v>
      </c>
      <c r="L13" s="245">
        <f>F13/E13</f>
        <v>0.92617953027125377</v>
      </c>
      <c r="M13" s="495">
        <f>I13/F13</f>
        <v>15.480067332493549</v>
      </c>
      <c r="N13" s="503">
        <f t="shared" si="1"/>
        <v>0.11978296266930336</v>
      </c>
      <c r="O13" s="315">
        <f>'June 2025 - Prodn &amp; Sales'!O14</f>
        <v>8071.9428571428562</v>
      </c>
      <c r="P13" s="315">
        <f>C13/O13*12</f>
        <v>107.48341698582038</v>
      </c>
      <c r="Q13" s="498">
        <f>(K13*12/O13)/129.2343</f>
        <v>11.974980674062436</v>
      </c>
      <c r="R13" s="499"/>
    </row>
    <row r="14" spans="2:18" s="16" customFormat="1" ht="15.75" customHeight="1" x14ac:dyDescent="0.2">
      <c r="B14" s="258" t="s">
        <v>24</v>
      </c>
      <c r="C14" s="259">
        <f>'June 2025 - Prodn &amp; Sales'!C15</f>
        <v>74680</v>
      </c>
      <c r="D14" s="259">
        <f>'June 2025 - Prodn &amp; Sales'!D15</f>
        <v>315</v>
      </c>
      <c r="E14" s="259">
        <f>'June 2025 - Prodn &amp; Sales'!E15</f>
        <v>74365</v>
      </c>
      <c r="F14" s="259">
        <f>'June 2025 - Prodn &amp; Sales'!F15</f>
        <v>45631</v>
      </c>
      <c r="G14" s="259">
        <f>'June 2025 - Prodn &amp; Sales'!G15</f>
        <v>13180</v>
      </c>
      <c r="H14" s="259">
        <f>'June 2025 - Prodn &amp; Sales'!H15</f>
        <v>58811</v>
      </c>
      <c r="I14" s="259">
        <f>'June 2025 - Prodn &amp; Sales'!I15</f>
        <v>609230.30999999994</v>
      </c>
      <c r="J14" s="259">
        <f>'June 2025 - Prodn &amp; Sales'!J15</f>
        <v>39767.24</v>
      </c>
      <c r="K14" s="259">
        <f>'June 2025 - Prodn &amp; Sales'!K15</f>
        <v>648997.54999999993</v>
      </c>
      <c r="L14" s="626">
        <f>(F14+F15+F16)/(C14+C15+C16)</f>
        <v>0.68121988827650237</v>
      </c>
      <c r="M14" s="230">
        <f>I14/F14</f>
        <v>13.351237316736428</v>
      </c>
      <c r="N14" s="255">
        <f t="shared" si="1"/>
        <v>0.10331032331769839</v>
      </c>
      <c r="O14" s="232">
        <f>'June 2025 - Prodn &amp; Sales'!O15</f>
        <v>5492.6769230769232</v>
      </c>
      <c r="P14" s="233">
        <f>C14/O14*12</f>
        <v>163.15541812315138</v>
      </c>
      <c r="Q14" s="628">
        <f>(K14+K15+K16)*12/(O14+O15+O16)/129.2343</f>
        <v>11.108428704225483</v>
      </c>
    </row>
    <row r="15" spans="2:18" s="16" customFormat="1" ht="15.75" customHeight="1" x14ac:dyDescent="0.2">
      <c r="B15" s="260" t="s">
        <v>23</v>
      </c>
      <c r="C15" s="20">
        <f>'June 2025 - Prodn &amp; Sales'!C13</f>
        <v>51633</v>
      </c>
      <c r="D15" s="20">
        <f>'June 2025 - Prodn &amp; Sales'!D13</f>
        <v>291</v>
      </c>
      <c r="E15" s="20">
        <f>'June 2025 - Prodn &amp; Sales'!E13</f>
        <v>51342</v>
      </c>
      <c r="F15" s="20">
        <f>'June 2025 - Prodn &amp; Sales'!F13</f>
        <v>44225</v>
      </c>
      <c r="G15" s="20">
        <f>'June 2025 - Prodn &amp; Sales'!G13</f>
        <v>7900</v>
      </c>
      <c r="H15" s="20">
        <f>'June 2025 - Prodn &amp; Sales'!H13</f>
        <v>52125</v>
      </c>
      <c r="I15" s="20">
        <f>'June 2025 - Prodn &amp; Sales'!I13</f>
        <v>651158.89</v>
      </c>
      <c r="J15" s="20">
        <f>'June 2025 - Prodn &amp; Sales'!J13</f>
        <v>24198.26</v>
      </c>
      <c r="K15" s="20">
        <f>'June 2025 - Prodn &amp; Sales'!K13</f>
        <v>675357.15</v>
      </c>
      <c r="L15" s="634"/>
      <c r="M15" s="256">
        <f t="shared" ref="M15" si="3">I15/F15</f>
        <v>14.723773657433579</v>
      </c>
      <c r="N15" s="247">
        <f t="shared" si="1"/>
        <v>0.11393085007179658</v>
      </c>
      <c r="O15" s="209">
        <f>'June 2025 - Prodn &amp; Sales'!O13</f>
        <v>5148.5538461538463</v>
      </c>
      <c r="P15" s="248">
        <f t="shared" ref="P15" si="4">C15/O15*12</f>
        <v>120.34369621342513</v>
      </c>
      <c r="Q15" s="633"/>
    </row>
    <row r="16" spans="2:18" s="16" customFormat="1" ht="15.75" customHeight="1" thickBot="1" x14ac:dyDescent="0.25">
      <c r="B16" s="261" t="s">
        <v>22</v>
      </c>
      <c r="C16" s="242">
        <f>'June 2025 - Prodn &amp; Sales'!C18</f>
        <v>61114</v>
      </c>
      <c r="D16" s="242">
        <f>'June 2025 - Prodn &amp; Sales'!D18</f>
        <v>245</v>
      </c>
      <c r="E16" s="242">
        <f>'June 2025 - Prodn &amp; Sales'!E18</f>
        <v>60869</v>
      </c>
      <c r="F16" s="242">
        <f>'June 2025 - Prodn &amp; Sales'!F18</f>
        <v>37823</v>
      </c>
      <c r="G16" s="242">
        <f>'June 2025 - Prodn &amp; Sales'!G18</f>
        <v>13000</v>
      </c>
      <c r="H16" s="242">
        <f>'June 2025 - Prodn &amp; Sales'!H18</f>
        <v>50823</v>
      </c>
      <c r="I16" s="242">
        <f>'June 2025 - Prodn &amp; Sales'!I18</f>
        <v>502560.92</v>
      </c>
      <c r="J16" s="242">
        <f>'June 2025 - Prodn &amp; Sales'!J18</f>
        <v>39793.11</v>
      </c>
      <c r="K16" s="242">
        <f>'June 2025 - Prodn &amp; Sales'!K18</f>
        <v>542354.03</v>
      </c>
      <c r="L16" s="627"/>
      <c r="M16" s="243">
        <f>I16/F16</f>
        <v>13.287177643232953</v>
      </c>
      <c r="N16" s="237">
        <f t="shared" si="1"/>
        <v>0.10281463700606537</v>
      </c>
      <c r="O16" s="238">
        <f>'June 2025 - Prodn &amp; Sales'!O18</f>
        <v>4962.4615384615381</v>
      </c>
      <c r="P16" s="239">
        <f>C16/O16*12</f>
        <v>147.78311011904762</v>
      </c>
      <c r="Q16" s="629"/>
    </row>
    <row r="17" spans="2:19" s="16" customFormat="1" ht="15.75" customHeight="1" x14ac:dyDescent="0.2">
      <c r="B17" s="254" t="s">
        <v>28</v>
      </c>
      <c r="C17" s="229">
        <f>'June 2025 - Prodn &amp; Sales'!C16</f>
        <v>107425</v>
      </c>
      <c r="D17" s="229">
        <f>'June 2025 - Prodn &amp; Sales'!D16</f>
        <v>390</v>
      </c>
      <c r="E17" s="229">
        <f>'June 2025 - Prodn &amp; Sales'!E16</f>
        <v>107035</v>
      </c>
      <c r="F17" s="229">
        <f>'June 2025 - Prodn &amp; Sales'!F16</f>
        <v>76450</v>
      </c>
      <c r="G17" s="229">
        <f>'June 2025 - Prodn &amp; Sales'!G16</f>
        <v>26740</v>
      </c>
      <c r="H17" s="229">
        <f>'June 2025 - Prodn &amp; Sales'!H16</f>
        <v>103190</v>
      </c>
      <c r="I17" s="229">
        <f>'June 2025 - Prodn &amp; Sales'!I16</f>
        <v>1102905.6499999999</v>
      </c>
      <c r="J17" s="229">
        <f>'June 2025 - Prodn &amp; Sales'!J16</f>
        <v>83784.490000000005</v>
      </c>
      <c r="K17" s="229">
        <f>'June 2025 - Prodn &amp; Sales'!K16</f>
        <v>1186690.1399999999</v>
      </c>
      <c r="L17" s="626">
        <f>(F17+F18)/(C17+C18)</f>
        <v>0.64280581778537627</v>
      </c>
      <c r="M17" s="230">
        <f t="shared" si="0"/>
        <v>14.426496402877696</v>
      </c>
      <c r="N17" s="231">
        <f t="shared" si="1"/>
        <v>0.11163055321132004</v>
      </c>
      <c r="O17" s="232">
        <f>'June 2025 - Prodn &amp; Sales'!O16</f>
        <v>10048.984615384614</v>
      </c>
      <c r="P17" s="233">
        <f t="shared" si="2"/>
        <v>128.28161743092301</v>
      </c>
      <c r="Q17" s="628">
        <f>(K17+K18)*12/(O17+O18)/129.2343</f>
        <v>10.613584159648427</v>
      </c>
    </row>
    <row r="18" spans="2:19" s="16" customFormat="1" ht="15.75" customHeight="1" thickBot="1" x14ac:dyDescent="0.25">
      <c r="B18" s="341" t="s">
        <v>30</v>
      </c>
      <c r="C18" s="242">
        <f>'June 2025 - Prodn &amp; Sales'!C17</f>
        <v>134729</v>
      </c>
      <c r="D18" s="242">
        <f>'June 2025 - Prodn &amp; Sales'!D17</f>
        <v>348</v>
      </c>
      <c r="E18" s="242">
        <f>'June 2025 - Prodn &amp; Sales'!E17</f>
        <v>134381</v>
      </c>
      <c r="F18" s="242">
        <f>'June 2025 - Prodn &amp; Sales'!F17</f>
        <v>79208</v>
      </c>
      <c r="G18" s="242">
        <f>'June 2025 - Prodn &amp; Sales'!G17</f>
        <v>2240</v>
      </c>
      <c r="H18" s="242">
        <f>'June 2025 - Prodn &amp; Sales'!H17</f>
        <v>81448</v>
      </c>
      <c r="I18" s="242">
        <f>'June 2025 - Prodn &amp; Sales'!I17</f>
        <v>1135599.95</v>
      </c>
      <c r="J18" s="242">
        <f>'June 2025 - Prodn &amp; Sales'!J17</f>
        <v>7120.69</v>
      </c>
      <c r="K18" s="242">
        <f>'June 2025 - Prodn &amp; Sales'!K17</f>
        <v>1142720.6399999999</v>
      </c>
      <c r="L18" s="627"/>
      <c r="M18" s="243">
        <f t="shared" si="0"/>
        <v>14.336935031814967</v>
      </c>
      <c r="N18" s="237">
        <f t="shared" si="1"/>
        <v>0.11093753772655532</v>
      </c>
      <c r="O18" s="257">
        <f>'June 2025 - Prodn &amp; Sales'!O17</f>
        <v>10330.231</v>
      </c>
      <c r="P18" s="239">
        <f t="shared" si="2"/>
        <v>156.50647115248438</v>
      </c>
      <c r="Q18" s="629"/>
      <c r="S18" s="58"/>
    </row>
    <row r="19" spans="2:19" s="16" customFormat="1" ht="15.75" customHeight="1" x14ac:dyDescent="0.2">
      <c r="B19" s="266" t="s">
        <v>33</v>
      </c>
      <c r="C19" s="267">
        <f>'June 2025 - Prodn &amp; Sales'!C19</f>
        <v>24105</v>
      </c>
      <c r="D19" s="267">
        <f>'June 2025 - Prodn &amp; Sales'!D19</f>
        <v>323</v>
      </c>
      <c r="E19" s="267">
        <f>'June 2025 - Prodn &amp; Sales'!E19</f>
        <v>23782</v>
      </c>
      <c r="F19" s="267">
        <f>'June 2025 - Prodn &amp; Sales'!F19</f>
        <v>16250</v>
      </c>
      <c r="G19" s="267">
        <f>'June 2025 - Prodn &amp; Sales'!G19</f>
        <v>3200</v>
      </c>
      <c r="H19" s="267">
        <f>'June 2025 - Prodn &amp; Sales'!H19</f>
        <v>19450</v>
      </c>
      <c r="I19" s="267">
        <f>'June 2025 - Prodn &amp; Sales'!I19</f>
        <v>214434.47999999998</v>
      </c>
      <c r="J19" s="267">
        <f>'June 2025 - Prodn &amp; Sales'!J19</f>
        <v>9655.15</v>
      </c>
      <c r="K19" s="267">
        <f>'June 2025 - Prodn &amp; Sales'!K19</f>
        <v>224089.62999999998</v>
      </c>
      <c r="L19" s="501">
        <f>F19/E19</f>
        <v>0.68328988310486927</v>
      </c>
      <c r="M19" s="269">
        <f>I19/F19</f>
        <v>13.195967999999999</v>
      </c>
      <c r="N19" s="227">
        <f t="shared" si="1"/>
        <v>0.10210886738273044</v>
      </c>
      <c r="O19" s="309">
        <f>'June 2025 - Prodn &amp; Sales'!O19</f>
        <v>2605.292307692308</v>
      </c>
      <c r="P19" s="14">
        <f>C19/O19*12</f>
        <v>111.02784863945578</v>
      </c>
      <c r="Q19" s="218">
        <f>(K19*12/O19)/129.2343</f>
        <v>7.9867254153038489</v>
      </c>
    </row>
    <row r="20" spans="2:19" s="16" customFormat="1" ht="15.75" customHeight="1" thickBot="1" x14ac:dyDescent="0.25">
      <c r="B20" s="266" t="s">
        <v>26</v>
      </c>
      <c r="C20" s="395">
        <f>'June 2025 - Prodn &amp; Sales'!C20</f>
        <v>32169</v>
      </c>
      <c r="D20" s="395">
        <f>'June 2025 - Prodn &amp; Sales'!D20</f>
        <v>242</v>
      </c>
      <c r="E20" s="395">
        <f>'June 2025 - Prodn &amp; Sales'!E20</f>
        <v>31927</v>
      </c>
      <c r="F20" s="395">
        <f>'June 2025 - Prodn &amp; Sales'!F20</f>
        <v>11780</v>
      </c>
      <c r="G20" s="395">
        <f>'June 2025 - Prodn &amp; Sales'!G20</f>
        <v>5760</v>
      </c>
      <c r="H20" s="395">
        <f>'June 2025 - Prodn &amp; Sales'!H20</f>
        <v>17540</v>
      </c>
      <c r="I20" s="395">
        <f>'June 2025 - Prodn &amp; Sales'!I20</f>
        <v>169261.81</v>
      </c>
      <c r="J20" s="395">
        <f>'June 2025 - Prodn &amp; Sales'!J20</f>
        <v>18206.900000000001</v>
      </c>
      <c r="K20" s="395">
        <f>'June 2025 - Prodn &amp; Sales'!K20</f>
        <v>187468.71</v>
      </c>
      <c r="L20" s="500">
        <f t="shared" ref="L20" si="5">F20/E20</f>
        <v>0.36896670529645753</v>
      </c>
      <c r="M20" s="465">
        <f t="shared" si="0"/>
        <v>14.368574702886248</v>
      </c>
      <c r="N20" s="342">
        <f t="shared" si="1"/>
        <v>0.11118236182566275</v>
      </c>
      <c r="O20" s="502">
        <f>'June 2025 - Prodn &amp; Sales'!O20</f>
        <v>2419.1999999999998</v>
      </c>
      <c r="P20" s="253">
        <f t="shared" si="2"/>
        <v>159.56845238095241</v>
      </c>
      <c r="Q20" s="218">
        <f>(K20*12/O20)/129.2343</f>
        <v>7.1954915643617099</v>
      </c>
    </row>
    <row r="21" spans="2:19" ht="17.25" customHeight="1" thickBot="1" x14ac:dyDescent="0.25">
      <c r="B21" s="270" t="s">
        <v>35</v>
      </c>
      <c r="C21" s="271">
        <f t="shared" ref="C21:K21" si="6">SUM(C6:C20)</f>
        <v>1152562</v>
      </c>
      <c r="D21" s="271">
        <f t="shared" si="6"/>
        <v>5256</v>
      </c>
      <c r="E21" s="271">
        <f t="shared" si="6"/>
        <v>1147306</v>
      </c>
      <c r="F21" s="271">
        <f t="shared" si="6"/>
        <v>864535</v>
      </c>
      <c r="G21" s="271">
        <f t="shared" si="6"/>
        <v>118380</v>
      </c>
      <c r="H21" s="271">
        <f t="shared" si="6"/>
        <v>982915</v>
      </c>
      <c r="I21" s="271">
        <f t="shared" si="6"/>
        <v>13088677.210000001</v>
      </c>
      <c r="J21" s="271">
        <f t="shared" si="6"/>
        <v>367215.35000000003</v>
      </c>
      <c r="K21" s="271">
        <f t="shared" si="6"/>
        <v>13455892.560000004</v>
      </c>
      <c r="L21" s="272">
        <f>F21/E21</f>
        <v>0.75353480239796533</v>
      </c>
      <c r="M21" s="23">
        <f>I21/F21</f>
        <v>15.139557345856444</v>
      </c>
      <c r="N21" s="273">
        <f t="shared" si="1"/>
        <v>0.11714813595041289</v>
      </c>
      <c r="O21" s="52">
        <f>SUM(O6:O20)</f>
        <v>89832.558472527453</v>
      </c>
      <c r="P21" s="477">
        <f>C21/O21*12</f>
        <v>153.96137252652903</v>
      </c>
      <c r="Q21" s="476">
        <f>(K21*12/O21)/129.2343</f>
        <v>13.908560798331587</v>
      </c>
    </row>
    <row r="22" spans="2:19" ht="17.25" customHeight="1" thickTop="1" thickBot="1" x14ac:dyDescent="0.25">
      <c r="B22" s="26" t="s">
        <v>36</v>
      </c>
      <c r="C22" s="27"/>
      <c r="D22" s="275">
        <f>D21/C21</f>
        <v>4.5602752823709269E-3</v>
      </c>
      <c r="E22" s="276">
        <f>E21/C21</f>
        <v>0.99543972471762909</v>
      </c>
      <c r="F22" s="30"/>
      <c r="G22" s="31"/>
      <c r="H22" s="30"/>
      <c r="I22" s="30"/>
      <c r="J22" s="30"/>
      <c r="K22" s="30"/>
      <c r="L22" s="32"/>
      <c r="M22" s="30"/>
      <c r="N22" s="33"/>
      <c r="O22" s="34"/>
      <c r="P22" s="34"/>
      <c r="Q22" s="35"/>
    </row>
    <row r="23" spans="2:19" ht="21" customHeight="1" thickTop="1" thickBot="1" x14ac:dyDescent="0.3">
      <c r="B23" s="623" t="s">
        <v>37</v>
      </c>
      <c r="C23" s="620"/>
      <c r="D23" s="620"/>
      <c r="E23" s="620"/>
      <c r="F23" s="620"/>
      <c r="G23" s="620"/>
      <c r="H23" s="620"/>
      <c r="I23" s="620"/>
      <c r="J23" s="620"/>
      <c r="K23" s="620"/>
      <c r="L23" s="620"/>
      <c r="M23" s="620"/>
      <c r="N23" s="620"/>
      <c r="O23" s="620"/>
      <c r="P23" s="620"/>
      <c r="Q23" s="620"/>
    </row>
    <row r="24" spans="2:19" ht="15" customHeight="1" x14ac:dyDescent="0.2">
      <c r="B24" s="286" t="s">
        <v>43</v>
      </c>
      <c r="C24" s="278">
        <f>'June 2025 - Prodn &amp; Sales'!C25</f>
        <v>27087</v>
      </c>
      <c r="D24" s="278">
        <f>'June 2025 - Prodn &amp; Sales'!D25</f>
        <v>263</v>
      </c>
      <c r="E24" s="278">
        <f>'June 2025 - Prodn &amp; Sales'!E25</f>
        <v>26824</v>
      </c>
      <c r="F24" s="278">
        <f>'June 2025 - Prodn &amp; Sales'!F25</f>
        <v>27710</v>
      </c>
      <c r="G24" s="278">
        <f>'June 2025 - Prodn &amp; Sales'!G25</f>
        <v>1400</v>
      </c>
      <c r="H24" s="278">
        <f>'June 2025 - Prodn &amp; Sales'!H25</f>
        <v>29110</v>
      </c>
      <c r="I24" s="278">
        <f>'June 2025 - Prodn &amp; Sales'!I25</f>
        <v>955806.61</v>
      </c>
      <c r="J24" s="278">
        <f>'June 2025 - Prodn &amp; Sales'!J25</f>
        <v>4896.57</v>
      </c>
      <c r="K24" s="278">
        <f>'June 2025 - Prodn &amp; Sales'!K25</f>
        <v>960703.17999999993</v>
      </c>
      <c r="L24" s="626">
        <f>(F24+F25)/(E24+E25)</f>
        <v>1.0166182996499356</v>
      </c>
      <c r="M24" s="287">
        <f t="shared" ref="M24:M51" si="7">I24/F24</f>
        <v>34.493201371346082</v>
      </c>
      <c r="N24" s="231">
        <f t="shared" ref="N24:N53" si="8">M24/129.2343</f>
        <v>0.26690438506918118</v>
      </c>
      <c r="O24" s="281">
        <f>'June 2025 - Prodn &amp; Sales'!O25</f>
        <v>2605.292307692308</v>
      </c>
      <c r="P24" s="288">
        <f t="shared" ref="P24:P51" si="9">C24/O24*12</f>
        <v>124.76296768707482</v>
      </c>
      <c r="Q24" s="628">
        <f>(K24+K25)*12/(O24+O25)/129.2343</f>
        <v>33.958801816907936</v>
      </c>
      <c r="R24" s="479"/>
    </row>
    <row r="25" spans="2:19" ht="15" customHeight="1" thickBot="1" x14ac:dyDescent="0.25">
      <c r="B25" s="289" t="s">
        <v>52</v>
      </c>
      <c r="C25" s="283">
        <f>'June 2025 - Prodn &amp; Sales'!C26</f>
        <v>50291</v>
      </c>
      <c r="D25" s="283">
        <f>'June 2025 - Prodn &amp; Sales'!D26</f>
        <v>272</v>
      </c>
      <c r="E25" s="283">
        <f>'June 2025 - Prodn &amp; Sales'!E26</f>
        <v>50019</v>
      </c>
      <c r="F25" s="283">
        <f>'June 2025 - Prodn &amp; Sales'!F26</f>
        <v>50410</v>
      </c>
      <c r="G25" s="283">
        <f>'June 2025 - Prodn &amp; Sales'!G26</f>
        <v>900</v>
      </c>
      <c r="H25" s="283">
        <f>'June 2025 - Prodn &amp; Sales'!H26</f>
        <v>51310</v>
      </c>
      <c r="I25" s="283">
        <f>'June 2025 - Prodn &amp; Sales'!I26</f>
        <v>1758501.74</v>
      </c>
      <c r="J25" s="283">
        <f>'June 2025 - Prodn &amp; Sales'!J26</f>
        <v>3103.46</v>
      </c>
      <c r="K25" s="283">
        <f>'June 2025 - Prodn &amp; Sales'!K26</f>
        <v>1761605.2</v>
      </c>
      <c r="L25" s="627"/>
      <c r="M25" s="290">
        <f t="shared" si="7"/>
        <v>34.8839861138663</v>
      </c>
      <c r="N25" s="237">
        <f t="shared" si="8"/>
        <v>0.26992823200857902</v>
      </c>
      <c r="O25" s="257">
        <f>'June 2025 - Prodn &amp; Sales'!O26</f>
        <v>4838.3999999999996</v>
      </c>
      <c r="P25" s="291">
        <f t="shared" si="9"/>
        <v>124.72966269841271</v>
      </c>
      <c r="Q25" s="629"/>
      <c r="R25" s="479"/>
    </row>
    <row r="26" spans="2:19" ht="15" customHeight="1" x14ac:dyDescent="0.2">
      <c r="B26" s="292" t="s">
        <v>49</v>
      </c>
      <c r="C26" s="278">
        <f>'June 2025 - Prodn &amp; Sales'!C31</f>
        <v>36231</v>
      </c>
      <c r="D26" s="278">
        <f>'June 2025 - Prodn &amp; Sales'!D31</f>
        <v>244</v>
      </c>
      <c r="E26" s="278">
        <f>'June 2025 - Prodn &amp; Sales'!E31</f>
        <v>35987</v>
      </c>
      <c r="F26" s="278">
        <f>'June 2025 - Prodn &amp; Sales'!F31</f>
        <v>37880</v>
      </c>
      <c r="G26" s="278">
        <f>'June 2025 - Prodn &amp; Sales'!G31</f>
        <v>1340</v>
      </c>
      <c r="H26" s="278">
        <f>'June 2025 - Prodn &amp; Sales'!H31</f>
        <v>39220</v>
      </c>
      <c r="I26" s="278">
        <f>'June 2025 - Prodn &amp; Sales'!I31</f>
        <v>1315422.3999999999</v>
      </c>
      <c r="J26" s="278">
        <f>'June 2025 - Prodn &amp; Sales'!J31</f>
        <v>4672.3999999999996</v>
      </c>
      <c r="K26" s="278">
        <f>'June 2025 - Prodn &amp; Sales'!K31</f>
        <v>1320094.7999999998</v>
      </c>
      <c r="L26" s="626">
        <f>(F26+F27)/(E26+E27)</f>
        <v>1.052551946741981</v>
      </c>
      <c r="M26" s="287">
        <f>I26/F26</f>
        <v>34.726040126715944</v>
      </c>
      <c r="N26" s="231">
        <f t="shared" si="8"/>
        <v>0.26870606430890209</v>
      </c>
      <c r="O26" s="281">
        <f>'June 2025 - Prodn &amp; Sales'!O31</f>
        <v>5024.4923076923069</v>
      </c>
      <c r="P26" s="288">
        <f>C26/O26*12</f>
        <v>86.530533509700192</v>
      </c>
      <c r="Q26" s="628">
        <f>(K26+K27)*12/(O26+O27)/129.2343</f>
        <v>26.09402968462954</v>
      </c>
      <c r="R26" s="479"/>
    </row>
    <row r="27" spans="2:19" ht="15" customHeight="1" thickBot="1" x14ac:dyDescent="0.25">
      <c r="B27" s="293" t="s">
        <v>62</v>
      </c>
      <c r="C27" s="283">
        <f>'June 2025 - Prodn &amp; Sales'!C28</f>
        <v>23713</v>
      </c>
      <c r="D27" s="283">
        <f>'June 2025 - Prodn &amp; Sales'!D28</f>
        <v>216</v>
      </c>
      <c r="E27" s="283">
        <f>'June 2025 - Prodn &amp; Sales'!E28</f>
        <v>23497</v>
      </c>
      <c r="F27" s="283">
        <f>'June 2025 - Prodn &amp; Sales'!F28</f>
        <v>24730</v>
      </c>
      <c r="G27" s="283">
        <f>'June 2025 - Prodn &amp; Sales'!G28</f>
        <v>560</v>
      </c>
      <c r="H27" s="283">
        <f>'June 2025 - Prodn &amp; Sales'!H28</f>
        <v>25290</v>
      </c>
      <c r="I27" s="283">
        <f>'June 2025 - Prodn &amp; Sales'!I28</f>
        <v>822098.57000000007</v>
      </c>
      <c r="J27" s="283">
        <f>'June 2025 - Prodn &amp; Sales'!J28</f>
        <v>1931.03</v>
      </c>
      <c r="K27" s="283">
        <f>'June 2025 - Prodn &amp; Sales'!K28</f>
        <v>824029.60000000009</v>
      </c>
      <c r="L27" s="627"/>
      <c r="M27" s="290">
        <f>I27/F27</f>
        <v>33.242966841892439</v>
      </c>
      <c r="N27" s="237">
        <f t="shared" si="8"/>
        <v>0.25723021552244602</v>
      </c>
      <c r="O27" s="257">
        <f>'June 2025 - Prodn &amp; Sales'!O28</f>
        <v>2605.292307692308</v>
      </c>
      <c r="P27" s="291">
        <f>C27/O27*12</f>
        <v>109.22229308390021</v>
      </c>
      <c r="Q27" s="629"/>
      <c r="R27" s="479"/>
    </row>
    <row r="28" spans="2:19" ht="15" customHeight="1" x14ac:dyDescent="0.2">
      <c r="B28" s="277" t="s">
        <v>53</v>
      </c>
      <c r="C28" s="278">
        <f>'June 2025 - Prodn &amp; Sales'!C30</f>
        <v>57534</v>
      </c>
      <c r="D28" s="278">
        <f>'June 2025 - Prodn &amp; Sales'!D30</f>
        <v>266</v>
      </c>
      <c r="E28" s="278">
        <f>'June 2025 - Prodn &amp; Sales'!E30</f>
        <v>57268</v>
      </c>
      <c r="F28" s="278">
        <f>'June 2025 - Prodn &amp; Sales'!F30</f>
        <v>56380</v>
      </c>
      <c r="G28" s="278">
        <f>'June 2025 - Prodn &amp; Sales'!G30</f>
        <v>760</v>
      </c>
      <c r="H28" s="278">
        <f>'June 2025 - Prodn &amp; Sales'!H30</f>
        <v>57140</v>
      </c>
      <c r="I28" s="278">
        <f>'June 2025 - Prodn &amp; Sales'!I30</f>
        <v>1999179.9399999997</v>
      </c>
      <c r="J28" s="278">
        <f>'June 2025 - Prodn &amp; Sales'!J30</f>
        <v>2620.7199999999998</v>
      </c>
      <c r="K28" s="278">
        <f>'June 2025 - Prodn &amp; Sales'!K30</f>
        <v>2001800.6599999997</v>
      </c>
      <c r="L28" s="626">
        <f>(F28+F29)/(E28+E29)</f>
        <v>0.97819552981037217</v>
      </c>
      <c r="M28" s="279">
        <f t="shared" si="7"/>
        <v>35.459026959914858</v>
      </c>
      <c r="N28" s="231">
        <f t="shared" si="8"/>
        <v>0.27437783127168919</v>
      </c>
      <c r="O28" s="281">
        <f>'June 2025 - Prodn &amp; Sales'!O30</f>
        <v>7257.3692307692309</v>
      </c>
      <c r="P28" s="229">
        <f t="shared" si="9"/>
        <v>95.131993157088075</v>
      </c>
      <c r="Q28" s="628">
        <f>(K28+K29)*12/(O28+O29)/129.2343</f>
        <v>24.882097990208297</v>
      </c>
      <c r="R28" s="479"/>
    </row>
    <row r="29" spans="2:19" ht="15" customHeight="1" thickBot="1" x14ac:dyDescent="0.25">
      <c r="B29" s="282" t="s">
        <v>45</v>
      </c>
      <c r="C29" s="283">
        <f>'June 2025 - Prodn &amp; Sales'!C33</f>
        <v>16108</v>
      </c>
      <c r="D29" s="283">
        <f>'June 2025 - Prodn &amp; Sales'!D33</f>
        <v>180</v>
      </c>
      <c r="E29" s="283">
        <f>'June 2025 - Prodn &amp; Sales'!E33</f>
        <v>15928</v>
      </c>
      <c r="F29" s="283">
        <f>'June 2025 - Prodn &amp; Sales'!F33</f>
        <v>15220</v>
      </c>
      <c r="G29" s="283">
        <f>'June 2025 - Prodn &amp; Sales'!G33</f>
        <v>0</v>
      </c>
      <c r="H29" s="283">
        <f>'June 2025 - Prodn &amp; Sales'!H33</f>
        <v>15220</v>
      </c>
      <c r="I29" s="283">
        <f>'June 2025 - Prodn &amp; Sales'!I33</f>
        <v>607836.17000000004</v>
      </c>
      <c r="J29" s="283">
        <f>'June 2025 - Prodn &amp; Sales'!J33</f>
        <v>0</v>
      </c>
      <c r="K29" s="283">
        <f>'June 2025 - Prodn &amp; Sales'!K33</f>
        <v>607836.17000000004</v>
      </c>
      <c r="L29" s="627"/>
      <c r="M29" s="284">
        <f t="shared" si="7"/>
        <v>39.936673455978976</v>
      </c>
      <c r="N29" s="237">
        <f t="shared" si="8"/>
        <v>0.30902533968133056</v>
      </c>
      <c r="O29" s="257">
        <f>'June 2025 - Prodn &amp; Sales'!O33</f>
        <v>2481.2307692307691</v>
      </c>
      <c r="P29" s="242">
        <f t="shared" si="9"/>
        <v>77.90327380952381</v>
      </c>
      <c r="Q29" s="629"/>
      <c r="R29" s="479"/>
    </row>
    <row r="30" spans="2:19" ht="14.25" customHeight="1" x14ac:dyDescent="0.2">
      <c r="B30" s="303" t="s">
        <v>44</v>
      </c>
      <c r="C30" s="304">
        <f>'June 2025 - Prodn &amp; Sales'!C36</f>
        <v>15946</v>
      </c>
      <c r="D30" s="304">
        <f>'June 2025 - Prodn &amp; Sales'!D36</f>
        <v>164</v>
      </c>
      <c r="E30" s="304">
        <f>'June 2025 - Prodn &amp; Sales'!E36</f>
        <v>15782</v>
      </c>
      <c r="F30" s="304">
        <f>'June 2025 - Prodn &amp; Sales'!F36</f>
        <v>14120</v>
      </c>
      <c r="G30" s="304">
        <f>'June 2025 - Prodn &amp; Sales'!G36</f>
        <v>80</v>
      </c>
      <c r="H30" s="304">
        <f>'June 2025 - Prodn &amp; Sales'!H36</f>
        <v>14200</v>
      </c>
      <c r="I30" s="304">
        <f>'June 2025 - Prodn &amp; Sales'!I36</f>
        <v>532761.47</v>
      </c>
      <c r="J30" s="304">
        <f>'June 2025 - Prodn &amp; Sales'!J36</f>
        <v>275.87</v>
      </c>
      <c r="K30" s="304">
        <f>'June 2025 - Prodn &amp; Sales'!K36</f>
        <v>533037.34</v>
      </c>
      <c r="L30" s="630">
        <f>(F30+F31+F32+F33)/(E30+E31+E32+E33)</f>
        <v>0.93501298038047409</v>
      </c>
      <c r="M30" s="279">
        <f t="shared" si="7"/>
        <v>37.730982294617561</v>
      </c>
      <c r="N30" s="280">
        <f t="shared" si="8"/>
        <v>0.29195795771414834</v>
      </c>
      <c r="O30" s="281">
        <f>'June 2025 - Prodn &amp; Sales'!O36</f>
        <v>2357.1692307692306</v>
      </c>
      <c r="P30" s="229">
        <f t="shared" si="9"/>
        <v>81.178728070175453</v>
      </c>
      <c r="Q30" s="628">
        <f>(K30+K31+K32+K33)*12/(O30+O31+O32+O33)/129.2343</f>
        <v>23.990515157630089</v>
      </c>
      <c r="R30" s="479"/>
    </row>
    <row r="31" spans="2:19" ht="15" customHeight="1" x14ac:dyDescent="0.2">
      <c r="B31" s="305" t="s">
        <v>41</v>
      </c>
      <c r="C31" s="296">
        <f>'June 2025 - Prodn &amp; Sales'!C37</f>
        <v>21232</v>
      </c>
      <c r="D31" s="296">
        <f>'June 2025 - Prodn &amp; Sales'!D37</f>
        <v>229</v>
      </c>
      <c r="E31" s="296">
        <f>'June 2025 - Prodn &amp; Sales'!E37</f>
        <v>21003</v>
      </c>
      <c r="F31" s="296">
        <f>'June 2025 - Prodn &amp; Sales'!F37</f>
        <v>19800</v>
      </c>
      <c r="G31" s="296">
        <f>'June 2025 - Prodn &amp; Sales'!G37</f>
        <v>180</v>
      </c>
      <c r="H31" s="296">
        <f>'June 2025 - Prodn &amp; Sales'!H37</f>
        <v>19980</v>
      </c>
      <c r="I31" s="296">
        <f>'June 2025 - Prodn &amp; Sales'!I37</f>
        <v>727287.48</v>
      </c>
      <c r="J31" s="296">
        <f>'June 2025 - Prodn &amp; Sales'!J37</f>
        <v>620.69000000000005</v>
      </c>
      <c r="K31" s="296">
        <f>'June 2025 - Prodn &amp; Sales'!K37</f>
        <v>727908.16999999993</v>
      </c>
      <c r="L31" s="631"/>
      <c r="M31" s="306">
        <f t="shared" si="7"/>
        <v>36.731690909090908</v>
      </c>
      <c r="N31" s="298">
        <f t="shared" si="8"/>
        <v>0.28422555706256708</v>
      </c>
      <c r="O31" s="299">
        <f>'June 2025 - Prodn &amp; Sales'!O37</f>
        <v>3225.5999999999995</v>
      </c>
      <c r="P31" s="20">
        <f t="shared" si="9"/>
        <v>78.988095238095241</v>
      </c>
      <c r="Q31" s="633"/>
      <c r="R31" s="479"/>
    </row>
    <row r="32" spans="2:19" ht="15" customHeight="1" x14ac:dyDescent="0.2">
      <c r="B32" s="305" t="s">
        <v>46</v>
      </c>
      <c r="C32" s="296">
        <f>'June 2025 - Prodn &amp; Sales'!C29</f>
        <v>40347</v>
      </c>
      <c r="D32" s="296">
        <f>'June 2025 - Prodn &amp; Sales'!D29</f>
        <v>269</v>
      </c>
      <c r="E32" s="296">
        <f>'June 2025 - Prodn &amp; Sales'!E29</f>
        <v>40078</v>
      </c>
      <c r="F32" s="296">
        <f>'June 2025 - Prodn &amp; Sales'!F29</f>
        <v>37310</v>
      </c>
      <c r="G32" s="296">
        <f>'June 2025 - Prodn &amp; Sales'!G29</f>
        <v>880</v>
      </c>
      <c r="H32" s="296">
        <f>'June 2025 - Prodn &amp; Sales'!H29</f>
        <v>38190</v>
      </c>
      <c r="I32" s="296">
        <f>'June 2025 - Prodn &amp; Sales'!I29</f>
        <v>1449857.7400000002</v>
      </c>
      <c r="J32" s="296">
        <f>'June 2025 - Prodn &amp; Sales'!J29</f>
        <v>3034.51</v>
      </c>
      <c r="K32" s="296">
        <f>'June 2025 - Prodn &amp; Sales'!K29</f>
        <v>1452892.2500000002</v>
      </c>
      <c r="L32" s="631"/>
      <c r="M32" s="306">
        <f t="shared" si="7"/>
        <v>38.859762530152778</v>
      </c>
      <c r="N32" s="298">
        <f t="shared" si="8"/>
        <v>0.30069232804412438</v>
      </c>
      <c r="O32" s="299">
        <f>'June 2025 - Prodn &amp; Sales'!O29</f>
        <v>4838.3999999999996</v>
      </c>
      <c r="P32" s="20">
        <f t="shared" si="9"/>
        <v>100.06696428571431</v>
      </c>
      <c r="Q32" s="633"/>
      <c r="R32" s="479"/>
    </row>
    <row r="33" spans="2:18" ht="15" customHeight="1" thickBot="1" x14ac:dyDescent="0.25">
      <c r="B33" s="307" t="s">
        <v>59</v>
      </c>
      <c r="C33" s="302">
        <f>'June 2025 - Prodn &amp; Sales'!C32</f>
        <v>17333</v>
      </c>
      <c r="D33" s="302">
        <f>'June 2025 - Prodn &amp; Sales'!D32</f>
        <v>208</v>
      </c>
      <c r="E33" s="302">
        <f>'June 2025 - Prodn &amp; Sales'!E32</f>
        <v>17125</v>
      </c>
      <c r="F33" s="302">
        <f>'June 2025 - Prodn &amp; Sales'!F32</f>
        <v>16650</v>
      </c>
      <c r="G33" s="302">
        <f>'June 2025 - Prodn &amp; Sales'!G32</f>
        <v>800</v>
      </c>
      <c r="H33" s="302">
        <f>'June 2025 - Prodn &amp; Sales'!H32</f>
        <v>17450</v>
      </c>
      <c r="I33" s="302">
        <f>'June 2025 - Prodn &amp; Sales'!I32</f>
        <v>616950.92999999993</v>
      </c>
      <c r="J33" s="302">
        <f>'June 2025 - Prodn &amp; Sales'!J32</f>
        <v>2758.63</v>
      </c>
      <c r="K33" s="302">
        <f>'June 2025 - Prodn &amp; Sales'!K32</f>
        <v>619709.55999999994</v>
      </c>
      <c r="L33" s="632"/>
      <c r="M33" s="284">
        <f t="shared" si="7"/>
        <v>37.054109909909904</v>
      </c>
      <c r="N33" s="298">
        <f t="shared" si="8"/>
        <v>0.28672039783486203</v>
      </c>
      <c r="O33" s="257">
        <f>'June 2025 - Prodn &amp; Sales'!O32</f>
        <v>2481.2307692307691</v>
      </c>
      <c r="P33" s="242">
        <f t="shared" si="9"/>
        <v>83.827752976190482</v>
      </c>
      <c r="Q33" s="629"/>
      <c r="R33" s="479"/>
    </row>
    <row r="34" spans="2:18" ht="13.5" customHeight="1" x14ac:dyDescent="0.2">
      <c r="B34" s="294" t="s">
        <v>50</v>
      </c>
      <c r="C34" s="278">
        <f>'June 2025 - Prodn &amp; Sales'!C27</f>
        <v>16945</v>
      </c>
      <c r="D34" s="278">
        <f>'June 2025 - Prodn &amp; Sales'!D27</f>
        <v>203</v>
      </c>
      <c r="E34" s="278">
        <f>'June 2025 - Prodn &amp; Sales'!E27</f>
        <v>16742</v>
      </c>
      <c r="F34" s="278">
        <f>'June 2025 - Prodn &amp; Sales'!F27</f>
        <v>27180</v>
      </c>
      <c r="G34" s="278">
        <f>'June 2025 - Prodn &amp; Sales'!G27</f>
        <v>800</v>
      </c>
      <c r="H34" s="278">
        <f>'June 2025 - Prodn &amp; Sales'!H27</f>
        <v>27980</v>
      </c>
      <c r="I34" s="278">
        <f>'June 2025 - Prodn &amp; Sales'!I27</f>
        <v>920178.88</v>
      </c>
      <c r="J34" s="278">
        <f>'June 2025 - Prodn &amp; Sales'!J27</f>
        <v>2758.63</v>
      </c>
      <c r="K34" s="278">
        <f>'June 2025 - Prodn &amp; Sales'!K27</f>
        <v>922937.51</v>
      </c>
      <c r="L34" s="626">
        <f>(F34+F35+F36)/(C34+C35+C36)</f>
        <v>0.92676503621083617</v>
      </c>
      <c r="M34" s="287">
        <f>I34/F34</f>
        <v>33.854999264164825</v>
      </c>
      <c r="N34" s="280">
        <f t="shared" si="8"/>
        <v>0.26196605130499279</v>
      </c>
      <c r="O34" s="281">
        <f>'June 2025 - Prodn &amp; Sales'!O27</f>
        <v>2667.3230769230763</v>
      </c>
      <c r="P34" s="288">
        <f>C34/O34*12</f>
        <v>76.233734772978977</v>
      </c>
      <c r="Q34" s="628">
        <f>(K34+K35+K36)*12/(O34+O35+O36)/129.2343</f>
        <v>19.703250173284779</v>
      </c>
      <c r="R34" s="479"/>
    </row>
    <row r="35" spans="2:18" ht="15" customHeight="1" x14ac:dyDescent="0.2">
      <c r="B35" s="295" t="s">
        <v>65</v>
      </c>
      <c r="C35" s="296">
        <f>'June 2025 - Prodn &amp; Sales'!C40</f>
        <v>17417</v>
      </c>
      <c r="D35" s="296">
        <f>'June 2025 - Prodn &amp; Sales'!D40</f>
        <v>195</v>
      </c>
      <c r="E35" s="296">
        <f>'June 2025 - Prodn &amp; Sales'!E40</f>
        <v>17222</v>
      </c>
      <c r="F35" s="296">
        <f>'June 2025 - Prodn &amp; Sales'!F40</f>
        <v>16480</v>
      </c>
      <c r="G35" s="296">
        <f>'June 2025 - Prodn &amp; Sales'!G40</f>
        <v>380</v>
      </c>
      <c r="H35" s="296">
        <f>'June 2025 - Prodn &amp; Sales'!H40</f>
        <v>16860</v>
      </c>
      <c r="I35" s="296">
        <f>'June 2025 - Prodn &amp; Sales'!I40</f>
        <v>569298.17999999993</v>
      </c>
      <c r="J35" s="296">
        <f>'June 2025 - Prodn &amp; Sales'!J40</f>
        <v>1310.3399999999999</v>
      </c>
      <c r="K35" s="296">
        <f>'June 2025 - Prodn &amp; Sales'!K40</f>
        <v>570608.5199999999</v>
      </c>
      <c r="L35" s="634"/>
      <c r="M35" s="297">
        <f>I35/F35</f>
        <v>34.544792475728151</v>
      </c>
      <c r="N35" s="298">
        <f t="shared" si="8"/>
        <v>0.26730359104145074</v>
      </c>
      <c r="O35" s="299">
        <f>'June 2025 - Prodn &amp; Sales'!O40</f>
        <v>2741.1692307692306</v>
      </c>
      <c r="P35" s="300">
        <f>C35/O35*12</f>
        <v>76.246295797413794</v>
      </c>
      <c r="Q35" s="633"/>
      <c r="R35" s="479"/>
    </row>
    <row r="36" spans="2:18" ht="15" customHeight="1" thickBot="1" x14ac:dyDescent="0.25">
      <c r="B36" s="301" t="s">
        <v>61</v>
      </c>
      <c r="C36" s="302">
        <f>'June 2025 - Prodn &amp; Sales'!C52</f>
        <v>17280</v>
      </c>
      <c r="D36" s="302">
        <f>'June 2025 - Prodn &amp; Sales'!D52</f>
        <v>212</v>
      </c>
      <c r="E36" s="302">
        <f>'June 2025 - Prodn &amp; Sales'!E52</f>
        <v>17068</v>
      </c>
      <c r="F36" s="302">
        <f>'June 2025 - Prodn &amp; Sales'!F52</f>
        <v>4200</v>
      </c>
      <c r="G36" s="302">
        <f>'June 2025 - Prodn &amp; Sales'!G52</f>
        <v>160</v>
      </c>
      <c r="H36" s="302">
        <f>'June 2025 - Prodn &amp; Sales'!H52</f>
        <v>4360</v>
      </c>
      <c r="I36" s="302">
        <f>'June 2025 - Prodn &amp; Sales'!I52</f>
        <v>180059.23</v>
      </c>
      <c r="J36" s="302">
        <f>'June 2025 - Prodn &amp; Sales'!J52</f>
        <v>551.73</v>
      </c>
      <c r="K36" s="302">
        <f>'June 2025 - Prodn &amp; Sales'!K52</f>
        <v>180610.96000000002</v>
      </c>
      <c r="L36" s="627"/>
      <c r="M36" s="290">
        <f>I36/F36</f>
        <v>42.871245238095241</v>
      </c>
      <c r="N36" s="285">
        <f t="shared" si="8"/>
        <v>0.33173271521643438</v>
      </c>
      <c r="O36" s="257">
        <f>'June 2025 - Prodn &amp; Sales'!O52</f>
        <v>2481.2307692307695</v>
      </c>
      <c r="P36" s="291">
        <f>C36/O36*12</f>
        <v>83.571428571428555</v>
      </c>
      <c r="Q36" s="629"/>
      <c r="R36" s="479"/>
    </row>
    <row r="37" spans="2:18" ht="15" customHeight="1" x14ac:dyDescent="0.2">
      <c r="B37" s="316" t="s">
        <v>51</v>
      </c>
      <c r="C37" s="304">
        <f>'June 2025 - Prodn &amp; Sales'!C39</f>
        <v>58731</v>
      </c>
      <c r="D37" s="304">
        <f>'June 2025 - Prodn &amp; Sales'!D39</f>
        <v>293</v>
      </c>
      <c r="E37" s="304">
        <f>'June 2025 - Prodn &amp; Sales'!E39</f>
        <v>58438</v>
      </c>
      <c r="F37" s="304">
        <f>'June 2025 - Prodn &amp; Sales'!F39</f>
        <v>53050</v>
      </c>
      <c r="G37" s="304">
        <f>'June 2025 - Prodn &amp; Sales'!G39</f>
        <v>2260</v>
      </c>
      <c r="H37" s="304">
        <f>'June 2025 - Prodn &amp; Sales'!H39</f>
        <v>55310</v>
      </c>
      <c r="I37" s="304">
        <f>'June 2025 - Prodn &amp; Sales'!I39</f>
        <v>1823312.06</v>
      </c>
      <c r="J37" s="304">
        <f>'June 2025 - Prodn &amp; Sales'!J39</f>
        <v>8155.2</v>
      </c>
      <c r="K37" s="304">
        <f>'June 2025 - Prodn &amp; Sales'!K39</f>
        <v>1831467.26</v>
      </c>
      <c r="L37" s="626">
        <f>(F37+F38)/(E37+E38)</f>
        <v>0.86950675057823679</v>
      </c>
      <c r="M37" s="279">
        <f t="shared" si="7"/>
        <v>34.369690103675779</v>
      </c>
      <c r="N37" s="231">
        <f t="shared" si="8"/>
        <v>0.26594866922849258</v>
      </c>
      <c r="O37" s="281">
        <f>'June 2025 - Prodn &amp; Sales'!O39</f>
        <v>8436.1846153846163</v>
      </c>
      <c r="P37" s="229">
        <f t="shared" si="9"/>
        <v>83.541557247899149</v>
      </c>
      <c r="Q37" s="628">
        <f>(K37+K38)*12/(O37+O38)/129.2343</f>
        <v>19.495550432716463</v>
      </c>
      <c r="R37" s="479"/>
    </row>
    <row r="38" spans="2:18" ht="15" customHeight="1" thickBot="1" x14ac:dyDescent="0.25">
      <c r="B38" s="400" t="s">
        <v>42</v>
      </c>
      <c r="C38" s="283">
        <f>'June 2025 - Prodn &amp; Sales'!C43</f>
        <v>16112</v>
      </c>
      <c r="D38" s="283">
        <f>'June 2025 - Prodn &amp; Sales'!D43</f>
        <v>186</v>
      </c>
      <c r="E38" s="283">
        <f>'June 2025 - Prodn &amp; Sales'!E43</f>
        <v>15926</v>
      </c>
      <c r="F38" s="283">
        <f>'June 2025 - Prodn &amp; Sales'!F43</f>
        <v>11610</v>
      </c>
      <c r="G38" s="283">
        <f>'June 2025 - Prodn &amp; Sales'!G43</f>
        <v>160</v>
      </c>
      <c r="H38" s="283">
        <f>'June 2025 - Prodn &amp; Sales'!H43</f>
        <v>11770</v>
      </c>
      <c r="I38" s="283">
        <f>'June 2025 - Prodn &amp; Sales'!I43</f>
        <v>434130.03</v>
      </c>
      <c r="J38" s="283">
        <f>'June 2025 - Prodn &amp; Sales'!J43</f>
        <v>551.73</v>
      </c>
      <c r="K38" s="283">
        <f>'June 2025 - Prodn &amp; Sales'!K43</f>
        <v>434681.76</v>
      </c>
      <c r="L38" s="627"/>
      <c r="M38" s="284">
        <f t="shared" si="7"/>
        <v>37.392767441860471</v>
      </c>
      <c r="N38" s="237">
        <f t="shared" si="8"/>
        <v>0.28934089047459127</v>
      </c>
      <c r="O38" s="257">
        <f>'June 2025 - Prodn &amp; Sales'!O43</f>
        <v>2357.1692307692306</v>
      </c>
      <c r="P38" s="242">
        <f t="shared" si="9"/>
        <v>82.023809523809518</v>
      </c>
      <c r="Q38" s="629"/>
      <c r="R38" s="479"/>
    </row>
    <row r="39" spans="2:18" ht="15" customHeight="1" x14ac:dyDescent="0.2">
      <c r="B39" s="311" t="s">
        <v>66</v>
      </c>
      <c r="C39" s="304">
        <f>'June 2025 - Prodn &amp; Sales'!C50</f>
        <v>11054</v>
      </c>
      <c r="D39" s="304">
        <f>'June 2025 - Prodn &amp; Sales'!D50</f>
        <v>146</v>
      </c>
      <c r="E39" s="304">
        <f>'June 2025 - Prodn &amp; Sales'!E50</f>
        <v>10908</v>
      </c>
      <c r="F39" s="304">
        <f>'June 2025 - Prodn &amp; Sales'!F50</f>
        <v>8710</v>
      </c>
      <c r="G39" s="304">
        <f>'June 2025 - Prodn &amp; Sales'!G50</f>
        <v>560</v>
      </c>
      <c r="H39" s="304">
        <f>'June 2025 - Prodn &amp; Sales'!H50</f>
        <v>9270</v>
      </c>
      <c r="I39" s="304">
        <f>'June 2025 - Prodn &amp; Sales'!I50</f>
        <v>302640.32</v>
      </c>
      <c r="J39" s="304">
        <f>'June 2025 - Prodn &amp; Sales'!J50</f>
        <v>1931.04</v>
      </c>
      <c r="K39" s="304">
        <f>'June 2025 - Prodn &amp; Sales'!K50</f>
        <v>304571.36</v>
      </c>
      <c r="L39" s="626">
        <f>(F39+F40)/(E39+E40)</f>
        <v>0.85302511921433766</v>
      </c>
      <c r="M39" s="279">
        <f>I39/F39</f>
        <v>34.746305396096439</v>
      </c>
      <c r="N39" s="231">
        <f t="shared" si="8"/>
        <v>0.26886287460911262</v>
      </c>
      <c r="O39" s="281">
        <f>'June 2025 - Prodn &amp; Sales'!O50</f>
        <v>2605.292307692308</v>
      </c>
      <c r="P39" s="229">
        <f>C39/O39*12</f>
        <v>50.91482426303854</v>
      </c>
      <c r="Q39" s="628">
        <f>(K39+K40)*12/(O39+O40)/129.2343</f>
        <v>19.35497773635166</v>
      </c>
      <c r="R39" s="479"/>
    </row>
    <row r="40" spans="2:18" ht="15" customHeight="1" thickBot="1" x14ac:dyDescent="0.25">
      <c r="B40" s="312" t="s">
        <v>39</v>
      </c>
      <c r="C40" s="283">
        <f>'June 2025 - Prodn &amp; Sales'!C24</f>
        <v>45738</v>
      </c>
      <c r="D40" s="283">
        <f>'June 2025 - Prodn &amp; Sales'!D24</f>
        <v>235</v>
      </c>
      <c r="E40" s="283">
        <f>'June 2025 - Prodn &amp; Sales'!E24</f>
        <v>45503</v>
      </c>
      <c r="F40" s="283">
        <f>'June 2025 - Prodn &amp; Sales'!F24</f>
        <v>39410</v>
      </c>
      <c r="G40" s="283">
        <f>'June 2025 - Prodn &amp; Sales'!G24</f>
        <v>920</v>
      </c>
      <c r="H40" s="283">
        <f>'June 2025 - Prodn &amp; Sales'!H24</f>
        <v>40330</v>
      </c>
      <c r="I40" s="283">
        <f>'June 2025 - Prodn &amp; Sales'!I24</f>
        <v>1386077.89</v>
      </c>
      <c r="J40" s="283">
        <f>'June 2025 - Prodn &amp; Sales'!J24</f>
        <v>3172.43</v>
      </c>
      <c r="K40" s="283">
        <f>'June 2025 - Prodn &amp; Sales'!K24</f>
        <v>1389250.3199999998</v>
      </c>
      <c r="L40" s="627"/>
      <c r="M40" s="284">
        <f>I40/F40</f>
        <v>35.170715300685103</v>
      </c>
      <c r="N40" s="237">
        <f t="shared" si="8"/>
        <v>0.27214690914629558</v>
      </c>
      <c r="O40" s="257">
        <f>'June 2025 - Prodn &amp; Sales'!O24</f>
        <v>5520.7384615384617</v>
      </c>
      <c r="P40" s="242">
        <f>C40/O40*12</f>
        <v>99.417134831460672</v>
      </c>
      <c r="Q40" s="629"/>
      <c r="R40" s="479"/>
    </row>
    <row r="41" spans="2:18" ht="15" customHeight="1" x14ac:dyDescent="0.2">
      <c r="B41" s="308" t="s">
        <v>55</v>
      </c>
      <c r="C41" s="309">
        <f>'June 2025 - Prodn &amp; Sales'!C38</f>
        <v>34783</v>
      </c>
      <c r="D41" s="309">
        <f>'June 2025 - Prodn &amp; Sales'!D38</f>
        <v>239</v>
      </c>
      <c r="E41" s="309">
        <f>'June 2025 - Prodn &amp; Sales'!E38</f>
        <v>34544</v>
      </c>
      <c r="F41" s="309">
        <f>'June 2025 - Prodn &amp; Sales'!F38</f>
        <v>31210</v>
      </c>
      <c r="G41" s="309">
        <f>'June 2025 - Prodn &amp; Sales'!G38</f>
        <v>280</v>
      </c>
      <c r="H41" s="309">
        <f>'June 2025 - Prodn &amp; Sales'!H38</f>
        <v>31490</v>
      </c>
      <c r="I41" s="309">
        <f>'June 2025 - Prodn &amp; Sales'!I38</f>
        <v>1134868.08</v>
      </c>
      <c r="J41" s="309">
        <f>'June 2025 - Prodn &amp; Sales'!J38</f>
        <v>965.53</v>
      </c>
      <c r="K41" s="309">
        <f>'June 2025 - Prodn &amp; Sales'!K38</f>
        <v>1135833.6100000001</v>
      </c>
      <c r="L41" s="626">
        <f>(F41+F42)/(E41+E42)</f>
        <v>0.82245985176034586</v>
      </c>
      <c r="M41" s="287">
        <f t="shared" si="7"/>
        <v>36.362322332585713</v>
      </c>
      <c r="N41" s="231">
        <f t="shared" si="8"/>
        <v>0.28136742592783581</v>
      </c>
      <c r="O41" s="281">
        <f>'June 2025 - Prodn &amp; Sales'!O38</f>
        <v>5086.5230769230766</v>
      </c>
      <c r="P41" s="288">
        <f t="shared" si="9"/>
        <v>82.059197154471548</v>
      </c>
      <c r="Q41" s="628">
        <f>(K41+K42)*12/(O41+O42)/129.2343</f>
        <v>19.241572518653218</v>
      </c>
      <c r="R41" s="479"/>
    </row>
    <row r="42" spans="2:18" ht="15" customHeight="1" thickBot="1" x14ac:dyDescent="0.25">
      <c r="B42" s="310" t="s">
        <v>63</v>
      </c>
      <c r="C42" s="283">
        <f>'June 2025 - Prodn &amp; Sales'!C45</f>
        <v>17409</v>
      </c>
      <c r="D42" s="283">
        <f>'June 2025 - Prodn &amp; Sales'!D45</f>
        <v>145</v>
      </c>
      <c r="E42" s="283">
        <f>'June 2025 - Prodn &amp; Sales'!E45</f>
        <v>17264</v>
      </c>
      <c r="F42" s="283">
        <f>'June 2025 - Prodn &amp; Sales'!F45</f>
        <v>11400</v>
      </c>
      <c r="G42" s="283">
        <f>'June 2025 - Prodn &amp; Sales'!G45</f>
        <v>1460</v>
      </c>
      <c r="H42" s="283">
        <f>'June 2025 - Prodn &amp; Sales'!H45</f>
        <v>12860</v>
      </c>
      <c r="I42" s="283">
        <f>'June 2025 - Prodn &amp; Sales'!I45</f>
        <v>427341.5</v>
      </c>
      <c r="J42" s="283">
        <f>'June 2025 - Prodn &amp; Sales'!J45</f>
        <v>5034.49</v>
      </c>
      <c r="K42" s="283">
        <f>'June 2025 - Prodn &amp; Sales'!K45</f>
        <v>432375.99</v>
      </c>
      <c r="L42" s="627"/>
      <c r="M42" s="290">
        <f t="shared" si="7"/>
        <v>37.486096491228068</v>
      </c>
      <c r="N42" s="237">
        <f t="shared" si="8"/>
        <v>0.29006305981638059</v>
      </c>
      <c r="O42" s="257">
        <f>'June 2025 - Prodn &amp; Sales'!O45</f>
        <v>2481.2307692307691</v>
      </c>
      <c r="P42" s="291">
        <f t="shared" si="9"/>
        <v>84.1953125</v>
      </c>
      <c r="Q42" s="629"/>
      <c r="R42" s="479"/>
    </row>
    <row r="43" spans="2:18" ht="15" customHeight="1" x14ac:dyDescent="0.2">
      <c r="B43" s="322" t="s">
        <v>54</v>
      </c>
      <c r="C43" s="278">
        <f>'June 2025 - Prodn &amp; Sales'!C42</f>
        <v>28721</v>
      </c>
      <c r="D43" s="278">
        <f>'June 2025 - Prodn &amp; Sales'!D42</f>
        <v>248</v>
      </c>
      <c r="E43" s="278">
        <f>'June 2025 - Prodn &amp; Sales'!E42</f>
        <v>28473</v>
      </c>
      <c r="F43" s="278">
        <f>'June 2025 - Prodn &amp; Sales'!F42</f>
        <v>23665</v>
      </c>
      <c r="G43" s="278">
        <f>'June 2025 - Prodn &amp; Sales'!G42</f>
        <v>820</v>
      </c>
      <c r="H43" s="278">
        <f>'June 2025 - Prodn &amp; Sales'!H42</f>
        <v>24485</v>
      </c>
      <c r="I43" s="278">
        <f>'June 2025 - Prodn &amp; Sales'!I42</f>
        <v>862802.17</v>
      </c>
      <c r="J43" s="278">
        <f>'June 2025 - Prodn &amp; Sales'!J42</f>
        <v>2827.59</v>
      </c>
      <c r="K43" s="278">
        <f>'June 2025 - Prodn &amp; Sales'!K42</f>
        <v>865629.76</v>
      </c>
      <c r="L43" s="626">
        <f>(F43+F44)/(E43+E44)</f>
        <v>0.82957655772017391</v>
      </c>
      <c r="M43" s="287">
        <f t="shared" si="7"/>
        <v>36.458997253327702</v>
      </c>
      <c r="N43" s="231">
        <f t="shared" si="8"/>
        <v>0.28211548523362379</v>
      </c>
      <c r="O43" s="281">
        <f>'June 2025 - Prodn &amp; Sales'!O42</f>
        <v>4652.3076923076915</v>
      </c>
      <c r="P43" s="288">
        <f t="shared" si="9"/>
        <v>74.08194444444446</v>
      </c>
      <c r="Q43" s="628">
        <f>(K43+K44)*12/(O43+O44)/129.2343</f>
        <v>18.856851475663781</v>
      </c>
      <c r="R43" s="479"/>
    </row>
    <row r="44" spans="2:18" ht="15" customHeight="1" thickBot="1" x14ac:dyDescent="0.25">
      <c r="B44" s="323" t="s">
        <v>60</v>
      </c>
      <c r="C44" s="283">
        <f>'June 2025 - Prodn &amp; Sales'!C35</f>
        <v>21421</v>
      </c>
      <c r="D44" s="283">
        <f>'June 2025 - Prodn &amp; Sales'!D35</f>
        <v>206</v>
      </c>
      <c r="E44" s="283">
        <f>'June 2025 - Prodn &amp; Sales'!E35</f>
        <v>21215</v>
      </c>
      <c r="F44" s="283">
        <f>'June 2025 - Prodn &amp; Sales'!F35</f>
        <v>17555</v>
      </c>
      <c r="G44" s="283">
        <f>'June 2025 - Prodn &amp; Sales'!G35</f>
        <v>720</v>
      </c>
      <c r="H44" s="283">
        <f>'June 2025 - Prodn &amp; Sales'!H35</f>
        <v>18275</v>
      </c>
      <c r="I44" s="283">
        <f>'June 2025 - Prodn &amp; Sales'!I35</f>
        <v>605756.02</v>
      </c>
      <c r="J44" s="283">
        <f>'June 2025 - Prodn &amp; Sales'!J35</f>
        <v>2482.79</v>
      </c>
      <c r="K44" s="283">
        <f>'June 2025 - Prodn &amp; Sales'!K35</f>
        <v>608238.81000000006</v>
      </c>
      <c r="L44" s="627"/>
      <c r="M44" s="290">
        <f t="shared" si="7"/>
        <v>34.506181714611223</v>
      </c>
      <c r="N44" s="237">
        <f t="shared" si="8"/>
        <v>0.26700482545741516</v>
      </c>
      <c r="O44" s="257">
        <f>'June 2025 - Prodn &amp; Sales'!O35</f>
        <v>2605.292307692308</v>
      </c>
      <c r="P44" s="291">
        <f t="shared" si="9"/>
        <v>98.665320294784578</v>
      </c>
      <c r="Q44" s="629"/>
      <c r="R44" s="479"/>
    </row>
    <row r="45" spans="2:18" ht="15" customHeight="1" x14ac:dyDescent="0.2">
      <c r="B45" s="313" t="s">
        <v>48</v>
      </c>
      <c r="C45" s="278">
        <f>'June 2025 - Prodn &amp; Sales'!C44</f>
        <v>8964</v>
      </c>
      <c r="D45" s="278">
        <f>'June 2025 - Prodn &amp; Sales'!D44</f>
        <v>181</v>
      </c>
      <c r="E45" s="278">
        <f>'June 2025 - Prodn &amp; Sales'!E44</f>
        <v>8783</v>
      </c>
      <c r="F45" s="278">
        <f>'June 2025 - Prodn &amp; Sales'!F44</f>
        <v>8520</v>
      </c>
      <c r="G45" s="278">
        <f>'June 2025 - Prodn &amp; Sales'!G44</f>
        <v>60</v>
      </c>
      <c r="H45" s="278">
        <f>'June 2025 - Prodn &amp; Sales'!H44</f>
        <v>8580</v>
      </c>
      <c r="I45" s="278">
        <f>'June 2025 - Prodn &amp; Sales'!I44</f>
        <v>310481.91000000003</v>
      </c>
      <c r="J45" s="278">
        <f>'June 2025 - Prodn &amp; Sales'!J44</f>
        <v>206.91</v>
      </c>
      <c r="K45" s="278">
        <f>'June 2025 - Prodn &amp; Sales'!K44</f>
        <v>310688.82</v>
      </c>
      <c r="L45" s="626">
        <f>(F45+F46)/(E45+E46)</f>
        <v>0.94870115695263046</v>
      </c>
      <c r="M45" s="287">
        <f t="shared" si="7"/>
        <v>36.44153873239437</v>
      </c>
      <c r="N45" s="231">
        <f t="shared" si="8"/>
        <v>0.28198039322683199</v>
      </c>
      <c r="O45" s="281">
        <f>'June 2025 - Prodn &amp; Sales'!O44</f>
        <v>1736.8615384615382</v>
      </c>
      <c r="P45" s="288">
        <f t="shared" si="9"/>
        <v>61.932397959183682</v>
      </c>
      <c r="Q45" s="628">
        <f>(K45+K46)*12/(O45+O46)/129.2343</f>
        <v>17.13191384404</v>
      </c>
      <c r="R45" s="479"/>
    </row>
    <row r="46" spans="2:18" ht="15" customHeight="1" thickBot="1" x14ac:dyDescent="0.25">
      <c r="B46" s="314" t="s">
        <v>56</v>
      </c>
      <c r="C46" s="315">
        <f>'June 2025 - Prodn &amp; Sales'!C41</f>
        <v>14362</v>
      </c>
      <c r="D46" s="315">
        <f>'June 2025 - Prodn &amp; Sales'!D41</f>
        <v>240</v>
      </c>
      <c r="E46" s="315">
        <f>'June 2025 - Prodn &amp; Sales'!E41</f>
        <v>14122</v>
      </c>
      <c r="F46" s="315">
        <f>'June 2025 - Prodn &amp; Sales'!F41</f>
        <v>13210</v>
      </c>
      <c r="G46" s="315">
        <f>'June 2025 - Prodn &amp; Sales'!G41</f>
        <v>40</v>
      </c>
      <c r="H46" s="315">
        <f>'June 2025 - Prodn &amp; Sales'!H41</f>
        <v>13250</v>
      </c>
      <c r="I46" s="315">
        <f>'June 2025 - Prodn &amp; Sales'!I41</f>
        <v>467422.13</v>
      </c>
      <c r="J46" s="315">
        <f>'June 2025 - Prodn &amp; Sales'!J41</f>
        <v>137.94</v>
      </c>
      <c r="K46" s="315">
        <f>'June 2025 - Prodn &amp; Sales'!K41</f>
        <v>467560.07</v>
      </c>
      <c r="L46" s="627"/>
      <c r="M46" s="290">
        <f t="shared" si="7"/>
        <v>35.383961392884181</v>
      </c>
      <c r="N46" s="237">
        <f t="shared" si="8"/>
        <v>0.27379698263451874</v>
      </c>
      <c r="O46" s="257">
        <f>'June 2025 - Prodn &amp; Sales'!O41</f>
        <v>2481.2307692307691</v>
      </c>
      <c r="P46" s="291">
        <f t="shared" si="9"/>
        <v>69.45907738095238</v>
      </c>
      <c r="Q46" s="629"/>
      <c r="R46" s="479"/>
    </row>
    <row r="47" spans="2:18" ht="15" customHeight="1" x14ac:dyDescent="0.2">
      <c r="B47" s="318" t="s">
        <v>58</v>
      </c>
      <c r="C47" s="309">
        <f>'June 2025 - Prodn &amp; Sales'!C34</f>
        <v>35235</v>
      </c>
      <c r="D47" s="309">
        <f>'June 2025 - Prodn &amp; Sales'!D34</f>
        <v>283</v>
      </c>
      <c r="E47" s="309">
        <f>'June 2025 - Prodn &amp; Sales'!E34</f>
        <v>34952</v>
      </c>
      <c r="F47" s="309">
        <f>'June 2025 - Prodn &amp; Sales'!F34</f>
        <v>48540</v>
      </c>
      <c r="G47" s="309">
        <f>'June 2025 - Prodn &amp; Sales'!G34</f>
        <v>460</v>
      </c>
      <c r="H47" s="309">
        <f>'June 2025 - Prodn &amp; Sales'!H34</f>
        <v>49000</v>
      </c>
      <c r="I47" s="309">
        <f>'June 2025 - Prodn &amp; Sales'!I34</f>
        <v>1865660.6600000001</v>
      </c>
      <c r="J47" s="309">
        <f>'June 2025 - Prodn &amp; Sales'!J34</f>
        <v>1689.66</v>
      </c>
      <c r="K47" s="309">
        <f>'June 2025 - Prodn &amp; Sales'!K34</f>
        <v>1867350.32</v>
      </c>
      <c r="L47" s="630">
        <f>(F47+F48+F49+F50)/(E47+E48+E49+E50)</f>
        <v>0.89908046216952475</v>
      </c>
      <c r="M47" s="287">
        <f>I47/F47</f>
        <v>38.435530696332926</v>
      </c>
      <c r="N47" s="280">
        <f t="shared" si="8"/>
        <v>0.29740967139786362</v>
      </c>
      <c r="O47" s="281">
        <f>'June 2025 - Prodn &amp; Sales'!O34</f>
        <v>7653</v>
      </c>
      <c r="P47" s="288">
        <f>C47/O47*12</f>
        <v>55.24892199137593</v>
      </c>
      <c r="Q47" s="628">
        <f>(K47+K48+K49+K50)*12/(O47+O48+O49+O50)/129.2343</f>
        <v>16.921838705492487</v>
      </c>
      <c r="R47" s="479"/>
    </row>
    <row r="48" spans="2:18" ht="15" customHeight="1" x14ac:dyDescent="0.2">
      <c r="B48" s="319" t="s">
        <v>47</v>
      </c>
      <c r="C48" s="320">
        <f>'June 2025 - Prodn &amp; Sales'!C49</f>
        <v>34144</v>
      </c>
      <c r="D48" s="320">
        <f>'June 2025 - Prodn &amp; Sales'!D49</f>
        <v>310</v>
      </c>
      <c r="E48" s="320">
        <f>'June 2025 - Prodn &amp; Sales'!E49</f>
        <v>33834</v>
      </c>
      <c r="F48" s="320">
        <f>'June 2025 - Prodn &amp; Sales'!F49</f>
        <v>20150</v>
      </c>
      <c r="G48" s="320">
        <f>'June 2025 - Prodn &amp; Sales'!G49</f>
        <v>3740</v>
      </c>
      <c r="H48" s="320">
        <f>'June 2025 - Prodn &amp; Sales'!H49</f>
        <v>23890</v>
      </c>
      <c r="I48" s="320">
        <f>'June 2025 - Prodn &amp; Sales'!I49</f>
        <v>701422.05</v>
      </c>
      <c r="J48" s="320">
        <f>'June 2025 - Prodn &amp; Sales'!J49</f>
        <v>12896.54</v>
      </c>
      <c r="K48" s="320">
        <f>'June 2025 - Prodn &amp; Sales'!K49</f>
        <v>714318.59000000008</v>
      </c>
      <c r="L48" s="631"/>
      <c r="M48" s="297">
        <f>I48/F48</f>
        <v>34.810027295285359</v>
      </c>
      <c r="N48" s="298">
        <f t="shared" si="8"/>
        <v>0.26935594726233952</v>
      </c>
      <c r="O48" s="299">
        <f>'June 2025 - Prodn &amp; Sales'!O49</f>
        <v>4962.461538461539</v>
      </c>
      <c r="P48" s="300">
        <f>C48/O48*12</f>
        <v>82.56547619047619</v>
      </c>
      <c r="Q48" s="633"/>
      <c r="R48" s="479"/>
    </row>
    <row r="49" spans="1:18" ht="15" customHeight="1" x14ac:dyDescent="0.2">
      <c r="B49" s="319" t="s">
        <v>64</v>
      </c>
      <c r="C49" s="296">
        <f>'June 2025 - Prodn &amp; Sales'!C47</f>
        <v>15895</v>
      </c>
      <c r="D49" s="296">
        <f>'June 2025 - Prodn &amp; Sales'!D47</f>
        <v>292</v>
      </c>
      <c r="E49" s="296">
        <f>'June 2025 - Prodn &amp; Sales'!E47</f>
        <v>15603</v>
      </c>
      <c r="F49" s="296">
        <f>'June 2025 - Prodn &amp; Sales'!F47</f>
        <v>11420</v>
      </c>
      <c r="G49" s="296">
        <f>'June 2025 - Prodn &amp; Sales'!G47</f>
        <v>1280</v>
      </c>
      <c r="H49" s="296">
        <f>'June 2025 - Prodn &amp; Sales'!H47</f>
        <v>12700</v>
      </c>
      <c r="I49" s="296">
        <f>'June 2025 - Prodn &amp; Sales'!I47</f>
        <v>390377.48000000004</v>
      </c>
      <c r="J49" s="296">
        <f>'June 2025 - Prodn &amp; Sales'!J47</f>
        <v>4413.8100000000004</v>
      </c>
      <c r="K49" s="296">
        <f>'June 2025 - Prodn &amp; Sales'!K47</f>
        <v>394791.29000000004</v>
      </c>
      <c r="L49" s="631"/>
      <c r="M49" s="297">
        <f>I49/F49</f>
        <v>34.183667250437828</v>
      </c>
      <c r="N49" s="298">
        <f t="shared" si="8"/>
        <v>0.26450924600077402</v>
      </c>
      <c r="O49" s="299">
        <f>'June 2025 - Prodn &amp; Sales'!O47</f>
        <v>2504</v>
      </c>
      <c r="P49" s="300">
        <f>C49/O49*12</f>
        <v>76.17412140575081</v>
      </c>
      <c r="Q49" s="633"/>
      <c r="R49" s="479"/>
    </row>
    <row r="50" spans="1:18" ht="15" customHeight="1" thickBot="1" x14ac:dyDescent="0.25">
      <c r="B50" s="321" t="s">
        <v>57</v>
      </c>
      <c r="C50" s="315">
        <f>'June 2025 - Prodn &amp; Sales'!C51</f>
        <v>11668</v>
      </c>
      <c r="D50" s="315">
        <f>'June 2025 - Prodn &amp; Sales'!D51</f>
        <v>248</v>
      </c>
      <c r="E50" s="315">
        <f>'June 2025 - Prodn &amp; Sales'!E51</f>
        <v>11420</v>
      </c>
      <c r="F50" s="315">
        <f>'June 2025 - Prodn &amp; Sales'!F51</f>
        <v>6030</v>
      </c>
      <c r="G50" s="315">
        <f>'June 2025 - Prodn &amp; Sales'!G51</f>
        <v>900</v>
      </c>
      <c r="H50" s="315">
        <f>'June 2025 - Prodn &amp; Sales'!H51</f>
        <v>6930</v>
      </c>
      <c r="I50" s="315">
        <f>'June 2025 - Prodn &amp; Sales'!I51</f>
        <v>227989.41999999998</v>
      </c>
      <c r="J50" s="315">
        <f>'June 2025 - Prodn &amp; Sales'!J51</f>
        <v>3103.45</v>
      </c>
      <c r="K50" s="315">
        <f>'June 2025 - Prodn &amp; Sales'!K51</f>
        <v>231092.87</v>
      </c>
      <c r="L50" s="632"/>
      <c r="M50" s="290">
        <f>I50/F50</f>
        <v>37.80919071310116</v>
      </c>
      <c r="N50" s="285">
        <f t="shared" si="8"/>
        <v>0.29256312537075035</v>
      </c>
      <c r="O50" s="257">
        <f>'June 2025 - Prodn &amp; Sales'!O51</f>
        <v>2481.2307692307691</v>
      </c>
      <c r="P50" s="291">
        <f>C50/O50*12</f>
        <v>56.430059523809526</v>
      </c>
      <c r="Q50" s="629"/>
      <c r="R50" s="479"/>
    </row>
    <row r="51" spans="1:18" ht="15" customHeight="1" x14ac:dyDescent="0.2">
      <c r="B51" s="350" t="s">
        <v>40</v>
      </c>
      <c r="C51" s="296">
        <f>'June 2025 - Prodn &amp; Sales'!C46</f>
        <v>12849</v>
      </c>
      <c r="D51" s="296">
        <f>'June 2025 - Prodn &amp; Sales'!D46</f>
        <v>196</v>
      </c>
      <c r="E51" s="296">
        <f>'June 2025 - Prodn &amp; Sales'!E46</f>
        <v>12653</v>
      </c>
      <c r="F51" s="296">
        <f>'June 2025 - Prodn &amp; Sales'!F46</f>
        <v>11640</v>
      </c>
      <c r="G51" s="296">
        <f>'June 2025 - Prodn &amp; Sales'!G46</f>
        <v>140</v>
      </c>
      <c r="H51" s="296">
        <f>'June 2025 - Prodn &amp; Sales'!H46</f>
        <v>11780</v>
      </c>
      <c r="I51" s="296">
        <f>'June 2025 - Prodn &amp; Sales'!I46</f>
        <v>430548.91000000003</v>
      </c>
      <c r="J51" s="296">
        <f>'June 2025 - Prodn &amp; Sales'!J46</f>
        <v>482.77</v>
      </c>
      <c r="K51" s="296">
        <f>'June 2025 - Prodn &amp; Sales'!K46</f>
        <v>431031.68000000005</v>
      </c>
      <c r="L51" s="324">
        <f>F51/E51</f>
        <v>0.9199399351932348</v>
      </c>
      <c r="M51" s="347">
        <f t="shared" si="7"/>
        <v>36.988737972508595</v>
      </c>
      <c r="N51" s="348">
        <f t="shared" si="8"/>
        <v>0.28621455737763579</v>
      </c>
      <c r="O51" s="20">
        <f>'June 2025 - Prodn &amp; Sales'!O46</f>
        <v>2481.2307692307691</v>
      </c>
      <c r="P51" s="20">
        <f t="shared" si="9"/>
        <v>62.141741071428584</v>
      </c>
      <c r="Q51" s="401">
        <f>(K51)*12/(O51)/129.2343</f>
        <v>16.130412893849538</v>
      </c>
      <c r="R51" s="479"/>
    </row>
    <row r="52" spans="1:18" ht="15" customHeight="1" x14ac:dyDescent="0.2">
      <c r="B52" s="343" t="s">
        <v>38</v>
      </c>
      <c r="C52" s="344">
        <f>'June 2025 - Prodn &amp; Sales'!C48</f>
        <v>14482</v>
      </c>
      <c r="D52" s="344">
        <f>'June 2025 - Prodn &amp; Sales'!D48</f>
        <v>237</v>
      </c>
      <c r="E52" s="344">
        <f>'June 2025 - Prodn &amp; Sales'!E48</f>
        <v>14245</v>
      </c>
      <c r="F52" s="344">
        <f>'June 2025 - Prodn &amp; Sales'!F48</f>
        <v>12980</v>
      </c>
      <c r="G52" s="344">
        <f>'June 2025 - Prodn &amp; Sales'!G48</f>
        <v>380</v>
      </c>
      <c r="H52" s="344">
        <f>'June 2025 - Prodn &amp; Sales'!H48</f>
        <v>13360</v>
      </c>
      <c r="I52" s="344">
        <f>'June 2025 - Prodn &amp; Sales'!I48</f>
        <v>475438.12</v>
      </c>
      <c r="J52" s="344">
        <f>'June 2025 - Prodn &amp; Sales'!J48</f>
        <v>1310.3699999999999</v>
      </c>
      <c r="K52" s="344">
        <f>'June 2025 - Prodn &amp; Sales'!K48</f>
        <v>476748.49</v>
      </c>
      <c r="L52" s="324">
        <f>F52/E52</f>
        <v>0.91119691119691115</v>
      </c>
      <c r="M52" s="345">
        <f>I52/F52</f>
        <v>36.628514637904466</v>
      </c>
      <c r="N52" s="346">
        <f t="shared" si="8"/>
        <v>0.28342719106231451</v>
      </c>
      <c r="O52" s="250">
        <f>'June 2025 - Prodn &amp; Sales'!O48</f>
        <v>3287.6307692307691</v>
      </c>
      <c r="P52" s="250">
        <f>C52/O52*12</f>
        <v>52.859950584007194</v>
      </c>
      <c r="Q52" s="325">
        <f>(K52*12/O52)/129.2343</f>
        <v>13.46510489686319</v>
      </c>
      <c r="R52" s="479"/>
    </row>
    <row r="53" spans="1:18" ht="15" customHeight="1" thickBot="1" x14ac:dyDescent="0.25">
      <c r="B53" s="21" t="s">
        <v>35</v>
      </c>
      <c r="C53" s="39">
        <f>SUM(C24:C52)</f>
        <v>739032</v>
      </c>
      <c r="D53" s="39">
        <f t="shared" ref="D53:G53" si="10">SUM(D24:D52)</f>
        <v>6606</v>
      </c>
      <c r="E53" s="39">
        <f t="shared" si="10"/>
        <v>732426</v>
      </c>
      <c r="F53" s="39">
        <f t="shared" si="10"/>
        <v>677170</v>
      </c>
      <c r="G53" s="39">
        <f t="shared" si="10"/>
        <v>22420</v>
      </c>
      <c r="H53" s="39">
        <f t="shared" ref="H53" si="11">SUM(H24:H52)</f>
        <v>699590</v>
      </c>
      <c r="I53" s="39">
        <f t="shared" ref="I53" si="12">SUM(I24:I52)</f>
        <v>24301508.090000004</v>
      </c>
      <c r="J53" s="39">
        <f t="shared" ref="J53" si="13">SUM(J24:J52)</f>
        <v>77896.83</v>
      </c>
      <c r="K53" s="39">
        <f t="shared" ref="K53" si="14">SUM(K24:K52)</f>
        <v>24379404.919999998</v>
      </c>
      <c r="L53" s="326">
        <f>F53/E53</f>
        <v>0.92455756622512031</v>
      </c>
      <c r="M53" s="39">
        <f>I53/F53</f>
        <v>35.886864583487167</v>
      </c>
      <c r="N53" s="327">
        <f t="shared" si="8"/>
        <v>0.2776883891001628</v>
      </c>
      <c r="O53" s="52">
        <f>SUM(O24:O52)</f>
        <v>106936.58461538458</v>
      </c>
      <c r="P53" s="477">
        <f>(C53/O53)*12</f>
        <v>82.931244081682948</v>
      </c>
      <c r="Q53" s="473">
        <f>(K53*12/O53)/129.2343</f>
        <v>21.16899511012787</v>
      </c>
      <c r="R53" s="330"/>
    </row>
    <row r="54" spans="1:18" ht="17.25" customHeight="1" thickTop="1" thickBot="1" x14ac:dyDescent="0.25">
      <c r="B54" s="26" t="s">
        <v>36</v>
      </c>
      <c r="C54" s="331"/>
      <c r="D54" s="275">
        <f>D53/C53</f>
        <v>8.9387198389244311E-3</v>
      </c>
      <c r="E54" s="332">
        <f>E53/C53</f>
        <v>0.99106128016107553</v>
      </c>
      <c r="F54" s="333"/>
      <c r="G54" s="30"/>
      <c r="H54" s="30"/>
      <c r="I54" s="30"/>
      <c r="J54" s="30"/>
      <c r="K54" s="30"/>
      <c r="L54" s="32"/>
      <c r="M54" s="30"/>
      <c r="N54" s="43"/>
      <c r="O54" s="34"/>
      <c r="P54" s="34"/>
      <c r="Q54" s="34"/>
    </row>
    <row r="55" spans="1:18" ht="18.75" customHeight="1" thickTop="1" x14ac:dyDescent="0.2">
      <c r="M55" s="45"/>
      <c r="N55" s="46"/>
      <c r="O55" s="47"/>
    </row>
    <row r="56" spans="1:18" s="48" customFormat="1" ht="15" customHeight="1" thickBot="1" x14ac:dyDescent="0.25">
      <c r="B56" s="49" t="s">
        <v>68</v>
      </c>
      <c r="C56" s="50">
        <f t="shared" ref="C56:K56" si="15">C21+C53</f>
        <v>1891594</v>
      </c>
      <c r="D56" s="51">
        <f t="shared" si="15"/>
        <v>11862</v>
      </c>
      <c r="E56" s="51">
        <f t="shared" si="15"/>
        <v>1879732</v>
      </c>
      <c r="F56" s="52">
        <f t="shared" si="15"/>
        <v>1541705</v>
      </c>
      <c r="G56" s="334">
        <f t="shared" si="15"/>
        <v>140800</v>
      </c>
      <c r="H56" s="23">
        <f t="shared" si="15"/>
        <v>1682505</v>
      </c>
      <c r="I56" s="53">
        <f t="shared" si="15"/>
        <v>37390185.300000004</v>
      </c>
      <c r="J56" s="334">
        <f t="shared" si="15"/>
        <v>445112.18000000005</v>
      </c>
      <c r="K56" s="52">
        <f t="shared" si="15"/>
        <v>37835297.480000004</v>
      </c>
      <c r="L56" s="335">
        <f>F56/E56</f>
        <v>0.82017276930966754</v>
      </c>
      <c r="M56" s="53">
        <f>I56/F56</f>
        <v>24.252490132677785</v>
      </c>
      <c r="N56" s="327">
        <f>M56/129.2343</f>
        <v>0.18766295118770934</v>
      </c>
      <c r="O56" s="52">
        <f>O53+O21</f>
        <v>196769.14308791203</v>
      </c>
      <c r="P56" s="477">
        <f>(C56/O56)*12</f>
        <v>115.35918510281127</v>
      </c>
      <c r="Q56" s="473">
        <f>(K56*12/O56)/129.2343</f>
        <v>17.85433215223215</v>
      </c>
    </row>
    <row r="57" spans="1:18" ht="16.5" customHeight="1" thickTop="1" thickBot="1" x14ac:dyDescent="0.25">
      <c r="B57" s="26" t="s">
        <v>36</v>
      </c>
      <c r="C57" s="336"/>
      <c r="D57" s="337">
        <f>D56/C56</f>
        <v>6.2709016839765826E-3</v>
      </c>
      <c r="E57" s="338">
        <f>E56/C56</f>
        <v>0.99372909831602341</v>
      </c>
      <c r="G57" s="56"/>
      <c r="N57" s="46"/>
    </row>
    <row r="58" spans="1:18" ht="16.5" customHeight="1" thickTop="1" x14ac:dyDescent="0.2">
      <c r="G58" s="57"/>
      <c r="H58" s="45"/>
    </row>
    <row r="59" spans="1:18" ht="16.5" customHeight="1" x14ac:dyDescent="0.2">
      <c r="A59" s="16"/>
      <c r="B59" s="48" t="s">
        <v>69</v>
      </c>
    </row>
    <row r="60" spans="1:18" ht="16.5" customHeight="1" x14ac:dyDescent="0.2">
      <c r="A60" s="16">
        <v>1</v>
      </c>
      <c r="B60" s="16" t="s">
        <v>70</v>
      </c>
    </row>
    <row r="61" spans="1:18" ht="16.5" customHeight="1" x14ac:dyDescent="0.2"/>
    <row r="62" spans="1:18" ht="16.5" customHeight="1" x14ac:dyDescent="0.2"/>
    <row r="63" spans="1:18" ht="16.5" customHeight="1" x14ac:dyDescent="0.2"/>
    <row r="64" spans="1:18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</sheetData>
  <sortState ref="A1:P29">
    <sortCondition ref="A1"/>
  </sortState>
  <mergeCells count="35">
    <mergeCell ref="B1:Q1"/>
    <mergeCell ref="B2:Q2"/>
    <mergeCell ref="B3:Q3"/>
    <mergeCell ref="B5:Q5"/>
    <mergeCell ref="L6:L7"/>
    <mergeCell ref="Q6:Q7"/>
    <mergeCell ref="L28:L29"/>
    <mergeCell ref="Q28:Q29"/>
    <mergeCell ref="L9:L10"/>
    <mergeCell ref="Q9:Q10"/>
    <mergeCell ref="L17:L18"/>
    <mergeCell ref="Q17:Q18"/>
    <mergeCell ref="L14:L16"/>
    <mergeCell ref="Q14:Q16"/>
    <mergeCell ref="B23:Q23"/>
    <mergeCell ref="L24:L25"/>
    <mergeCell ref="Q24:Q25"/>
    <mergeCell ref="L26:L27"/>
    <mergeCell ref="Q26:Q27"/>
    <mergeCell ref="L30:L33"/>
    <mergeCell ref="Q30:Q33"/>
    <mergeCell ref="L37:L38"/>
    <mergeCell ref="Q37:Q38"/>
    <mergeCell ref="L41:L42"/>
    <mergeCell ref="Q41:Q42"/>
    <mergeCell ref="L39:L40"/>
    <mergeCell ref="Q39:Q40"/>
    <mergeCell ref="L34:L36"/>
    <mergeCell ref="Q34:Q36"/>
    <mergeCell ref="L43:L44"/>
    <mergeCell ref="Q43:Q44"/>
    <mergeCell ref="L45:L46"/>
    <mergeCell ref="Q45:Q46"/>
    <mergeCell ref="L47:L50"/>
    <mergeCell ref="Q47:Q50"/>
  </mergeCells>
  <conditionalFormatting sqref="P6:P20">
    <cfRule type="cellIs" dxfId="37" priority="2" operator="lessThan">
      <formula>140</formula>
    </cfRule>
    <cfRule type="cellIs" priority="3" operator="lessThan">
      <formula>140</formula>
    </cfRule>
    <cfRule type="cellIs" dxfId="36" priority="4" operator="lessThan">
      <formula>140</formula>
    </cfRule>
    <cfRule type="cellIs" dxfId="35" priority="5" operator="lessThan">
      <formula>80</formula>
    </cfRule>
  </conditionalFormatting>
  <conditionalFormatting sqref="P24:P53">
    <cfRule type="cellIs" dxfId="34" priority="1" operator="between">
      <formula>0</formula>
      <formula>78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S109"/>
  <sheetViews>
    <sheetView workbookViewId="0">
      <pane ySplit="4" topLeftCell="A44" activePane="bottomLeft" state="frozen"/>
      <selection pane="bottomLeft" sqref="A1:XFD1048576"/>
    </sheetView>
  </sheetViews>
  <sheetFormatPr defaultColWidth="9.140625" defaultRowHeight="12" x14ac:dyDescent="0.2"/>
  <cols>
    <col min="1" max="1" width="2" style="1" customWidth="1"/>
    <col min="2" max="2" width="31.42578125" style="1" customWidth="1"/>
    <col min="3" max="3" width="10.5703125" style="44" customWidth="1"/>
    <col min="4" max="4" width="8.7109375" style="1" customWidth="1"/>
    <col min="5" max="5" width="10.140625" style="1" customWidth="1"/>
    <col min="6" max="6" width="10" style="44" customWidth="1"/>
    <col min="7" max="7" width="9.28515625" style="1" customWidth="1"/>
    <col min="8" max="8" width="9.85546875" style="1" customWidth="1"/>
    <col min="9" max="9" width="11.7109375" style="45" customWidth="1"/>
    <col min="10" max="10" width="10" style="45" customWidth="1"/>
    <col min="11" max="11" width="11.140625" style="45" customWidth="1"/>
    <col min="12" max="12" width="7.7109375" style="1" customWidth="1"/>
    <col min="13" max="13" width="8.85546875" style="1" customWidth="1"/>
    <col min="14" max="14" width="9.7109375" style="1" customWidth="1"/>
    <col min="15" max="15" width="9.5703125" style="1" customWidth="1"/>
    <col min="16" max="16" width="9.7109375" style="47" customWidth="1"/>
    <col min="17" max="17" width="9.85546875" style="16" customWidth="1"/>
    <col min="18" max="16384" width="9.140625" style="1"/>
  </cols>
  <sheetData>
    <row r="1" spans="2:19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9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9" ht="15" x14ac:dyDescent="0.25">
      <c r="B3" s="622">
        <v>45808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9" ht="35.2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7" t="s">
        <v>15</v>
      </c>
      <c r="P4" s="8" t="s">
        <v>16</v>
      </c>
      <c r="Q4" s="9" t="s">
        <v>17</v>
      </c>
    </row>
    <row r="5" spans="2:19" ht="16.5" customHeight="1" thickBot="1" x14ac:dyDescent="0.3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9" s="16" customFormat="1" ht="15.75" customHeight="1" x14ac:dyDescent="0.2">
      <c r="B6" s="240" t="s">
        <v>27</v>
      </c>
      <c r="C6" s="229">
        <f>'May 2025 - Prodn &amp; Sales'!C6</f>
        <v>139017</v>
      </c>
      <c r="D6" s="229">
        <f>'May 2025 - Prodn &amp; Sales'!D6</f>
        <v>475</v>
      </c>
      <c r="E6" s="229">
        <f>'May 2025 - Prodn &amp; Sales'!E6</f>
        <v>138542</v>
      </c>
      <c r="F6" s="229">
        <f>'May 2025 - Prodn &amp; Sales'!F6</f>
        <v>142305</v>
      </c>
      <c r="G6" s="229">
        <f>'May 2025 - Prodn &amp; Sales'!G6</f>
        <v>15440</v>
      </c>
      <c r="H6" s="229">
        <f>'May 2025 - Prodn &amp; Sales'!H6</f>
        <v>157745</v>
      </c>
      <c r="I6" s="229">
        <f>'May 2025 - Prodn &amp; Sales'!I6</f>
        <v>2471470.73</v>
      </c>
      <c r="J6" s="229">
        <f>'May 2025 - Prodn &amp; Sales'!J6</f>
        <v>47724.15</v>
      </c>
      <c r="K6" s="229">
        <f>'May 2025 - Prodn &amp; Sales'!K6</f>
        <v>2519194.88</v>
      </c>
      <c r="L6" s="626">
        <f>(F6+F7)/(E6+E7)</f>
        <v>1.026146982735864</v>
      </c>
      <c r="M6" s="230">
        <f t="shared" ref="M6:M11" si="0">I6/F6</f>
        <v>17.367420189030604</v>
      </c>
      <c r="N6" s="231">
        <f t="shared" ref="N6:N22" si="1">M6/129.2417</f>
        <v>0.13437938520640477</v>
      </c>
      <c r="O6" s="232">
        <f>'Jan 2025-Prodn &amp; Sales Analysis'!O8</f>
        <v>8684.3076923076933</v>
      </c>
      <c r="P6" s="233">
        <f t="shared" ref="P6:P11" si="2">C6/O6*12</f>
        <v>192.09406887755102</v>
      </c>
      <c r="Q6" s="628">
        <f>(K6+K7)*12/(O6+O7)/129.2417</f>
        <v>26.216249730431453</v>
      </c>
    </row>
    <row r="7" spans="2:19" s="16" customFormat="1" ht="15.75" customHeight="1" thickBot="1" x14ac:dyDescent="0.25">
      <c r="B7" s="241" t="s">
        <v>34</v>
      </c>
      <c r="C7" s="242">
        <f>'May 2025 - Prodn &amp; Sales'!C8</f>
        <v>89057</v>
      </c>
      <c r="D7" s="242">
        <f>'May 2025 - Prodn &amp; Sales'!D8</f>
        <v>307</v>
      </c>
      <c r="E7" s="242">
        <f>'May 2025 - Prodn &amp; Sales'!E8</f>
        <v>88750</v>
      </c>
      <c r="F7" s="242">
        <f>'May 2025 - Prodn &amp; Sales'!F8</f>
        <v>90930</v>
      </c>
      <c r="G7" s="242">
        <f>'May 2025 - Prodn &amp; Sales'!G8</f>
        <v>3660</v>
      </c>
      <c r="H7" s="242">
        <f>'May 2025 - Prodn &amp; Sales'!H8</f>
        <v>94590</v>
      </c>
      <c r="I7" s="242">
        <f>'May 2025 - Prodn &amp; Sales'!I8</f>
        <v>1427793.1800000002</v>
      </c>
      <c r="J7" s="242">
        <f>'May 2025 - Prodn &amp; Sales'!J8</f>
        <v>11301.74</v>
      </c>
      <c r="K7" s="242">
        <f>'May 2025 - Prodn &amp; Sales'!K8</f>
        <v>1439094.9200000002</v>
      </c>
      <c r="L7" s="627"/>
      <c r="M7" s="243">
        <f t="shared" si="0"/>
        <v>15.702113493896405</v>
      </c>
      <c r="N7" s="237">
        <f t="shared" si="1"/>
        <v>0.12149417327299473</v>
      </c>
      <c r="O7" s="238">
        <f>'Jan 2025-Prodn &amp; Sales Analysis'!O9</f>
        <v>5334.6461538461526</v>
      </c>
      <c r="P7" s="239">
        <f t="shared" si="2"/>
        <v>200.32893826135108</v>
      </c>
      <c r="Q7" s="629"/>
    </row>
    <row r="8" spans="2:19" s="16" customFormat="1" ht="15.75" customHeight="1" x14ac:dyDescent="0.2">
      <c r="B8" s="228" t="s">
        <v>29</v>
      </c>
      <c r="C8" s="229">
        <f>'May 2025 - Prodn &amp; Sales'!C12</f>
        <v>40333</v>
      </c>
      <c r="D8" s="229">
        <f>'May 2025 - Prodn &amp; Sales'!D12</f>
        <v>387</v>
      </c>
      <c r="E8" s="229">
        <f>'May 2025 - Prodn &amp; Sales'!E12</f>
        <v>39946</v>
      </c>
      <c r="F8" s="229">
        <f>'May 2025 - Prodn &amp; Sales'!F12</f>
        <v>29778</v>
      </c>
      <c r="G8" s="229">
        <f>'May 2025 - Prodn &amp; Sales'!G12</f>
        <v>1320</v>
      </c>
      <c r="H8" s="229">
        <f>'May 2025 - Prodn &amp; Sales'!H12</f>
        <v>31098</v>
      </c>
      <c r="I8" s="229">
        <f>'May 2025 - Prodn &amp; Sales'!I12</f>
        <v>442851.4</v>
      </c>
      <c r="J8" s="229">
        <f>'May 2025 - Prodn &amp; Sales'!J12</f>
        <v>3982.76</v>
      </c>
      <c r="K8" s="229">
        <f>'May 2025 - Prodn &amp; Sales'!K12</f>
        <v>446834.16000000003</v>
      </c>
      <c r="L8" s="626">
        <f>(F8+F9)/(E8+E9)</f>
        <v>0.88393019634804759</v>
      </c>
      <c r="M8" s="230">
        <f t="shared" si="0"/>
        <v>14.871764389817987</v>
      </c>
      <c r="N8" s="231">
        <f t="shared" si="1"/>
        <v>0.11506939625382509</v>
      </c>
      <c r="O8" s="232">
        <f>'Jan 2025-Prodn &amp; Sales Analysis'!O6</f>
        <v>2109.0461538461541</v>
      </c>
      <c r="P8" s="233">
        <f t="shared" si="2"/>
        <v>229.48573179271705</v>
      </c>
      <c r="Q8" s="628">
        <f>(K8+K9)*12/(O8+O9)/129.2417</f>
        <v>23.877353725088859</v>
      </c>
    </row>
    <row r="9" spans="2:19" s="16" customFormat="1" ht="15.75" customHeight="1" thickBot="1" x14ac:dyDescent="0.25">
      <c r="B9" s="234" t="s">
        <v>19</v>
      </c>
      <c r="C9" s="235">
        <f>'May 2025 - Prodn &amp; Sales'!C7</f>
        <v>59245</v>
      </c>
      <c r="D9" s="235">
        <f>'May 2025 - Prodn &amp; Sales'!D7</f>
        <v>285</v>
      </c>
      <c r="E9" s="235">
        <f>'May 2025 - Prodn &amp; Sales'!E7</f>
        <v>58960</v>
      </c>
      <c r="F9" s="235">
        <f>'May 2025 - Prodn &amp; Sales'!F7</f>
        <v>57648</v>
      </c>
      <c r="G9" s="235">
        <f>'May 2025 - Prodn &amp; Sales'!G7</f>
        <v>6060</v>
      </c>
      <c r="H9" s="235">
        <f>'May 2025 - Prodn &amp; Sales'!H7</f>
        <v>63708</v>
      </c>
      <c r="I9" s="235">
        <f>'May 2025 - Prodn &amp; Sales'!I7</f>
        <v>938656.1399999999</v>
      </c>
      <c r="J9" s="235">
        <f>'May 2025 - Prodn &amp; Sales'!J7</f>
        <v>18284.52</v>
      </c>
      <c r="K9" s="235">
        <f>'May 2025 - Prodn &amp; Sales'!K7</f>
        <v>956940.65999999992</v>
      </c>
      <c r="L9" s="627"/>
      <c r="M9" s="236">
        <f t="shared" si="0"/>
        <v>16.282544754371354</v>
      </c>
      <c r="N9" s="237">
        <f t="shared" si="1"/>
        <v>0.12598522577752655</v>
      </c>
      <c r="O9" s="238">
        <f>'Jan 2025-Prodn &amp; Sales Analysis'!O13</f>
        <v>3349.6615384615388</v>
      </c>
      <c r="P9" s="239">
        <f t="shared" si="2"/>
        <v>212.24233906525569</v>
      </c>
      <c r="Q9" s="629"/>
    </row>
    <row r="10" spans="2:19" s="16" customFormat="1" ht="15.75" customHeight="1" x14ac:dyDescent="0.2">
      <c r="B10" s="10" t="s">
        <v>32</v>
      </c>
      <c r="C10" s="20">
        <f>'May 2025 - Prodn &amp; Sales'!C9</f>
        <v>60046</v>
      </c>
      <c r="D10" s="20">
        <f>'May 2025 - Prodn &amp; Sales'!D9</f>
        <v>616</v>
      </c>
      <c r="E10" s="20">
        <f>'May 2025 - Prodn &amp; Sales'!E9</f>
        <v>59430</v>
      </c>
      <c r="F10" s="20">
        <f>'May 2025 - Prodn &amp; Sales'!F9</f>
        <v>51552</v>
      </c>
      <c r="G10" s="20">
        <f>'May 2025 - Prodn &amp; Sales'!G9</f>
        <v>11080</v>
      </c>
      <c r="H10" s="20">
        <f>'May 2025 - Prodn &amp; Sales'!H9</f>
        <v>62632</v>
      </c>
      <c r="I10" s="20">
        <f>'May 2025 - Prodn &amp; Sales'!I9</f>
        <v>1183703.6600000001</v>
      </c>
      <c r="J10" s="20">
        <f>'May 2025 - Prodn &amp; Sales'!J9</f>
        <v>34310.379999999997</v>
      </c>
      <c r="K10" s="20">
        <f>'May 2025 - Prodn &amp; Sales'!K9</f>
        <v>1218014.04</v>
      </c>
      <c r="L10" s="226">
        <f>F10/E10</f>
        <v>0.8674406865219586</v>
      </c>
      <c r="M10" s="12">
        <f t="shared" si="0"/>
        <v>22.961352808814404</v>
      </c>
      <c r="N10" s="227">
        <f t="shared" si="1"/>
        <v>0.17766210757684556</v>
      </c>
      <c r="O10" s="14">
        <f>'Jan 2025-Prodn &amp; Sales Analysis'!O12</f>
        <v>4962.4615384615381</v>
      </c>
      <c r="P10" s="14">
        <f t="shared" si="2"/>
        <v>145.20052083333334</v>
      </c>
      <c r="Q10" s="218">
        <f>(K10*12/O10)/129.2417</f>
        <v>22.789443739078465</v>
      </c>
    </row>
    <row r="11" spans="2:19" s="16" customFormat="1" ht="15.75" customHeight="1" thickBot="1" x14ac:dyDescent="0.25">
      <c r="B11" s="249" t="s">
        <v>21</v>
      </c>
      <c r="C11" s="250">
        <f>'May 2025 - Prodn &amp; Sales'!C13</f>
        <v>59916</v>
      </c>
      <c r="D11" s="250">
        <f>'May 2025 - Prodn &amp; Sales'!D13</f>
        <v>320</v>
      </c>
      <c r="E11" s="250">
        <f>'May 2025 - Prodn &amp; Sales'!E13</f>
        <v>59596</v>
      </c>
      <c r="F11" s="250">
        <f>'May 2025 - Prodn &amp; Sales'!F13</f>
        <v>56928</v>
      </c>
      <c r="G11" s="250">
        <f>'May 2025 - Prodn &amp; Sales'!G13</f>
        <v>1860</v>
      </c>
      <c r="H11" s="250">
        <f>'May 2025 - Prodn &amp; Sales'!H13</f>
        <v>58788</v>
      </c>
      <c r="I11" s="250">
        <f>'May 2025 - Prodn &amp; Sales'!I13</f>
        <v>1096262.83</v>
      </c>
      <c r="J11" s="250">
        <f>'May 2025 - Prodn &amp; Sales'!J13</f>
        <v>5612.08</v>
      </c>
      <c r="K11" s="250">
        <f>'May 2025 - Prodn &amp; Sales'!K13</f>
        <v>1101874.9100000001</v>
      </c>
      <c r="L11" s="251">
        <f>F11/E11</f>
        <v>0.95523189475803749</v>
      </c>
      <c r="M11" s="252">
        <f t="shared" si="0"/>
        <v>19.257005867060148</v>
      </c>
      <c r="N11" s="227">
        <f t="shared" si="1"/>
        <v>0.14899994248806805</v>
      </c>
      <c r="O11" s="253">
        <f>'Jan 2025-Prodn &amp; Sales Analysis'!O14</f>
        <v>4794.0923076923082</v>
      </c>
      <c r="P11" s="253">
        <f t="shared" si="2"/>
        <v>149.974584103512</v>
      </c>
      <c r="Q11" s="325">
        <f>(K11*12/O11)/129.2417</f>
        <v>21.340494880996186</v>
      </c>
    </row>
    <row r="12" spans="2:19" s="16" customFormat="1" ht="15.75" customHeight="1" x14ac:dyDescent="0.2">
      <c r="B12" s="254" t="s">
        <v>28</v>
      </c>
      <c r="C12" s="229">
        <f>'May 2025 - Prodn &amp; Sales'!C16</f>
        <v>122766</v>
      </c>
      <c r="D12" s="229">
        <f>'May 2025 - Prodn &amp; Sales'!D16</f>
        <v>340</v>
      </c>
      <c r="E12" s="229">
        <f>'May 2025 - Prodn &amp; Sales'!E16</f>
        <v>122426</v>
      </c>
      <c r="F12" s="229">
        <f>'May 2025 - Prodn &amp; Sales'!F16</f>
        <v>83864</v>
      </c>
      <c r="G12" s="229">
        <f>'May 2025 - Prodn &amp; Sales'!G16</f>
        <v>44620</v>
      </c>
      <c r="H12" s="229">
        <f>'May 2025 - Prodn &amp; Sales'!H16</f>
        <v>128484</v>
      </c>
      <c r="I12" s="229">
        <f>'May 2025 - Prodn &amp; Sales'!I16</f>
        <v>1364083.1500000001</v>
      </c>
      <c r="J12" s="229">
        <f>'May 2025 - Prodn &amp; Sales'!J16</f>
        <v>134629.34</v>
      </c>
      <c r="K12" s="229">
        <f>'May 2025 - Prodn &amp; Sales'!K16</f>
        <v>1498712.4900000002</v>
      </c>
      <c r="L12" s="626">
        <f>(F12+F13)/(C12+C13)</f>
        <v>0.57625488672814751</v>
      </c>
      <c r="M12" s="230">
        <f t="shared" ref="M12:M20" si="3">I12/F12</f>
        <v>16.265419607936661</v>
      </c>
      <c r="N12" s="231">
        <f t="shared" si="1"/>
        <v>0.12585272097114678</v>
      </c>
      <c r="O12" s="232">
        <f>'Jan 2025-Prodn &amp; Sales Analysis'!O11</f>
        <v>10048.984615384614</v>
      </c>
      <c r="P12" s="233">
        <f t="shared" ref="P12:P20" si="4">C12/O12*12</f>
        <v>146.6010802469136</v>
      </c>
      <c r="Q12" s="628">
        <f>(K12+K13)*12/(O12+O13)/129.2417</f>
        <v>16.817639580608436</v>
      </c>
    </row>
    <row r="13" spans="2:19" s="16" customFormat="1" ht="15.75" customHeight="1" thickBot="1" x14ac:dyDescent="0.25">
      <c r="B13" s="341" t="s">
        <v>30</v>
      </c>
      <c r="C13" s="242">
        <f>'May 2025 - Prodn &amp; Sales'!C11</f>
        <v>196466</v>
      </c>
      <c r="D13" s="242">
        <f>'May 2025 - Prodn &amp; Sales'!D11</f>
        <v>477</v>
      </c>
      <c r="E13" s="242">
        <f>'May 2025 - Prodn &amp; Sales'!E11</f>
        <v>195989</v>
      </c>
      <c r="F13" s="242">
        <f>'May 2025 - Prodn &amp; Sales'!F11</f>
        <v>100095</v>
      </c>
      <c r="G13" s="242">
        <f>'May 2025 - Prodn &amp; Sales'!G11</f>
        <v>104880</v>
      </c>
      <c r="H13" s="242">
        <f>'May 2025 - Prodn &amp; Sales'!H11</f>
        <v>204975</v>
      </c>
      <c r="I13" s="242">
        <f>'May 2025 - Prodn &amp; Sales'!I11</f>
        <v>1512843.7900000003</v>
      </c>
      <c r="J13" s="242">
        <f>'May 2025 - Prodn &amp; Sales'!J11</f>
        <v>325396.59000000003</v>
      </c>
      <c r="K13" s="242">
        <f>'May 2025 - Prodn &amp; Sales'!K11</f>
        <v>1838240.3800000004</v>
      </c>
      <c r="L13" s="627"/>
      <c r="M13" s="243">
        <f t="shared" si="3"/>
        <v>15.114079524451773</v>
      </c>
      <c r="N13" s="237">
        <f t="shared" si="1"/>
        <v>0.11694429525804576</v>
      </c>
      <c r="O13" s="257">
        <f>'Jan 2025-Prodn &amp; Sales Analysis'!O7</f>
        <v>8374.1538461538439</v>
      </c>
      <c r="P13" s="239">
        <f t="shared" si="4"/>
        <v>281.53196649029985</v>
      </c>
      <c r="Q13" s="629"/>
      <c r="S13" s="58"/>
    </row>
    <row r="14" spans="2:19" s="16" customFormat="1" ht="15.75" customHeight="1" x14ac:dyDescent="0.2">
      <c r="B14" s="246" t="s">
        <v>25</v>
      </c>
      <c r="C14" s="229">
        <f>'May 2025 - Prodn &amp; Sales'!C10</f>
        <v>71979</v>
      </c>
      <c r="D14" s="229">
        <f>'May 2025 - Prodn &amp; Sales'!D10</f>
        <v>288</v>
      </c>
      <c r="E14" s="229">
        <f>'May 2025 - Prodn &amp; Sales'!E10</f>
        <v>71691</v>
      </c>
      <c r="F14" s="229">
        <f>'May 2025 - Prodn &amp; Sales'!F10</f>
        <v>69411</v>
      </c>
      <c r="G14" s="229">
        <f>'May 2025 - Prodn &amp; Sales'!G10</f>
        <v>6380</v>
      </c>
      <c r="H14" s="229">
        <f>'May 2025 - Prodn &amp; Sales'!H10</f>
        <v>75791</v>
      </c>
      <c r="I14" s="229">
        <f>'May 2025 - Prodn &amp; Sales'!I10</f>
        <v>1153135.8599999999</v>
      </c>
      <c r="J14" s="229">
        <f>'May 2025 - Prodn &amp; Sales'!J10</f>
        <v>19586.21</v>
      </c>
      <c r="K14" s="229">
        <f>'May 2025 - Prodn &amp; Sales'!K10</f>
        <v>1172722.0699999998</v>
      </c>
      <c r="L14" s="626">
        <f>(F14+F15)/(C14+C15)</f>
        <v>0.87426377844803949</v>
      </c>
      <c r="M14" s="230">
        <f t="shared" si="3"/>
        <v>16.613157280546311</v>
      </c>
      <c r="N14" s="231">
        <f t="shared" si="1"/>
        <v>0.12854332061978688</v>
      </c>
      <c r="O14" s="232">
        <f>'Jan 2025-Prodn &amp; Sales Analysis'!O15</f>
        <v>5371.8646153846139</v>
      </c>
      <c r="P14" s="233">
        <f t="shared" si="4"/>
        <v>160.79109617288029</v>
      </c>
      <c r="Q14" s="628">
        <f>(K14+K15)*12/(O14+O15)/129.2417</f>
        <v>14.97716908475293</v>
      </c>
    </row>
    <row r="15" spans="2:19" s="16" customFormat="1" ht="15.75" customHeight="1" thickBot="1" x14ac:dyDescent="0.25">
      <c r="B15" s="340" t="s">
        <v>31</v>
      </c>
      <c r="C15" s="242">
        <f>'May 2025 - Prodn &amp; Sales'!C21</f>
        <v>19196</v>
      </c>
      <c r="D15" s="242">
        <f>'May 2025 - Prodn &amp; Sales'!D21</f>
        <v>205</v>
      </c>
      <c r="E15" s="242">
        <f>'May 2025 - Prodn &amp; Sales'!E21</f>
        <v>18991</v>
      </c>
      <c r="F15" s="242">
        <f>'May 2025 - Prodn &amp; Sales'!F21</f>
        <v>10300</v>
      </c>
      <c r="G15" s="242">
        <f>'May 2025 - Prodn &amp; Sales'!G21</f>
        <v>4800</v>
      </c>
      <c r="H15" s="242">
        <f>'May 2025 - Prodn &amp; Sales'!H21</f>
        <v>15100</v>
      </c>
      <c r="I15" s="242">
        <f>'May 2025 - Prodn &amp; Sales'!I21</f>
        <v>159389.1</v>
      </c>
      <c r="J15" s="242">
        <f>'May 2025 - Prodn &amp; Sales'!J21</f>
        <v>14689.66</v>
      </c>
      <c r="K15" s="242">
        <f>'May 2025 - Prodn &amp; Sales'!K21</f>
        <v>174078.76</v>
      </c>
      <c r="L15" s="627"/>
      <c r="M15" s="236">
        <f t="shared" si="3"/>
        <v>15.474669902912622</v>
      </c>
      <c r="N15" s="237">
        <f t="shared" si="1"/>
        <v>0.11973434195706664</v>
      </c>
      <c r="O15" s="238">
        <f>'Jan 2025-Prodn &amp; Sales Analysis'!O17</f>
        <v>2977.4769230769234</v>
      </c>
      <c r="P15" s="239">
        <f t="shared" si="4"/>
        <v>77.364831349206341</v>
      </c>
      <c r="Q15" s="629"/>
      <c r="R15" s="16" t="s">
        <v>118</v>
      </c>
    </row>
    <row r="16" spans="2:19" s="16" customFormat="1" ht="15.75" customHeight="1" thickBot="1" x14ac:dyDescent="0.25">
      <c r="B16" s="262" t="s">
        <v>20</v>
      </c>
      <c r="C16" s="229">
        <f>'May 2025 - Prodn &amp; Sales'!C15</f>
        <v>172866</v>
      </c>
      <c r="D16" s="229">
        <f>'May 2025 - Prodn &amp; Sales'!D15</f>
        <v>538</v>
      </c>
      <c r="E16" s="229">
        <f>'May 2025 - Prodn &amp; Sales'!E15</f>
        <v>172328</v>
      </c>
      <c r="F16" s="229">
        <f>'May 2025 - Prodn &amp; Sales'!F15</f>
        <v>97472</v>
      </c>
      <c r="G16" s="229">
        <f>'May 2025 - Prodn &amp; Sales'!G15</f>
        <v>67360</v>
      </c>
      <c r="H16" s="229">
        <f>'May 2025 - Prodn &amp; Sales'!H15</f>
        <v>164832</v>
      </c>
      <c r="I16" s="229">
        <f>'May 2025 - Prodn &amp; Sales'!I15</f>
        <v>1451865.63</v>
      </c>
      <c r="J16" s="229">
        <f>'May 2025 - Prodn &amp; Sales'!J15</f>
        <v>203706.88</v>
      </c>
      <c r="K16" s="229">
        <f>'May 2025 - Prodn &amp; Sales'!K15</f>
        <v>1655572.5099999998</v>
      </c>
      <c r="L16" s="245">
        <f>F16/E16</f>
        <v>0.56561905204029528</v>
      </c>
      <c r="M16" s="470">
        <f t="shared" si="3"/>
        <v>14.895207136408404</v>
      </c>
      <c r="N16" s="469">
        <f t="shared" si="1"/>
        <v>0.11525078311727874</v>
      </c>
      <c r="O16" s="468">
        <f>'Jan 2025-Prodn &amp; Sales Analysis'!O10</f>
        <v>10545.230769230768</v>
      </c>
      <c r="P16" s="309">
        <f t="shared" si="4"/>
        <v>196.71376050420173</v>
      </c>
      <c r="Q16" s="399">
        <f>(K16*12/O16)/129.2417</f>
        <v>14.577085546319962</v>
      </c>
    </row>
    <row r="17" spans="2:18" s="16" customFormat="1" ht="15.75" customHeight="1" x14ac:dyDescent="0.2">
      <c r="B17" s="258" t="s">
        <v>24</v>
      </c>
      <c r="C17" s="259">
        <f>'May 2025 - Prodn &amp; Sales'!C14</f>
        <v>73120</v>
      </c>
      <c r="D17" s="259">
        <f>'May 2025 - Prodn &amp; Sales'!D14</f>
        <v>324</v>
      </c>
      <c r="E17" s="259">
        <f>'May 2025 - Prodn &amp; Sales'!E14</f>
        <v>72796</v>
      </c>
      <c r="F17" s="259">
        <f>'May 2025 - Prodn &amp; Sales'!F14</f>
        <v>63863</v>
      </c>
      <c r="G17" s="259">
        <f>'May 2025 - Prodn &amp; Sales'!G14</f>
        <v>11580</v>
      </c>
      <c r="H17" s="259">
        <f>'May 2025 - Prodn &amp; Sales'!H14</f>
        <v>75443</v>
      </c>
      <c r="I17" s="259">
        <f>'May 2025 - Prodn &amp; Sales'!I14</f>
        <v>923066.1399999999</v>
      </c>
      <c r="J17" s="259">
        <f>'May 2025 - Prodn &amp; Sales'!J14</f>
        <v>35094.839999999997</v>
      </c>
      <c r="K17" s="259">
        <f>'May 2025 - Prodn &amp; Sales'!K14</f>
        <v>958160.97999999986</v>
      </c>
      <c r="L17" s="626">
        <f>(F17+F18+F19)/(C17+C18+C19)</f>
        <v>0.80365053345660598</v>
      </c>
      <c r="M17" s="230">
        <f>I17/F17</f>
        <v>14.453848707389254</v>
      </c>
      <c r="N17" s="255">
        <f t="shared" si="1"/>
        <v>0.11183579841018226</v>
      </c>
      <c r="O17" s="232">
        <f>'Jan 2025-Prodn &amp; Sales Analysis'!O19</f>
        <v>5302.1538461538457</v>
      </c>
      <c r="P17" s="233">
        <f>C17/O17*12</f>
        <v>165.4874651810585</v>
      </c>
      <c r="Q17" s="628">
        <f>(K17+K18+K19)*12/(O17+O18+O19)/129.2417</f>
        <v>13.043610909785031</v>
      </c>
    </row>
    <row r="18" spans="2:18" s="16" customFormat="1" ht="15.75" customHeight="1" x14ac:dyDescent="0.2">
      <c r="B18" s="260" t="s">
        <v>23</v>
      </c>
      <c r="C18" s="20">
        <f>'May 2025 - Prodn &amp; Sales'!C17</f>
        <v>50986</v>
      </c>
      <c r="D18" s="20">
        <f>'May 2025 - Prodn &amp; Sales'!D17</f>
        <v>285</v>
      </c>
      <c r="E18" s="20">
        <f>'May 2025 - Prodn &amp; Sales'!E17</f>
        <v>50701</v>
      </c>
      <c r="F18" s="20">
        <f>'May 2025 - Prodn &amp; Sales'!F17</f>
        <v>45630</v>
      </c>
      <c r="G18" s="20">
        <f>'May 2025 - Prodn &amp; Sales'!G17</f>
        <v>9040</v>
      </c>
      <c r="H18" s="20">
        <f>'May 2025 - Prodn &amp; Sales'!H17</f>
        <v>54670</v>
      </c>
      <c r="I18" s="20">
        <f>'May 2025 - Prodn &amp; Sales'!I17</f>
        <v>681728.22000000009</v>
      </c>
      <c r="J18" s="20">
        <f>'May 2025 - Prodn &amp; Sales'!J17</f>
        <v>27793.11</v>
      </c>
      <c r="K18" s="20">
        <f>'May 2025 - Prodn &amp; Sales'!K17</f>
        <v>709521.33000000007</v>
      </c>
      <c r="L18" s="634"/>
      <c r="M18" s="256">
        <f t="shared" ref="M18" si="5">I18/F18</f>
        <v>14.940351084812626</v>
      </c>
      <c r="N18" s="247">
        <f t="shared" si="1"/>
        <v>0.11560008174461203</v>
      </c>
      <c r="O18" s="209">
        <f>'Jan 2025-Prodn &amp; Sales Analysis'!O18</f>
        <v>5173.3661538461538</v>
      </c>
      <c r="P18" s="248">
        <f t="shared" ref="P18" si="6">C18/O18*12</f>
        <v>118.26574454721938</v>
      </c>
      <c r="Q18" s="633"/>
    </row>
    <row r="19" spans="2:18" s="16" customFormat="1" ht="15.75" customHeight="1" thickBot="1" x14ac:dyDescent="0.25">
      <c r="B19" s="261" t="s">
        <v>22</v>
      </c>
      <c r="C19" s="242">
        <f>'May 2025 - Prodn &amp; Sales'!C20</f>
        <v>52197</v>
      </c>
      <c r="D19" s="242">
        <f>'May 2025 - Prodn &amp; Sales'!D20</f>
        <v>288</v>
      </c>
      <c r="E19" s="242">
        <f>'May 2025 - Prodn &amp; Sales'!E20</f>
        <v>51909</v>
      </c>
      <c r="F19" s="242">
        <f>'May 2025 - Prodn &amp; Sales'!F20</f>
        <v>32193</v>
      </c>
      <c r="G19" s="242">
        <f>'May 2025 - Prodn &amp; Sales'!G20</f>
        <v>13400</v>
      </c>
      <c r="H19" s="242">
        <f>'May 2025 - Prodn &amp; Sales'!H20</f>
        <v>45593</v>
      </c>
      <c r="I19" s="242">
        <f>'May 2025 - Prodn &amp; Sales'!I20</f>
        <v>460224.22000000003</v>
      </c>
      <c r="J19" s="242">
        <f>'May 2025 - Prodn &amp; Sales'!J20</f>
        <v>40844.85</v>
      </c>
      <c r="K19" s="242">
        <f>'May 2025 - Prodn &amp; Sales'!K20</f>
        <v>501069.07</v>
      </c>
      <c r="L19" s="627"/>
      <c r="M19" s="243">
        <f>I19/F19</f>
        <v>14.295785419190508</v>
      </c>
      <c r="N19" s="237">
        <f t="shared" si="1"/>
        <v>0.11061279307832153</v>
      </c>
      <c r="O19" s="238">
        <f>'Jan 2025-Prodn &amp; Sales Analysis'!O20</f>
        <v>4962.4615384615381</v>
      </c>
      <c r="P19" s="239">
        <f>C19/O19*12</f>
        <v>126.22042410714286</v>
      </c>
      <c r="Q19" s="629"/>
    </row>
    <row r="20" spans="2:18" s="16" customFormat="1" ht="15.75" customHeight="1" x14ac:dyDescent="0.2">
      <c r="B20" s="266" t="s">
        <v>26</v>
      </c>
      <c r="C20" s="395">
        <f>'May 2025 - Prodn &amp; Sales'!C18</f>
        <v>34259</v>
      </c>
      <c r="D20" s="395">
        <f>'May 2025 - Prodn &amp; Sales'!D18</f>
        <v>241</v>
      </c>
      <c r="E20" s="395">
        <f>'May 2025 - Prodn &amp; Sales'!E18</f>
        <v>34018</v>
      </c>
      <c r="F20" s="395">
        <f>'May 2025 - Prodn &amp; Sales'!F18</f>
        <v>16418</v>
      </c>
      <c r="G20" s="395">
        <f>'May 2025 - Prodn &amp; Sales'!G18</f>
        <v>4380</v>
      </c>
      <c r="H20" s="395">
        <f>'May 2025 - Prodn &amp; Sales'!H18</f>
        <v>20798</v>
      </c>
      <c r="I20" s="395">
        <f>'May 2025 - Prodn &amp; Sales'!I18</f>
        <v>291032.87</v>
      </c>
      <c r="J20" s="395">
        <f>'May 2025 - Prodn &amp; Sales'!J18</f>
        <v>13681.05</v>
      </c>
      <c r="K20" s="395">
        <f>'May 2025 - Prodn &amp; Sales'!K18</f>
        <v>304713.92</v>
      </c>
      <c r="L20" s="464">
        <f t="shared" ref="L20" si="7">F20/E20</f>
        <v>0.48262684461167615</v>
      </c>
      <c r="M20" s="465">
        <f t="shared" si="3"/>
        <v>17.726450846631746</v>
      </c>
      <c r="N20" s="398">
        <f t="shared" si="1"/>
        <v>0.13715736365764103</v>
      </c>
      <c r="O20" s="309">
        <f>'Jan 2025-Prodn &amp; Sales Analysis'!O21</f>
        <v>2357.1692307692306</v>
      </c>
      <c r="P20" s="253">
        <f t="shared" si="4"/>
        <v>174.40750313283209</v>
      </c>
      <c r="Q20" s="218">
        <f>(K20*12/O20)/129.2417</f>
        <v>12.002732158211552</v>
      </c>
    </row>
    <row r="21" spans="2:18" s="16" customFormat="1" ht="15.75" customHeight="1" thickBot="1" x14ac:dyDescent="0.25">
      <c r="B21" s="266" t="s">
        <v>33</v>
      </c>
      <c r="C21" s="267">
        <f>'May 2025 - Prodn &amp; Sales'!C19</f>
        <v>25146</v>
      </c>
      <c r="D21" s="267">
        <f>'May 2025 - Prodn &amp; Sales'!D19</f>
        <v>230</v>
      </c>
      <c r="E21" s="267">
        <f>'May 2025 - Prodn &amp; Sales'!E19</f>
        <v>24916</v>
      </c>
      <c r="F21" s="267">
        <f>'May 2025 - Prodn &amp; Sales'!F19</f>
        <v>20348</v>
      </c>
      <c r="G21" s="267">
        <f>'May 2025 - Prodn &amp; Sales'!G19</f>
        <v>2920</v>
      </c>
      <c r="H21" s="267">
        <f>'May 2025 - Prodn &amp; Sales'!H19</f>
        <v>23268</v>
      </c>
      <c r="I21" s="267">
        <f>'May 2025 - Prodn &amp; Sales'!I19</f>
        <v>260653.93</v>
      </c>
      <c r="J21" s="267">
        <f>'May 2025 - Prodn &amp; Sales'!J19</f>
        <v>8810.36</v>
      </c>
      <c r="K21" s="267">
        <f>'May 2025 - Prodn &amp; Sales'!K19</f>
        <v>269464.28999999998</v>
      </c>
      <c r="L21" s="463">
        <f>F21/E21</f>
        <v>0.81666399100979292</v>
      </c>
      <c r="M21" s="269">
        <f>I21/F21</f>
        <v>12.809805877727541</v>
      </c>
      <c r="N21" s="466">
        <f t="shared" si="1"/>
        <v>9.9115114376610178E-2</v>
      </c>
      <c r="O21" s="467">
        <f>'Jan 2025-Prodn &amp; Sales Analysis'!O16</f>
        <v>2605.292307692308</v>
      </c>
      <c r="P21" s="14">
        <f>C21/O21*12</f>
        <v>115.82270408163265</v>
      </c>
      <c r="Q21" s="218">
        <f>(K21*12/O21)/129.2417</f>
        <v>9.603363031131158</v>
      </c>
    </row>
    <row r="22" spans="2:18" ht="17.25" customHeight="1" thickBot="1" x14ac:dyDescent="0.25">
      <c r="B22" s="270" t="s">
        <v>35</v>
      </c>
      <c r="C22" s="271">
        <f>SUM(C6:C21)</f>
        <v>1266595</v>
      </c>
      <c r="D22" s="271">
        <f t="shared" ref="D22:K22" si="8">SUM(D6:D21)</f>
        <v>5606</v>
      </c>
      <c r="E22" s="271">
        <f t="shared" si="8"/>
        <v>1260989</v>
      </c>
      <c r="F22" s="271">
        <f t="shared" si="8"/>
        <v>968735</v>
      </c>
      <c r="G22" s="271">
        <f t="shared" si="8"/>
        <v>308780</v>
      </c>
      <c r="H22" s="271">
        <f t="shared" si="8"/>
        <v>1277515</v>
      </c>
      <c r="I22" s="271">
        <f t="shared" si="8"/>
        <v>15818760.85</v>
      </c>
      <c r="J22" s="271">
        <f t="shared" si="8"/>
        <v>945448.52</v>
      </c>
      <c r="K22" s="271">
        <f t="shared" si="8"/>
        <v>16764209.370000001</v>
      </c>
      <c r="L22" s="272">
        <f>F22/E22</f>
        <v>0.76823429863385007</v>
      </c>
      <c r="M22" s="23">
        <f>I22/F22</f>
        <v>16.329296298781401</v>
      </c>
      <c r="N22" s="273">
        <f t="shared" si="1"/>
        <v>0.12634696308375237</v>
      </c>
      <c r="O22" s="52">
        <f>SUM(O6:O21)</f>
        <v>86952.369230769225</v>
      </c>
      <c r="P22" s="477">
        <f>C22/O22*12</f>
        <v>174.79845729863777</v>
      </c>
      <c r="Q22" s="476">
        <f>(K22*12/O22)/129.2417</f>
        <v>17.901121503288081</v>
      </c>
    </row>
    <row r="23" spans="2:18" ht="17.25" customHeight="1" thickTop="1" thickBot="1" x14ac:dyDescent="0.25">
      <c r="B23" s="26" t="s">
        <v>36</v>
      </c>
      <c r="C23" s="27"/>
      <c r="D23" s="275">
        <f>D22/C22</f>
        <v>4.426039894362444E-3</v>
      </c>
      <c r="E23" s="276">
        <f>E22/C22</f>
        <v>0.99557396010563759</v>
      </c>
      <c r="F23" s="30"/>
      <c r="G23" s="31"/>
      <c r="H23" s="30"/>
      <c r="I23" s="30"/>
      <c r="J23" s="30"/>
      <c r="K23" s="30"/>
      <c r="L23" s="32"/>
      <c r="M23" s="30"/>
      <c r="N23" s="33"/>
      <c r="O23" s="34"/>
      <c r="P23" s="34"/>
      <c r="Q23" s="35"/>
    </row>
    <row r="24" spans="2:18" ht="21" customHeight="1" thickTop="1" thickBot="1" x14ac:dyDescent="0.3">
      <c r="B24" s="623" t="s">
        <v>37</v>
      </c>
      <c r="C24" s="620"/>
      <c r="D24" s="620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0"/>
      <c r="P24" s="620"/>
      <c r="Q24" s="620"/>
    </row>
    <row r="25" spans="2:18" ht="15" customHeight="1" x14ac:dyDescent="0.2">
      <c r="B25" s="286" t="s">
        <v>43</v>
      </c>
      <c r="C25" s="278">
        <f>'May 2025 - Prodn &amp; Sales'!C31</f>
        <v>20707</v>
      </c>
      <c r="D25" s="278">
        <f>'May 2025 - Prodn &amp; Sales'!D31</f>
        <v>207</v>
      </c>
      <c r="E25" s="278">
        <f>'May 2025 - Prodn &amp; Sales'!E31</f>
        <v>20500</v>
      </c>
      <c r="F25" s="278">
        <f>'May 2025 - Prodn &amp; Sales'!F31</f>
        <v>20450</v>
      </c>
      <c r="G25" s="278">
        <f>'May 2025 - Prodn &amp; Sales'!G31</f>
        <v>420</v>
      </c>
      <c r="H25" s="278">
        <f>'May 2025 - Prodn &amp; Sales'!H31</f>
        <v>20870</v>
      </c>
      <c r="I25" s="278">
        <f>'May 2025 - Prodn &amp; Sales'!I31</f>
        <v>756071.80999999994</v>
      </c>
      <c r="J25" s="278">
        <f>'May 2025 - Prodn &amp; Sales'!J31</f>
        <v>1448.27</v>
      </c>
      <c r="K25" s="278">
        <f>'May 2025 - Prodn &amp; Sales'!K31</f>
        <v>757520.08</v>
      </c>
      <c r="L25" s="626">
        <f>(F25+F26)/(E25+E26)</f>
        <v>1.0377259588743617</v>
      </c>
      <c r="M25" s="287">
        <f t="shared" ref="M25:M48" si="9">I25/F25</f>
        <v>36.971726650366747</v>
      </c>
      <c r="N25" s="231">
        <f t="shared" ref="N25:N54" si="10">M25/129.2417</f>
        <v>0.28606654547539023</v>
      </c>
      <c r="O25" s="281">
        <f>'Jan 2025-Prodn &amp; Sales Analysis'!O31</f>
        <v>2605.292307692308</v>
      </c>
      <c r="P25" s="288">
        <f t="shared" ref="P25:P48" si="11">C25/O25*12</f>
        <v>95.376629818594097</v>
      </c>
      <c r="Q25" s="628">
        <f>(K25+K26)*12/(O25+O26)/129.2417</f>
        <v>30.586869394768406</v>
      </c>
      <c r="R25" s="479"/>
    </row>
    <row r="26" spans="2:18" ht="15" customHeight="1" thickBot="1" x14ac:dyDescent="0.25">
      <c r="B26" s="289" t="s">
        <v>52</v>
      </c>
      <c r="C26" s="283">
        <f>'May 2025 - Prodn &amp; Sales'!C25</f>
        <v>46534</v>
      </c>
      <c r="D26" s="283">
        <f>'May 2025 - Prodn &amp; Sales'!D25</f>
        <v>263</v>
      </c>
      <c r="E26" s="283">
        <f>'May 2025 - Prodn &amp; Sales'!E25</f>
        <v>46271</v>
      </c>
      <c r="F26" s="283">
        <f>'May 2025 - Prodn &amp; Sales'!F25</f>
        <v>48840</v>
      </c>
      <c r="G26" s="283">
        <f>'May 2025 - Prodn &amp; Sales'!G25</f>
        <v>3280</v>
      </c>
      <c r="H26" s="283">
        <f>'May 2025 - Prodn &amp; Sales'!H25</f>
        <v>52120</v>
      </c>
      <c r="I26" s="283">
        <f>'May 2025 - Prodn &amp; Sales'!I25</f>
        <v>1744610.74</v>
      </c>
      <c r="J26" s="283">
        <f>'May 2025 - Prodn &amp; Sales'!J25</f>
        <v>11310.34</v>
      </c>
      <c r="K26" s="283">
        <f>'May 2025 - Prodn &amp; Sales'!K25</f>
        <v>1755921.08</v>
      </c>
      <c r="L26" s="627"/>
      <c r="M26" s="290">
        <f t="shared" si="9"/>
        <v>35.720940622440622</v>
      </c>
      <c r="N26" s="237">
        <f t="shared" si="10"/>
        <v>0.27638866265640749</v>
      </c>
      <c r="O26" s="257">
        <f>'Jan 2025-Prodn &amp; Sales Analysis'!O30</f>
        <v>5024.4923076923069</v>
      </c>
      <c r="P26" s="291">
        <f t="shared" si="11"/>
        <v>111.13719870664318</v>
      </c>
      <c r="Q26" s="629"/>
      <c r="R26" s="479"/>
    </row>
    <row r="27" spans="2:18" ht="15" customHeight="1" x14ac:dyDescent="0.2">
      <c r="B27" s="277" t="s">
        <v>53</v>
      </c>
      <c r="C27" s="278">
        <f>'May 2025 - Prodn &amp; Sales'!C28</f>
        <v>63765</v>
      </c>
      <c r="D27" s="278">
        <f>'May 2025 - Prodn &amp; Sales'!D28</f>
        <v>200</v>
      </c>
      <c r="E27" s="278">
        <f>'May 2025 - Prodn &amp; Sales'!E28</f>
        <v>63565</v>
      </c>
      <c r="F27" s="278">
        <f>'May 2025 - Prodn &amp; Sales'!F28</f>
        <v>65760</v>
      </c>
      <c r="G27" s="278">
        <f>'May 2025 - Prodn &amp; Sales'!G28</f>
        <v>460</v>
      </c>
      <c r="H27" s="278">
        <f>'May 2025 - Prodn &amp; Sales'!H28</f>
        <v>66220</v>
      </c>
      <c r="I27" s="278">
        <f>'May 2025 - Prodn &amp; Sales'!I28</f>
        <v>2372555.71</v>
      </c>
      <c r="J27" s="278">
        <f>'May 2025 - Prodn &amp; Sales'!J28</f>
        <v>1586.2</v>
      </c>
      <c r="K27" s="278">
        <f>'May 2025 - Prodn &amp; Sales'!K28</f>
        <v>2374141.91</v>
      </c>
      <c r="L27" s="626">
        <f>(F27+F28)/(E27+E28)</f>
        <v>1.038660859833094</v>
      </c>
      <c r="M27" s="279">
        <f t="shared" si="9"/>
        <v>36.079010188564475</v>
      </c>
      <c r="N27" s="231">
        <f t="shared" si="10"/>
        <v>0.27915920471925448</v>
      </c>
      <c r="O27" s="281">
        <f>'Jan 2025-Prodn &amp; Sales Analysis'!O29</f>
        <v>7381.6615384615379</v>
      </c>
      <c r="P27" s="229">
        <f t="shared" si="11"/>
        <v>103.65958883553422</v>
      </c>
      <c r="Q27" s="628">
        <f>(K27+K28)*12/(O27+O28)/129.2417</f>
        <v>29.50502059834303</v>
      </c>
      <c r="R27" s="479"/>
    </row>
    <row r="28" spans="2:18" ht="15" customHeight="1" thickBot="1" x14ac:dyDescent="0.25">
      <c r="B28" s="282" t="s">
        <v>45</v>
      </c>
      <c r="C28" s="283">
        <f>'May 2025 - Prodn &amp; Sales'!C29</f>
        <v>18804</v>
      </c>
      <c r="D28" s="283">
        <f>'May 2025 - Prodn &amp; Sales'!D29</f>
        <v>167</v>
      </c>
      <c r="E28" s="283">
        <f>'May 2025 - Prodn &amp; Sales'!E29</f>
        <v>18637</v>
      </c>
      <c r="F28" s="283">
        <f>'May 2025 - Prodn &amp; Sales'!F29</f>
        <v>19620</v>
      </c>
      <c r="G28" s="283">
        <f>'May 2025 - Prodn &amp; Sales'!G29</f>
        <v>0</v>
      </c>
      <c r="H28" s="283">
        <f>'May 2025 - Prodn &amp; Sales'!H29</f>
        <v>19620</v>
      </c>
      <c r="I28" s="283">
        <f>'May 2025 - Prodn &amp; Sales'!I29</f>
        <v>760021.45000000007</v>
      </c>
      <c r="J28" s="283">
        <f>'May 2025 - Prodn &amp; Sales'!J29</f>
        <v>0</v>
      </c>
      <c r="K28" s="283">
        <f>'May 2025 - Prodn &amp; Sales'!K29</f>
        <v>760021.45000000007</v>
      </c>
      <c r="L28" s="627"/>
      <c r="M28" s="284">
        <f t="shared" si="9"/>
        <v>38.737076962283389</v>
      </c>
      <c r="N28" s="237">
        <f t="shared" si="10"/>
        <v>0.29972583896902771</v>
      </c>
      <c r="O28" s="257">
        <f>'Jan 2025-Prodn &amp; Sales Analysis'!O38</f>
        <v>2481.2307692307691</v>
      </c>
      <c r="P28" s="242">
        <f t="shared" si="11"/>
        <v>90.941964285714292</v>
      </c>
      <c r="Q28" s="629"/>
      <c r="R28" s="479"/>
    </row>
    <row r="29" spans="2:18" ht="15" customHeight="1" x14ac:dyDescent="0.2">
      <c r="B29" s="292" t="s">
        <v>49</v>
      </c>
      <c r="C29" s="278">
        <f>'May 2025 - Prodn &amp; Sales'!C35</f>
        <v>37743</v>
      </c>
      <c r="D29" s="278">
        <f>'May 2025 - Prodn &amp; Sales'!D35</f>
        <v>191</v>
      </c>
      <c r="E29" s="278">
        <f>'May 2025 - Prodn &amp; Sales'!E35</f>
        <v>37552</v>
      </c>
      <c r="F29" s="278">
        <f>'May 2025 - Prodn &amp; Sales'!F35</f>
        <v>38840</v>
      </c>
      <c r="G29" s="278">
        <f>'May 2025 - Prodn &amp; Sales'!G35</f>
        <v>760</v>
      </c>
      <c r="H29" s="278">
        <f>'May 2025 - Prodn &amp; Sales'!H35</f>
        <v>39600</v>
      </c>
      <c r="I29" s="278">
        <f>'May 2025 - Prodn &amp; Sales'!I35</f>
        <v>1403469.52</v>
      </c>
      <c r="J29" s="278">
        <f>'May 2025 - Prodn &amp; Sales'!J35</f>
        <v>2620.6799999999998</v>
      </c>
      <c r="K29" s="278">
        <f>'May 2025 - Prodn &amp; Sales'!K35</f>
        <v>1406090.2</v>
      </c>
      <c r="L29" s="626">
        <f>(F29+F30)/(E29+E30)</f>
        <v>1.0019787731606404</v>
      </c>
      <c r="M29" s="287">
        <f t="shared" si="9"/>
        <v>36.134642636457258</v>
      </c>
      <c r="N29" s="231">
        <f t="shared" si="10"/>
        <v>0.279589657490247</v>
      </c>
      <c r="O29" s="281">
        <f>'Jan 2025-Prodn &amp; Sales Analysis'!O27</f>
        <v>5024.4923076923069</v>
      </c>
      <c r="P29" s="288">
        <f t="shared" si="11"/>
        <v>90.141644620811306</v>
      </c>
      <c r="Q29" s="628">
        <f>(K29+K30)*12/(O29+O30)/129.2417</f>
        <v>26.29094156996479</v>
      </c>
      <c r="R29" s="479"/>
    </row>
    <row r="30" spans="2:18" ht="15" customHeight="1" thickBot="1" x14ac:dyDescent="0.25">
      <c r="B30" s="293" t="s">
        <v>62</v>
      </c>
      <c r="C30" s="283">
        <f>'May 2025 - Prodn &amp; Sales'!C33</f>
        <v>23734</v>
      </c>
      <c r="D30" s="283">
        <f>'May 2025 - Prodn &amp; Sales'!D33</f>
        <v>137</v>
      </c>
      <c r="E30" s="283">
        <f>'May 2025 - Prodn &amp; Sales'!E33</f>
        <v>23597</v>
      </c>
      <c r="F30" s="283">
        <f>'May 2025 - Prodn &amp; Sales'!F33</f>
        <v>22430</v>
      </c>
      <c r="G30" s="283">
        <f>'May 2025 - Prodn &amp; Sales'!G33</f>
        <v>620</v>
      </c>
      <c r="H30" s="283">
        <f>'May 2025 - Prodn &amp; Sales'!H33</f>
        <v>23050</v>
      </c>
      <c r="I30" s="283">
        <f>'May 2025 - Prodn &amp; Sales'!I33</f>
        <v>769764.50999999989</v>
      </c>
      <c r="J30" s="283">
        <f>'May 2025 - Prodn &amp; Sales'!J33</f>
        <v>2137.9299999999998</v>
      </c>
      <c r="K30" s="283">
        <f>'May 2025 - Prodn &amp; Sales'!K33</f>
        <v>771902.44</v>
      </c>
      <c r="L30" s="627"/>
      <c r="M30" s="290">
        <f t="shared" si="9"/>
        <v>34.318524743646897</v>
      </c>
      <c r="N30" s="237">
        <f t="shared" si="10"/>
        <v>0.26553755284592273</v>
      </c>
      <c r="O30" s="257">
        <f>'Jan 2025-Prodn &amp; Sales Analysis'!O35</f>
        <v>2667.3230769230763</v>
      </c>
      <c r="P30" s="291">
        <f t="shared" si="11"/>
        <v>106.77671650055373</v>
      </c>
      <c r="Q30" s="629"/>
      <c r="R30" s="479"/>
    </row>
    <row r="31" spans="2:18" ht="14.25" customHeight="1" x14ac:dyDescent="0.2">
      <c r="B31" s="303" t="s">
        <v>44</v>
      </c>
      <c r="C31" s="304">
        <f>'May 2025 - Prodn &amp; Sales'!C30</f>
        <v>16370</v>
      </c>
      <c r="D31" s="304">
        <f>'May 2025 - Prodn &amp; Sales'!D30</f>
        <v>184</v>
      </c>
      <c r="E31" s="304">
        <f>'May 2025 - Prodn &amp; Sales'!E30</f>
        <v>16186</v>
      </c>
      <c r="F31" s="304">
        <f>'May 2025 - Prodn &amp; Sales'!F30</f>
        <v>19140</v>
      </c>
      <c r="G31" s="304">
        <f>'May 2025 - Prodn &amp; Sales'!G30</f>
        <v>20</v>
      </c>
      <c r="H31" s="304">
        <f>'May 2025 - Prodn &amp; Sales'!H30</f>
        <v>19160</v>
      </c>
      <c r="I31" s="304">
        <f>'May 2025 - Prodn &amp; Sales'!I30</f>
        <v>707525.11</v>
      </c>
      <c r="J31" s="304">
        <f>'May 2025 - Prodn &amp; Sales'!J30</f>
        <v>68.97</v>
      </c>
      <c r="K31" s="304">
        <f>'May 2025 - Prodn &amp; Sales'!K30</f>
        <v>707594.08</v>
      </c>
      <c r="L31" s="630">
        <f>(F31+F32+F33+F34)/(E31+E32+E33+E34)</f>
        <v>1.0544114616792524</v>
      </c>
      <c r="M31" s="279">
        <f t="shared" si="9"/>
        <v>36.965784221525603</v>
      </c>
      <c r="N31" s="280">
        <f t="shared" si="10"/>
        <v>0.28602056628414513</v>
      </c>
      <c r="O31" s="281">
        <f>'Jan 2025-Prodn &amp; Sales Analysis'!O36</f>
        <v>2357.1692307692306</v>
      </c>
      <c r="P31" s="229">
        <f t="shared" si="11"/>
        <v>83.337249373433593</v>
      </c>
      <c r="Q31" s="628">
        <f>(K31+K32+K33+K34)*12/(O31+O32+O33+O34)/129.2417</f>
        <v>23.144145803798779</v>
      </c>
      <c r="R31" s="479"/>
    </row>
    <row r="32" spans="2:18" ht="15" customHeight="1" x14ac:dyDescent="0.2">
      <c r="B32" s="305" t="s">
        <v>41</v>
      </c>
      <c r="C32" s="296">
        <f>'May 2025 - Prodn &amp; Sales'!C46</f>
        <v>16621</v>
      </c>
      <c r="D32" s="296">
        <f>'May 2025 - Prodn &amp; Sales'!D46</f>
        <v>164</v>
      </c>
      <c r="E32" s="296">
        <f>'May 2025 - Prodn &amp; Sales'!E46</f>
        <v>16457</v>
      </c>
      <c r="F32" s="296">
        <f>'May 2025 - Prodn &amp; Sales'!F46</f>
        <v>14290</v>
      </c>
      <c r="G32" s="296">
        <f>'May 2025 - Prodn &amp; Sales'!G46</f>
        <v>60</v>
      </c>
      <c r="H32" s="296">
        <f>'May 2025 - Prodn &amp; Sales'!H46</f>
        <v>14350</v>
      </c>
      <c r="I32" s="296">
        <f>'May 2025 - Prodn &amp; Sales'!I46</f>
        <v>519508.12</v>
      </c>
      <c r="J32" s="296">
        <f>'May 2025 - Prodn &amp; Sales'!J46</f>
        <v>206.9</v>
      </c>
      <c r="K32" s="296">
        <f>'May 2025 - Prodn &amp; Sales'!K46</f>
        <v>519715.02</v>
      </c>
      <c r="L32" s="631"/>
      <c r="M32" s="306">
        <f t="shared" si="9"/>
        <v>36.354662001399582</v>
      </c>
      <c r="N32" s="298">
        <f t="shared" si="10"/>
        <v>0.28129204429684523</v>
      </c>
      <c r="O32" s="299">
        <f>'Jan 2025-Prodn &amp; Sales Analysis'!O41</f>
        <v>3225.5999999999995</v>
      </c>
      <c r="P32" s="20">
        <f t="shared" si="11"/>
        <v>61.834077380952394</v>
      </c>
      <c r="Q32" s="633"/>
      <c r="R32" s="479"/>
    </row>
    <row r="33" spans="2:18" ht="15" customHeight="1" x14ac:dyDescent="0.2">
      <c r="B33" s="305" t="s">
        <v>46</v>
      </c>
      <c r="C33" s="296">
        <f>'May 2025 - Prodn &amp; Sales'!C26</f>
        <v>38037</v>
      </c>
      <c r="D33" s="296">
        <f>'May 2025 - Prodn &amp; Sales'!D26</f>
        <v>215</v>
      </c>
      <c r="E33" s="296">
        <f>'May 2025 - Prodn &amp; Sales'!E26</f>
        <v>37822</v>
      </c>
      <c r="F33" s="296">
        <f>'May 2025 - Prodn &amp; Sales'!F26</f>
        <v>44760</v>
      </c>
      <c r="G33" s="296">
        <f>'May 2025 - Prodn &amp; Sales'!G26</f>
        <v>160</v>
      </c>
      <c r="H33" s="296">
        <f>'May 2025 - Prodn &amp; Sales'!H26</f>
        <v>44920</v>
      </c>
      <c r="I33" s="296">
        <f>'May 2025 - Prodn &amp; Sales'!I26</f>
        <v>1705104.79</v>
      </c>
      <c r="J33" s="296">
        <f>'May 2025 - Prodn &amp; Sales'!J26</f>
        <v>551.72</v>
      </c>
      <c r="K33" s="296">
        <f>'May 2025 - Prodn &amp; Sales'!K26</f>
        <v>1705656.51</v>
      </c>
      <c r="L33" s="631"/>
      <c r="M33" s="306">
        <f t="shared" si="9"/>
        <v>38.094387622877569</v>
      </c>
      <c r="N33" s="298">
        <f t="shared" si="10"/>
        <v>0.29475306826571895</v>
      </c>
      <c r="O33" s="299">
        <f>'Jan 2025-Prodn &amp; Sales Analysis'!O34</f>
        <v>5027.4461538461537</v>
      </c>
      <c r="P33" s="20">
        <f t="shared" si="11"/>
        <v>90.790430376028212</v>
      </c>
      <c r="Q33" s="633"/>
      <c r="R33" s="479"/>
    </row>
    <row r="34" spans="2:18" ht="15" customHeight="1" thickBot="1" x14ac:dyDescent="0.25">
      <c r="B34" s="307" t="s">
        <v>59</v>
      </c>
      <c r="C34" s="302">
        <f>'May 2025 - Prodn &amp; Sales'!C48</f>
        <v>12201</v>
      </c>
      <c r="D34" s="302">
        <f>'May 2025 - Prodn &amp; Sales'!D48</f>
        <v>165</v>
      </c>
      <c r="E34" s="302">
        <f>'May 2025 - Prodn &amp; Sales'!E48</f>
        <v>12036</v>
      </c>
      <c r="F34" s="302">
        <f>'May 2025 - Prodn &amp; Sales'!F48</f>
        <v>8800</v>
      </c>
      <c r="G34" s="302">
        <f>'May 2025 - Prodn &amp; Sales'!G48</f>
        <v>1500</v>
      </c>
      <c r="H34" s="302">
        <f>'May 2025 - Prodn &amp; Sales'!H48</f>
        <v>10300</v>
      </c>
      <c r="I34" s="302">
        <f>'May 2025 - Prodn &amp; Sales'!I48</f>
        <v>325110.84999999998</v>
      </c>
      <c r="J34" s="302">
        <f>'May 2025 - Prodn &amp; Sales'!J48</f>
        <v>5172.41</v>
      </c>
      <c r="K34" s="302">
        <f>'May 2025 - Prodn &amp; Sales'!K48</f>
        <v>330283.25999999995</v>
      </c>
      <c r="L34" s="632"/>
      <c r="M34" s="284">
        <f t="shared" si="9"/>
        <v>36.944414772727271</v>
      </c>
      <c r="N34" s="298">
        <f t="shared" si="10"/>
        <v>0.28585522143957615</v>
      </c>
      <c r="O34" s="257">
        <f>'Jan 2025-Prodn &amp; Sales Analysis'!O48</f>
        <v>2481.2307692307691</v>
      </c>
      <c r="P34" s="242">
        <f t="shared" si="11"/>
        <v>59.007812500000007</v>
      </c>
      <c r="Q34" s="629"/>
      <c r="R34" s="479"/>
    </row>
    <row r="35" spans="2:18" ht="15" customHeight="1" x14ac:dyDescent="0.2">
      <c r="B35" s="316" t="s">
        <v>51</v>
      </c>
      <c r="C35" s="304">
        <f>'May 2025 - Prodn &amp; Sales'!C36</f>
        <v>58712</v>
      </c>
      <c r="D35" s="304">
        <f>'May 2025 - Prodn &amp; Sales'!D36</f>
        <v>240</v>
      </c>
      <c r="E35" s="304">
        <f>'May 2025 - Prodn &amp; Sales'!E36</f>
        <v>58472</v>
      </c>
      <c r="F35" s="304">
        <f>'May 2025 - Prodn &amp; Sales'!F36</f>
        <v>62200</v>
      </c>
      <c r="G35" s="304">
        <f>'May 2025 - Prodn &amp; Sales'!G36</f>
        <v>1920</v>
      </c>
      <c r="H35" s="304">
        <f>'May 2025 - Prodn &amp; Sales'!H36</f>
        <v>64120</v>
      </c>
      <c r="I35" s="304">
        <f>'May 2025 - Prodn &amp; Sales'!I36</f>
        <v>2177574.3899999997</v>
      </c>
      <c r="J35" s="304">
        <f>'May 2025 - Prodn &amp; Sales'!J36</f>
        <v>6620.65</v>
      </c>
      <c r="K35" s="304">
        <f>'May 2025 - Prodn &amp; Sales'!K36</f>
        <v>2184195.0399999996</v>
      </c>
      <c r="L35" s="626">
        <f>(F35+F36)/(E35+E36)</f>
        <v>1.0281133957767554</v>
      </c>
      <c r="M35" s="279">
        <f t="shared" si="9"/>
        <v>35.009234565916394</v>
      </c>
      <c r="N35" s="231">
        <f t="shared" si="10"/>
        <v>0.27088187919159523</v>
      </c>
      <c r="O35" s="281">
        <f>'Jan 2025-Prodn &amp; Sales Analysis'!O26</f>
        <v>8436.1846153846163</v>
      </c>
      <c r="P35" s="229">
        <f t="shared" si="11"/>
        <v>83.514530812324921</v>
      </c>
      <c r="Q35" s="628">
        <f>(K35+K36)*12/(O35+O36)/129.2417</f>
        <v>22.629485762022455</v>
      </c>
      <c r="R35" s="479"/>
    </row>
    <row r="36" spans="2:18" ht="15" customHeight="1" thickBot="1" x14ac:dyDescent="0.25">
      <c r="B36" s="400" t="s">
        <v>42</v>
      </c>
      <c r="C36" s="283">
        <f>'May 2025 - Prodn &amp; Sales'!C44</f>
        <v>13825</v>
      </c>
      <c r="D36" s="283">
        <f>'May 2025 - Prodn &amp; Sales'!D44</f>
        <v>125</v>
      </c>
      <c r="E36" s="283">
        <f>'May 2025 - Prodn &amp; Sales'!E44</f>
        <v>13700</v>
      </c>
      <c r="F36" s="283">
        <f>'May 2025 - Prodn &amp; Sales'!F44</f>
        <v>12001</v>
      </c>
      <c r="G36" s="283">
        <f>'May 2025 - Prodn &amp; Sales'!G44</f>
        <v>1800</v>
      </c>
      <c r="H36" s="283">
        <f>'May 2025 - Prodn &amp; Sales'!H44</f>
        <v>13801</v>
      </c>
      <c r="I36" s="283">
        <f>'May 2025 - Prodn &amp; Sales'!I44</f>
        <v>440184.13</v>
      </c>
      <c r="J36" s="283">
        <f>'May 2025 - Prodn &amp; Sales'!J44</f>
        <v>6206.9</v>
      </c>
      <c r="K36" s="283">
        <f>'May 2025 - Prodn &amp; Sales'!K44</f>
        <v>446391.03</v>
      </c>
      <c r="L36" s="627"/>
      <c r="M36" s="284">
        <f t="shared" si="9"/>
        <v>36.678954253812179</v>
      </c>
      <c r="N36" s="237">
        <f t="shared" si="10"/>
        <v>0.28380123639515864</v>
      </c>
      <c r="O36" s="257">
        <f>'Jan 2025-Prodn &amp; Sales Analysis'!O37</f>
        <v>2357.1692307692306</v>
      </c>
      <c r="P36" s="242">
        <f t="shared" si="11"/>
        <v>70.381030701754383</v>
      </c>
      <c r="Q36" s="629"/>
      <c r="R36" s="479"/>
    </row>
    <row r="37" spans="2:18" ht="15" customHeight="1" x14ac:dyDescent="0.2">
      <c r="B37" s="308" t="s">
        <v>55</v>
      </c>
      <c r="C37" s="309">
        <f>'May 2025 - Prodn &amp; Sales'!C37</f>
        <v>35402</v>
      </c>
      <c r="D37" s="309">
        <f>'May 2025 - Prodn &amp; Sales'!D37</f>
        <v>155</v>
      </c>
      <c r="E37" s="309">
        <f>'May 2025 - Prodn &amp; Sales'!E37</f>
        <v>35247</v>
      </c>
      <c r="F37" s="309">
        <f>'May 2025 - Prodn &amp; Sales'!F37</f>
        <v>33920</v>
      </c>
      <c r="G37" s="309">
        <f>'May 2025 - Prodn &amp; Sales'!G37</f>
        <v>300</v>
      </c>
      <c r="H37" s="309">
        <f>'May 2025 - Prodn &amp; Sales'!H37</f>
        <v>34220</v>
      </c>
      <c r="I37" s="309">
        <f>'May 2025 - Prodn &amp; Sales'!I37</f>
        <v>1255315.29</v>
      </c>
      <c r="J37" s="309">
        <f>'May 2025 - Prodn &amp; Sales'!J37</f>
        <v>1034.48</v>
      </c>
      <c r="K37" s="309">
        <f>'May 2025 - Prodn &amp; Sales'!K37</f>
        <v>1256349.77</v>
      </c>
      <c r="L37" s="626">
        <f>(F37+F38)/(E37+E38)</f>
        <v>0.88773720614026441</v>
      </c>
      <c r="M37" s="287">
        <f t="shared" si="9"/>
        <v>37.00811586084906</v>
      </c>
      <c r="N37" s="231">
        <f t="shared" si="10"/>
        <v>0.28634810483651219</v>
      </c>
      <c r="O37" s="281">
        <f>'Jan 2025-Prodn &amp; Sales Analysis'!O39</f>
        <v>5055.5076923076922</v>
      </c>
      <c r="P37" s="288">
        <f t="shared" si="11"/>
        <v>84.031916447560619</v>
      </c>
      <c r="Q37" s="628">
        <f>(K37+K38)*12/(O37+O38)/129.2417</f>
        <v>22.117197799528668</v>
      </c>
      <c r="R37" s="479"/>
    </row>
    <row r="38" spans="2:18" ht="15" customHeight="1" thickBot="1" x14ac:dyDescent="0.25">
      <c r="B38" s="310" t="s">
        <v>63</v>
      </c>
      <c r="C38" s="283">
        <f>'May 2025 - Prodn &amp; Sales'!C40</f>
        <v>15546</v>
      </c>
      <c r="D38" s="283">
        <f>'May 2025 - Prodn &amp; Sales'!D40</f>
        <v>46</v>
      </c>
      <c r="E38" s="283">
        <f>'May 2025 - Prodn &amp; Sales'!E40</f>
        <v>15500</v>
      </c>
      <c r="F38" s="283">
        <f>'May 2025 - Prodn &amp; Sales'!F40</f>
        <v>11130</v>
      </c>
      <c r="G38" s="283">
        <f>'May 2025 - Prodn &amp; Sales'!G40</f>
        <v>5960</v>
      </c>
      <c r="H38" s="283">
        <f>'May 2025 - Prodn &amp; Sales'!H40</f>
        <v>17090</v>
      </c>
      <c r="I38" s="283">
        <f>'May 2025 - Prodn &amp; Sales'!I40</f>
        <v>517665.80999999994</v>
      </c>
      <c r="J38" s="283">
        <f>'May 2025 - Prodn &amp; Sales'!J40</f>
        <v>21275.87</v>
      </c>
      <c r="K38" s="283">
        <f>'May 2025 - Prodn &amp; Sales'!K40</f>
        <v>538941.67999999993</v>
      </c>
      <c r="L38" s="627"/>
      <c r="M38" s="290">
        <f t="shared" si="9"/>
        <v>46.51085444743935</v>
      </c>
      <c r="N38" s="237">
        <f t="shared" si="10"/>
        <v>0.35987498189391925</v>
      </c>
      <c r="O38" s="257">
        <f>'Jan 2025-Prodn &amp; Sales Analysis'!O50</f>
        <v>2481.2307692307691</v>
      </c>
      <c r="P38" s="291">
        <f t="shared" si="11"/>
        <v>75.185267857142861</v>
      </c>
      <c r="Q38" s="629"/>
      <c r="R38" s="479"/>
    </row>
    <row r="39" spans="2:18" ht="15" customHeight="1" thickBot="1" x14ac:dyDescent="0.25">
      <c r="B39" s="343" t="s">
        <v>38</v>
      </c>
      <c r="C39" s="344">
        <f>'May 2025 - Prodn &amp; Sales'!C39</f>
        <v>20508</v>
      </c>
      <c r="D39" s="344">
        <f>'May 2025 - Prodn &amp; Sales'!D39</f>
        <v>221</v>
      </c>
      <c r="E39" s="344">
        <f>'May 2025 - Prodn &amp; Sales'!E39</f>
        <v>20287</v>
      </c>
      <c r="F39" s="344">
        <f>'May 2025 - Prodn &amp; Sales'!F39</f>
        <v>17960</v>
      </c>
      <c r="G39" s="344">
        <f>'May 2025 - Prodn &amp; Sales'!G39</f>
        <v>1760</v>
      </c>
      <c r="H39" s="344">
        <f>'May 2025 - Prodn &amp; Sales'!H39</f>
        <v>19720</v>
      </c>
      <c r="I39" s="344">
        <f>'May 2025 - Prodn &amp; Sales'!I39</f>
        <v>680001.46</v>
      </c>
      <c r="J39" s="344">
        <f>'May 2025 - Prodn &amp; Sales'!J39</f>
        <v>6068.95</v>
      </c>
      <c r="K39" s="344">
        <f>'May 2025 - Prodn &amp; Sales'!K39</f>
        <v>686070.40999999992</v>
      </c>
      <c r="L39" s="324">
        <f>F39/E39</f>
        <v>0.88529600236604722</v>
      </c>
      <c r="M39" s="345">
        <f t="shared" si="9"/>
        <v>37.861996659242763</v>
      </c>
      <c r="N39" s="346">
        <f t="shared" si="10"/>
        <v>0.29295495694688911</v>
      </c>
      <c r="O39" s="250">
        <f>'Jan 2025-Prodn &amp; Sales Analysis'!O46</f>
        <v>3039.5076923076917</v>
      </c>
      <c r="P39" s="250">
        <f t="shared" si="11"/>
        <v>80.96574344023324</v>
      </c>
      <c r="Q39" s="325">
        <f>(K39*12/O39)/129.2417</f>
        <v>20.95771962579213</v>
      </c>
      <c r="R39" s="479"/>
    </row>
    <row r="40" spans="2:18" ht="15" customHeight="1" x14ac:dyDescent="0.2">
      <c r="B40" s="311" t="s">
        <v>66</v>
      </c>
      <c r="C40" s="304">
        <f>'May 2025 - Prodn &amp; Sales'!C53</f>
        <v>7352</v>
      </c>
      <c r="D40" s="304">
        <f>'May 2025 - Prodn &amp; Sales'!D53</f>
        <v>90</v>
      </c>
      <c r="E40" s="304">
        <f>'May 2025 - Prodn &amp; Sales'!E53</f>
        <v>7262</v>
      </c>
      <c r="F40" s="304">
        <f>'May 2025 - Prodn &amp; Sales'!F53</f>
        <v>6500</v>
      </c>
      <c r="G40" s="304">
        <f>'May 2025 - Prodn &amp; Sales'!G53</f>
        <v>1400</v>
      </c>
      <c r="H40" s="304">
        <f>'May 2025 - Prodn &amp; Sales'!H53</f>
        <v>7900</v>
      </c>
      <c r="I40" s="304">
        <f>'May 2025 - Prodn &amp; Sales'!I53</f>
        <v>216037.93</v>
      </c>
      <c r="J40" s="304">
        <f>'May 2025 - Prodn &amp; Sales'!J53</f>
        <v>4827.58</v>
      </c>
      <c r="K40" s="304">
        <f>'May 2025 - Prodn &amp; Sales'!K53</f>
        <v>220865.50999999998</v>
      </c>
      <c r="L40" s="626">
        <f>(F40+F41)/(E40+E41)</f>
        <v>0.93929812847351779</v>
      </c>
      <c r="M40" s="279">
        <f t="shared" si="9"/>
        <v>33.236604615384614</v>
      </c>
      <c r="N40" s="231">
        <f t="shared" si="10"/>
        <v>0.25716625992527653</v>
      </c>
      <c r="O40" s="281">
        <f>'Jan 2025-Prodn &amp; Sales Analysis'!O47</f>
        <v>2605.292307692308</v>
      </c>
      <c r="P40" s="229">
        <f t="shared" si="11"/>
        <v>33.863378684807252</v>
      </c>
      <c r="Q40" s="628">
        <f>(K40+K41)*12/(O40+O41)/129.2417</f>
        <v>20.557059480691716</v>
      </c>
      <c r="R40" s="479"/>
    </row>
    <row r="41" spans="2:18" ht="15" customHeight="1" thickBot="1" x14ac:dyDescent="0.25">
      <c r="B41" s="312" t="s">
        <v>39</v>
      </c>
      <c r="C41" s="283">
        <f>'May 2025 - Prodn &amp; Sales'!C32</f>
        <v>43845</v>
      </c>
      <c r="D41" s="283">
        <f>'May 2025 - Prodn &amp; Sales'!D32</f>
        <v>186</v>
      </c>
      <c r="E41" s="283">
        <f>'May 2025 - Prodn &amp; Sales'!E32</f>
        <v>43659</v>
      </c>
      <c r="F41" s="283">
        <f>'May 2025 - Prodn &amp; Sales'!F32</f>
        <v>41330</v>
      </c>
      <c r="G41" s="283">
        <f>'May 2025 - Prodn &amp; Sales'!G32</f>
        <v>3700</v>
      </c>
      <c r="H41" s="283">
        <f>'May 2025 - Prodn &amp; Sales'!H32</f>
        <v>45030</v>
      </c>
      <c r="I41" s="283">
        <f>'May 2025 - Prodn &amp; Sales'!I32</f>
        <v>1483096.3400000003</v>
      </c>
      <c r="J41" s="283">
        <f>'May 2025 - Prodn &amp; Sales'!J32</f>
        <v>12758.63</v>
      </c>
      <c r="K41" s="283">
        <f>'May 2025 - Prodn &amp; Sales'!K32</f>
        <v>1495854.9700000002</v>
      </c>
      <c r="L41" s="627"/>
      <c r="M41" s="284">
        <f t="shared" si="9"/>
        <v>35.884256956206151</v>
      </c>
      <c r="N41" s="237">
        <f t="shared" si="10"/>
        <v>0.27765231311725358</v>
      </c>
      <c r="O41" s="257">
        <f>'Jan 2025-Prodn &amp; Sales Analysis'!O32</f>
        <v>5148.5538461538454</v>
      </c>
      <c r="P41" s="242">
        <f t="shared" si="11"/>
        <v>102.19180292598969</v>
      </c>
      <c r="Q41" s="629"/>
      <c r="R41" s="479"/>
    </row>
    <row r="42" spans="2:18" ht="13.5" customHeight="1" x14ac:dyDescent="0.2">
      <c r="B42" s="294" t="s">
        <v>50</v>
      </c>
      <c r="C42" s="278">
        <f>'May 2025 - Prodn &amp; Sales'!C27</f>
        <v>19115</v>
      </c>
      <c r="D42" s="278">
        <f>'May 2025 - Prodn &amp; Sales'!D27</f>
        <v>115</v>
      </c>
      <c r="E42" s="278">
        <f>'May 2025 - Prodn &amp; Sales'!E27</f>
        <v>19000</v>
      </c>
      <c r="F42" s="278">
        <f>'May 2025 - Prodn &amp; Sales'!F27</f>
        <v>24010</v>
      </c>
      <c r="G42" s="278">
        <f>'May 2025 - Prodn &amp; Sales'!G27</f>
        <v>9020</v>
      </c>
      <c r="H42" s="278">
        <f>'May 2025 - Prodn &amp; Sales'!H27</f>
        <v>33030</v>
      </c>
      <c r="I42" s="278">
        <f>'May 2025 - Prodn &amp; Sales'!I27</f>
        <v>831747.17</v>
      </c>
      <c r="J42" s="278">
        <f>'May 2025 - Prodn &amp; Sales'!J27</f>
        <v>31103.43</v>
      </c>
      <c r="K42" s="278">
        <f>'May 2025 - Prodn &amp; Sales'!K27</f>
        <v>862850.60000000009</v>
      </c>
      <c r="L42" s="626">
        <f>(F42+F43+F44)/(C42+C43+C44)</f>
        <v>0.80766550522648084</v>
      </c>
      <c r="M42" s="287">
        <f t="shared" si="9"/>
        <v>34.641698042482304</v>
      </c>
      <c r="N42" s="280">
        <f t="shared" si="10"/>
        <v>0.26803808710719762</v>
      </c>
      <c r="O42" s="281">
        <f>'Jan 2025-Prodn &amp; Sales Analysis'!O28</f>
        <v>2667.3230769230763</v>
      </c>
      <c r="P42" s="288">
        <f t="shared" si="11"/>
        <v>85.99633167220378</v>
      </c>
      <c r="Q42" s="628">
        <f>(K42+K43+K44)*12/(O42+O43+O44)/129.2417</f>
        <v>19.395045590586285</v>
      </c>
      <c r="R42" s="479"/>
    </row>
    <row r="43" spans="2:18" ht="15" customHeight="1" x14ac:dyDescent="0.2">
      <c r="B43" s="295" t="s">
        <v>65</v>
      </c>
      <c r="C43" s="296">
        <f>'May 2025 - Prodn &amp; Sales'!C42</f>
        <v>19230</v>
      </c>
      <c r="D43" s="296">
        <f>'May 2025 - Prodn &amp; Sales'!D42</f>
        <v>122</v>
      </c>
      <c r="E43" s="296">
        <f>'May 2025 - Prodn &amp; Sales'!E42</f>
        <v>19108</v>
      </c>
      <c r="F43" s="296">
        <f>'May 2025 - Prodn &amp; Sales'!F42</f>
        <v>15620</v>
      </c>
      <c r="G43" s="296">
        <f>'May 2025 - Prodn &amp; Sales'!G42</f>
        <v>3400</v>
      </c>
      <c r="H43" s="296">
        <f>'May 2025 - Prodn &amp; Sales'!H42</f>
        <v>19020</v>
      </c>
      <c r="I43" s="296">
        <f>'May 2025 - Prodn &amp; Sales'!I42</f>
        <v>547384.28</v>
      </c>
      <c r="J43" s="296">
        <f>'May 2025 - Prodn &amp; Sales'!J42</f>
        <v>11724.14</v>
      </c>
      <c r="K43" s="296">
        <f>'May 2025 - Prodn &amp; Sales'!K42</f>
        <v>559108.42000000004</v>
      </c>
      <c r="L43" s="634"/>
      <c r="M43" s="297">
        <f t="shared" si="9"/>
        <v>35.043807938540333</v>
      </c>
      <c r="N43" s="298">
        <f t="shared" si="10"/>
        <v>0.27114938861482268</v>
      </c>
      <c r="O43" s="299">
        <f>'Jan 2025-Prodn &amp; Sales Analysis'!O45</f>
        <v>2788.4307692307689</v>
      </c>
      <c r="P43" s="300">
        <f t="shared" si="11"/>
        <v>82.756223516949163</v>
      </c>
      <c r="Q43" s="633"/>
      <c r="R43" s="479"/>
    </row>
    <row r="44" spans="2:18" ht="15" customHeight="1" thickBot="1" x14ac:dyDescent="0.25">
      <c r="B44" s="301" t="s">
        <v>61</v>
      </c>
      <c r="C44" s="302">
        <f>'May 2025 - Prodn &amp; Sales'!C52</f>
        <v>19055</v>
      </c>
      <c r="D44" s="302">
        <f>'May 2025 - Prodn &amp; Sales'!D52</f>
        <v>98</v>
      </c>
      <c r="E44" s="302">
        <f>'May 2025 - Prodn &amp; Sales'!E52</f>
        <v>18957</v>
      </c>
      <c r="F44" s="302">
        <f>'May 2025 - Prodn &amp; Sales'!F52</f>
        <v>6730</v>
      </c>
      <c r="G44" s="302">
        <f>'May 2025 - Prodn &amp; Sales'!G52</f>
        <v>0</v>
      </c>
      <c r="H44" s="302">
        <f>'May 2025 - Prodn &amp; Sales'!H52</f>
        <v>6730</v>
      </c>
      <c r="I44" s="302">
        <f>'May 2025 - Prodn &amp; Sales'!I52</f>
        <v>235976.97</v>
      </c>
      <c r="J44" s="302">
        <f>'May 2025 - Prodn &amp; Sales'!J52</f>
        <v>0</v>
      </c>
      <c r="K44" s="302">
        <f>'May 2025 - Prodn &amp; Sales'!K52</f>
        <v>235976.97</v>
      </c>
      <c r="L44" s="627"/>
      <c r="M44" s="290">
        <f t="shared" si="9"/>
        <v>35.063442793462109</v>
      </c>
      <c r="N44" s="285">
        <f t="shared" si="10"/>
        <v>0.27130131214199527</v>
      </c>
      <c r="O44" s="257">
        <f>'Jan 2025-Prodn &amp; Sales Analysis'!O51</f>
        <v>2481.2307692307695</v>
      </c>
      <c r="P44" s="291">
        <f t="shared" si="11"/>
        <v>92.155877976190467</v>
      </c>
      <c r="Q44" s="629"/>
      <c r="R44" s="479"/>
    </row>
    <row r="45" spans="2:18" ht="15" customHeight="1" x14ac:dyDescent="0.2">
      <c r="B45" s="322" t="s">
        <v>54</v>
      </c>
      <c r="C45" s="278">
        <f>'May 2025 - Prodn &amp; Sales'!C41</f>
        <v>28256</v>
      </c>
      <c r="D45" s="278">
        <f>'May 2025 - Prodn &amp; Sales'!D41</f>
        <v>197</v>
      </c>
      <c r="E45" s="278">
        <f>'May 2025 - Prodn &amp; Sales'!E41</f>
        <v>28059</v>
      </c>
      <c r="F45" s="278">
        <f>'May 2025 - Prodn &amp; Sales'!F41</f>
        <v>26110</v>
      </c>
      <c r="G45" s="278">
        <f>'May 2025 - Prodn &amp; Sales'!G41</f>
        <v>4980</v>
      </c>
      <c r="H45" s="278">
        <f>'May 2025 - Prodn &amp; Sales'!H41</f>
        <v>31090</v>
      </c>
      <c r="I45" s="278">
        <f>'May 2025 - Prodn &amp; Sales'!I41</f>
        <v>942191.86999999988</v>
      </c>
      <c r="J45" s="278">
        <f>'May 2025 - Prodn &amp; Sales'!J41</f>
        <v>17172.41</v>
      </c>
      <c r="K45" s="278">
        <f>'May 2025 - Prodn &amp; Sales'!K41</f>
        <v>959364.27999999991</v>
      </c>
      <c r="L45" s="626">
        <f>(F45+F46)/(E45+E46)</f>
        <v>1.0071853320118929</v>
      </c>
      <c r="M45" s="287">
        <f t="shared" si="9"/>
        <v>36.085479509766365</v>
      </c>
      <c r="N45" s="231">
        <f t="shared" si="10"/>
        <v>0.27920926070893809</v>
      </c>
      <c r="O45" s="281">
        <f>'Jan 2025-Prodn &amp; Sales Analysis'!O44</f>
        <v>4652.3076923076915</v>
      </c>
      <c r="P45" s="288">
        <f t="shared" si="11"/>
        <v>72.882539682539687</v>
      </c>
      <c r="Q45" s="628">
        <f>(K45+K46)*12/(O45+O46)/129.2417</f>
        <v>18.827274772893524</v>
      </c>
      <c r="R45" s="479"/>
    </row>
    <row r="46" spans="2:18" ht="15" customHeight="1" thickBot="1" x14ac:dyDescent="0.25">
      <c r="B46" s="323" t="s">
        <v>60</v>
      </c>
      <c r="C46" s="283">
        <f>'May 2025 - Prodn &amp; Sales'!C43</f>
        <v>12456</v>
      </c>
      <c r="D46" s="283">
        <f>'May 2025 - Prodn &amp; Sales'!D43</f>
        <v>155</v>
      </c>
      <c r="E46" s="283">
        <f>'May 2025 - Prodn &amp; Sales'!E43</f>
        <v>12301</v>
      </c>
      <c r="F46" s="283">
        <f>'May 2025 - Prodn &amp; Sales'!F43</f>
        <v>14540</v>
      </c>
      <c r="G46" s="283">
        <f>'May 2025 - Prodn &amp; Sales'!G43</f>
        <v>220</v>
      </c>
      <c r="H46" s="283">
        <f>'May 2025 - Prodn &amp; Sales'!H43</f>
        <v>14760</v>
      </c>
      <c r="I46" s="283">
        <f>'May 2025 - Prodn &amp; Sales'!I43</f>
        <v>511518.18999999994</v>
      </c>
      <c r="J46" s="283">
        <f>'May 2025 - Prodn &amp; Sales'!J43</f>
        <v>758.62</v>
      </c>
      <c r="K46" s="283">
        <f>'May 2025 - Prodn &amp; Sales'!K43</f>
        <v>512276.80999999994</v>
      </c>
      <c r="L46" s="627"/>
      <c r="M46" s="290">
        <f t="shared" si="9"/>
        <v>35.180068088033011</v>
      </c>
      <c r="N46" s="237">
        <f t="shared" si="10"/>
        <v>0.27220369345213663</v>
      </c>
      <c r="O46" s="257">
        <f>'Jan 2025-Prodn &amp; Sales Analysis'!O33</f>
        <v>2605.292307692308</v>
      </c>
      <c r="P46" s="291">
        <f t="shared" si="11"/>
        <v>57.372448979591823</v>
      </c>
      <c r="Q46" s="629"/>
      <c r="R46" s="479"/>
    </row>
    <row r="47" spans="2:18" ht="15" customHeight="1" x14ac:dyDescent="0.2">
      <c r="B47" s="313" t="s">
        <v>48</v>
      </c>
      <c r="C47" s="278">
        <f>'May 2025 - Prodn &amp; Sales'!C47</f>
        <v>6496</v>
      </c>
      <c r="D47" s="278">
        <f>'May 2025 - Prodn &amp; Sales'!D47</f>
        <v>85</v>
      </c>
      <c r="E47" s="278">
        <f>'May 2025 - Prodn &amp; Sales'!E47</f>
        <v>6411</v>
      </c>
      <c r="F47" s="278">
        <f>'May 2025 - Prodn &amp; Sales'!F47</f>
        <v>6580</v>
      </c>
      <c r="G47" s="278">
        <f>'May 2025 - Prodn &amp; Sales'!G47</f>
        <v>100</v>
      </c>
      <c r="H47" s="278">
        <f>'May 2025 - Prodn &amp; Sales'!H47</f>
        <v>6680</v>
      </c>
      <c r="I47" s="278">
        <f>'May 2025 - Prodn &amp; Sales'!I47</f>
        <v>241654.37</v>
      </c>
      <c r="J47" s="278">
        <f>'May 2025 - Prodn &amp; Sales'!J47</f>
        <v>344.83</v>
      </c>
      <c r="K47" s="278">
        <f>'May 2025 - Prodn &amp; Sales'!K47</f>
        <v>241999.19999999998</v>
      </c>
      <c r="L47" s="626">
        <f>(F47+F48)/(E47+E48)</f>
        <v>0.97259696458684652</v>
      </c>
      <c r="M47" s="287">
        <f t="shared" si="9"/>
        <v>36.725588145896658</v>
      </c>
      <c r="N47" s="231">
        <f t="shared" si="10"/>
        <v>0.28416206337348282</v>
      </c>
      <c r="O47" s="281">
        <f>'Jan 2025-Prodn &amp; Sales Analysis'!O40</f>
        <v>1736.8615384615382</v>
      </c>
      <c r="P47" s="288">
        <f t="shared" si="11"/>
        <v>44.880952380952387</v>
      </c>
      <c r="Q47" s="628">
        <f>(K47+K48)*12/(O47+O48)/129.2417</f>
        <v>18.318553021188976</v>
      </c>
      <c r="R47" s="479"/>
    </row>
    <row r="48" spans="2:18" ht="15" customHeight="1" thickBot="1" x14ac:dyDescent="0.25">
      <c r="B48" s="314" t="s">
        <v>56</v>
      </c>
      <c r="C48" s="315">
        <f>'May 2025 - Prodn &amp; Sales'!C38</f>
        <v>17495</v>
      </c>
      <c r="D48" s="315">
        <f>'May 2025 - Prodn &amp; Sales'!D38</f>
        <v>186</v>
      </c>
      <c r="E48" s="315">
        <f>'May 2025 - Prodn &amp; Sales'!E38</f>
        <v>17309</v>
      </c>
      <c r="F48" s="315">
        <f>'May 2025 - Prodn &amp; Sales'!F38</f>
        <v>16490</v>
      </c>
      <c r="G48" s="315">
        <f>'May 2025 - Prodn &amp; Sales'!G38</f>
        <v>280</v>
      </c>
      <c r="H48" s="315">
        <f>'May 2025 - Prodn &amp; Sales'!H38</f>
        <v>16770</v>
      </c>
      <c r="I48" s="315">
        <f>'May 2025 - Prodn &amp; Sales'!I38</f>
        <v>589237.1</v>
      </c>
      <c r="J48" s="315">
        <f>'May 2025 - Prodn &amp; Sales'!J38</f>
        <v>965.52</v>
      </c>
      <c r="K48" s="315">
        <f>'May 2025 - Prodn &amp; Sales'!K38</f>
        <v>590202.62</v>
      </c>
      <c r="L48" s="627"/>
      <c r="M48" s="290">
        <f t="shared" si="9"/>
        <v>35.732995755003031</v>
      </c>
      <c r="N48" s="237">
        <f t="shared" si="10"/>
        <v>0.27648193853069891</v>
      </c>
      <c r="O48" s="257">
        <f>'Jan 2025-Prodn &amp; Sales Analysis'!O43</f>
        <v>2481.2307692307691</v>
      </c>
      <c r="P48" s="291">
        <f t="shared" si="11"/>
        <v>84.61123511904762</v>
      </c>
      <c r="Q48" s="629"/>
      <c r="R48" s="479"/>
    </row>
    <row r="49" spans="1:18" ht="15" customHeight="1" thickBot="1" x14ac:dyDescent="0.25">
      <c r="B49" s="350" t="s">
        <v>40</v>
      </c>
      <c r="C49" s="296">
        <f>'May 2025 - Prodn &amp; Sales'!C45</f>
        <v>10670</v>
      </c>
      <c r="D49" s="296">
        <f>'May 2025 - Prodn &amp; Sales'!D45</f>
        <v>119</v>
      </c>
      <c r="E49" s="296">
        <f>'May 2025 - Prodn &amp; Sales'!E45</f>
        <v>10551</v>
      </c>
      <c r="F49" s="296">
        <f>'May 2025 - Prodn &amp; Sales'!F45</f>
        <v>11090</v>
      </c>
      <c r="G49" s="296">
        <f>'May 2025 - Prodn &amp; Sales'!G45</f>
        <v>0</v>
      </c>
      <c r="H49" s="296">
        <f>'May 2025 - Prodn &amp; Sales'!H45</f>
        <v>11090</v>
      </c>
      <c r="I49" s="296">
        <f>'May 2025 - Prodn &amp; Sales'!I45</f>
        <v>418036.8</v>
      </c>
      <c r="J49" s="296">
        <f>'May 2025 - Prodn &amp; Sales'!J45</f>
        <v>0</v>
      </c>
      <c r="K49" s="296">
        <f>'May 2025 - Prodn &amp; Sales'!K45</f>
        <v>418036.8</v>
      </c>
      <c r="L49" s="324">
        <f>F49/E49</f>
        <v>1.0510852051938204</v>
      </c>
      <c r="M49" s="347">
        <f t="shared" ref="M49" si="12">I49/F49</f>
        <v>37.694932371505857</v>
      </c>
      <c r="N49" s="348">
        <f t="shared" si="10"/>
        <v>0.29166230691414502</v>
      </c>
      <c r="O49" s="20">
        <f>'Jan 2025-Prodn &amp; Sales Analysis'!O42</f>
        <v>2481.2307692307691</v>
      </c>
      <c r="P49" s="20">
        <f t="shared" ref="P49" si="13">C49/O49*12</f>
        <v>51.60342261904762</v>
      </c>
      <c r="Q49" s="401">
        <f>(K49)*12/(O49)/129.2417</f>
        <v>15.643212346656357</v>
      </c>
      <c r="R49" s="479"/>
    </row>
    <row r="50" spans="1:18" ht="15" customHeight="1" x14ac:dyDescent="0.2">
      <c r="B50" s="318" t="s">
        <v>58</v>
      </c>
      <c r="C50" s="309">
        <f>'May 2025 - Prodn &amp; Sales'!C34</f>
        <v>30621</v>
      </c>
      <c r="D50" s="309">
        <f>'May 2025 - Prodn &amp; Sales'!D34</f>
        <v>326</v>
      </c>
      <c r="E50" s="309">
        <f>'May 2025 - Prodn &amp; Sales'!E34</f>
        <v>30295</v>
      </c>
      <c r="F50" s="309">
        <f>'May 2025 - Prodn &amp; Sales'!F34</f>
        <v>39770</v>
      </c>
      <c r="G50" s="309">
        <f>'May 2025 - Prodn &amp; Sales'!G34</f>
        <v>0</v>
      </c>
      <c r="H50" s="309">
        <f>'May 2025 - Prodn &amp; Sales'!H34</f>
        <v>39770</v>
      </c>
      <c r="I50" s="309">
        <f>'May 2025 - Prodn &amp; Sales'!I34</f>
        <v>1493018.19</v>
      </c>
      <c r="J50" s="309">
        <f>'May 2025 - Prodn &amp; Sales'!J34</f>
        <v>0</v>
      </c>
      <c r="K50" s="309">
        <f>'May 2025 - Prodn &amp; Sales'!K34</f>
        <v>1493018.19</v>
      </c>
      <c r="L50" s="630">
        <f>(F50+F51+F52+F53)/(E50+E51+E52+E53)</f>
        <v>0.89913600154027584</v>
      </c>
      <c r="M50" s="287">
        <f>I50/F50</f>
        <v>37.541317324616543</v>
      </c>
      <c r="N50" s="280">
        <f t="shared" si="10"/>
        <v>0.29047371958598922</v>
      </c>
      <c r="O50" s="281">
        <f>'Jan 2025-Prodn &amp; Sales Analysis'!O25</f>
        <v>5210.584615384616</v>
      </c>
      <c r="P50" s="288">
        <f>C50/O50*12</f>
        <v>70.520301870748298</v>
      </c>
      <c r="Q50" s="628">
        <f>(K50+K51+K52+K53)*12/(O50+O51+O52+O53)/129.2417</f>
        <v>14.317846192193988</v>
      </c>
      <c r="R50" s="479"/>
    </row>
    <row r="51" spans="1:18" ht="15" customHeight="1" x14ac:dyDescent="0.2">
      <c r="B51" s="319" t="s">
        <v>47</v>
      </c>
      <c r="C51" s="320">
        <f>'May 2025 - Prodn &amp; Sales'!C51</f>
        <v>27598</v>
      </c>
      <c r="D51" s="320">
        <f>'May 2025 - Prodn &amp; Sales'!D51</f>
        <v>248</v>
      </c>
      <c r="E51" s="320">
        <f>'May 2025 - Prodn &amp; Sales'!E51</f>
        <v>27350</v>
      </c>
      <c r="F51" s="320">
        <f>'May 2025 - Prodn &amp; Sales'!F51</f>
        <v>13390</v>
      </c>
      <c r="G51" s="320">
        <f>'May 2025 - Prodn &amp; Sales'!G51</f>
        <v>2700</v>
      </c>
      <c r="H51" s="320">
        <f>'May 2025 - Prodn &amp; Sales'!H51</f>
        <v>16090</v>
      </c>
      <c r="I51" s="320">
        <f>'May 2025 - Prodn &amp; Sales'!I51</f>
        <v>473581.2</v>
      </c>
      <c r="J51" s="320">
        <f>'May 2025 - Prodn &amp; Sales'!J51</f>
        <v>9310.34</v>
      </c>
      <c r="K51" s="320">
        <f>'May 2025 - Prodn &amp; Sales'!K51</f>
        <v>482891.54000000004</v>
      </c>
      <c r="L51" s="631"/>
      <c r="M51" s="297">
        <f>I51/F51</f>
        <v>35.36827483196415</v>
      </c>
      <c r="N51" s="298">
        <f t="shared" si="10"/>
        <v>0.27365993198761812</v>
      </c>
      <c r="O51" s="299">
        <f>'Jan 2025-Prodn &amp; Sales Analysis'!O52</f>
        <v>4993.4769230769225</v>
      </c>
      <c r="P51" s="300">
        <f>C51/O51*12</f>
        <v>66.321724341910681</v>
      </c>
      <c r="Q51" s="633"/>
      <c r="R51" s="479"/>
    </row>
    <row r="52" spans="1:18" ht="15" customHeight="1" x14ac:dyDescent="0.2">
      <c r="B52" s="319" t="s">
        <v>64</v>
      </c>
      <c r="C52" s="296">
        <f>'May 2025 - Prodn &amp; Sales'!C50</f>
        <v>15413</v>
      </c>
      <c r="D52" s="296">
        <f>'May 2025 - Prodn &amp; Sales'!D50</f>
        <v>159</v>
      </c>
      <c r="E52" s="296">
        <f>'May 2025 - Prodn &amp; Sales'!E50</f>
        <v>15254</v>
      </c>
      <c r="F52" s="296">
        <f>'May 2025 - Prodn &amp; Sales'!F50</f>
        <v>14030</v>
      </c>
      <c r="G52" s="296">
        <f>'May 2025 - Prodn &amp; Sales'!G50</f>
        <v>360</v>
      </c>
      <c r="H52" s="296">
        <f>'May 2025 - Prodn &amp; Sales'!H50</f>
        <v>14390</v>
      </c>
      <c r="I52" s="296">
        <f>'May 2025 - Prodn &amp; Sales'!I50</f>
        <v>486332.97000000003</v>
      </c>
      <c r="J52" s="296">
        <f>'May 2025 - Prodn &amp; Sales'!J50</f>
        <v>1241.3699999999999</v>
      </c>
      <c r="K52" s="296">
        <f>'May 2025 - Prodn &amp; Sales'!K50</f>
        <v>487574.34</v>
      </c>
      <c r="L52" s="631"/>
      <c r="M52" s="297">
        <f>I52/F52</f>
        <v>34.663789736279405</v>
      </c>
      <c r="N52" s="298">
        <f t="shared" si="10"/>
        <v>0.26820902027967292</v>
      </c>
      <c r="O52" s="299">
        <f>'Jan 2025-Prodn &amp; Sales Analysis'!O53</f>
        <v>5009.7230769230764</v>
      </c>
      <c r="P52" s="300">
        <f>C52/O52*12</f>
        <v>36.919405955188687</v>
      </c>
      <c r="Q52" s="633"/>
      <c r="R52" s="479"/>
    </row>
    <row r="53" spans="1:18" ht="15" customHeight="1" thickBot="1" x14ac:dyDescent="0.25">
      <c r="B53" s="321" t="s">
        <v>57</v>
      </c>
      <c r="C53" s="315">
        <f>'May 2025 - Prodn &amp; Sales'!C49</f>
        <v>10380</v>
      </c>
      <c r="D53" s="315">
        <f>'May 2025 - Prodn &amp; Sales'!D49</f>
        <v>177</v>
      </c>
      <c r="E53" s="315">
        <f>'May 2025 - Prodn &amp; Sales'!E49</f>
        <v>10203</v>
      </c>
      <c r="F53" s="315">
        <f>'May 2025 - Prodn &amp; Sales'!F49</f>
        <v>7530</v>
      </c>
      <c r="G53" s="315">
        <f>'May 2025 - Prodn &amp; Sales'!G49</f>
        <v>2220</v>
      </c>
      <c r="H53" s="315">
        <f>'May 2025 - Prodn &amp; Sales'!H49</f>
        <v>9750</v>
      </c>
      <c r="I53" s="315">
        <f>'May 2025 - Prodn &amp; Sales'!I49</f>
        <v>257524.72</v>
      </c>
      <c r="J53" s="315">
        <f>'May 2025 - Prodn &amp; Sales'!J49</f>
        <v>7655.16</v>
      </c>
      <c r="K53" s="315">
        <f>'May 2025 - Prodn &amp; Sales'!K49</f>
        <v>265179.88</v>
      </c>
      <c r="L53" s="632"/>
      <c r="M53" s="290">
        <f>I53/F53</f>
        <v>34.199830013280213</v>
      </c>
      <c r="N53" s="285">
        <f t="shared" si="10"/>
        <v>0.26461915939886438</v>
      </c>
      <c r="O53" s="257">
        <f>'Jan 2025-Prodn &amp; Sales Analysis'!O49</f>
        <v>2481.2307692307691</v>
      </c>
      <c r="P53" s="291">
        <f>C53/O53*12</f>
        <v>50.200892857142861</v>
      </c>
      <c r="Q53" s="629"/>
      <c r="R53" s="479"/>
    </row>
    <row r="54" spans="1:18" ht="15" customHeight="1" thickBot="1" x14ac:dyDescent="0.25">
      <c r="B54" s="21" t="s">
        <v>35</v>
      </c>
      <c r="C54" s="39">
        <f t="shared" ref="C54:K54" si="14">SUM(C25:C53)</f>
        <v>706491</v>
      </c>
      <c r="D54" s="39">
        <f t="shared" si="14"/>
        <v>4943</v>
      </c>
      <c r="E54" s="39">
        <f t="shared" si="14"/>
        <v>701548</v>
      </c>
      <c r="F54" s="39">
        <f t="shared" si="14"/>
        <v>683861</v>
      </c>
      <c r="G54" s="39">
        <f t="shared" si="14"/>
        <v>47400</v>
      </c>
      <c r="H54" s="39">
        <f t="shared" si="14"/>
        <v>731261</v>
      </c>
      <c r="I54" s="39">
        <f t="shared" si="14"/>
        <v>24861821.790000003</v>
      </c>
      <c r="J54" s="39">
        <f t="shared" si="14"/>
        <v>164172.29999999996</v>
      </c>
      <c r="K54" s="39">
        <f t="shared" si="14"/>
        <v>25025994.09</v>
      </c>
      <c r="L54" s="326">
        <f>F54/E54</f>
        <v>0.97478861033029818</v>
      </c>
      <c r="M54" s="39">
        <f>I54/F54</f>
        <v>36.355080623109089</v>
      </c>
      <c r="N54" s="478">
        <f t="shared" si="10"/>
        <v>0.28129528335753157</v>
      </c>
      <c r="O54" s="52">
        <f>SUM(O25:O53)</f>
        <v>106988.30769230766</v>
      </c>
      <c r="P54" s="328">
        <f>(C54/O54)*12</f>
        <v>79.241294519602462</v>
      </c>
      <c r="Q54" s="329">
        <f>(K54*12/O54)/129.2417</f>
        <v>21.718688862108067</v>
      </c>
      <c r="R54" s="330"/>
    </row>
    <row r="55" spans="1:18" ht="17.25" customHeight="1" thickTop="1" thickBot="1" x14ac:dyDescent="0.25">
      <c r="B55" s="26" t="s">
        <v>36</v>
      </c>
      <c r="C55" s="331"/>
      <c r="D55" s="275">
        <f>D54/C54</f>
        <v>6.9965505576150295E-3</v>
      </c>
      <c r="E55" s="332">
        <f>E54/C54</f>
        <v>0.99300344944238494</v>
      </c>
      <c r="F55" s="333"/>
      <c r="G55" s="30"/>
      <c r="H55" s="30"/>
      <c r="I55" s="30"/>
      <c r="J55" s="30"/>
      <c r="K55" s="30"/>
      <c r="L55" s="32"/>
      <c r="M55" s="30"/>
      <c r="N55" s="43"/>
      <c r="O55" s="34"/>
      <c r="P55" s="34"/>
      <c r="Q55" s="34"/>
    </row>
    <row r="56" spans="1:18" ht="18.75" customHeight="1" thickTop="1" x14ac:dyDescent="0.2">
      <c r="M56" s="45"/>
      <c r="N56" s="46"/>
      <c r="O56" s="47"/>
    </row>
    <row r="57" spans="1:18" s="48" customFormat="1" ht="15" customHeight="1" thickBot="1" x14ac:dyDescent="0.25">
      <c r="B57" s="49" t="s">
        <v>68</v>
      </c>
      <c r="C57" s="50">
        <f t="shared" ref="C57:K57" si="15">C22+C54</f>
        <v>1973086</v>
      </c>
      <c r="D57" s="51">
        <f t="shared" si="15"/>
        <v>10549</v>
      </c>
      <c r="E57" s="51">
        <f t="shared" si="15"/>
        <v>1962537</v>
      </c>
      <c r="F57" s="52">
        <f t="shared" si="15"/>
        <v>1652596</v>
      </c>
      <c r="G57" s="334">
        <f t="shared" si="15"/>
        <v>356180</v>
      </c>
      <c r="H57" s="23">
        <f t="shared" si="15"/>
        <v>2008776</v>
      </c>
      <c r="I57" s="53">
        <f t="shared" si="15"/>
        <v>40680582.640000001</v>
      </c>
      <c r="J57" s="334">
        <f t="shared" si="15"/>
        <v>1109620.82</v>
      </c>
      <c r="K57" s="52">
        <f t="shared" si="15"/>
        <v>41790203.460000001</v>
      </c>
      <c r="L57" s="335">
        <f>F57/E57</f>
        <v>0.84207125776482172</v>
      </c>
      <c r="M57" s="53">
        <f>I57/F57</f>
        <v>24.616169130265352</v>
      </c>
      <c r="N57" s="327">
        <f>M57/129.2417</f>
        <v>0.19046615086512597</v>
      </c>
      <c r="O57" s="52">
        <f>O54+O22</f>
        <v>193940.67692307688</v>
      </c>
      <c r="P57" s="328">
        <f>(C57/O57)*12</f>
        <v>122.08388861812146</v>
      </c>
      <c r="Q57" s="329">
        <f>(K57*12/O57)/129.2417</f>
        <v>20.007100907410411</v>
      </c>
    </row>
    <row r="58" spans="1:18" ht="16.5" customHeight="1" thickTop="1" thickBot="1" x14ac:dyDescent="0.25">
      <c r="B58" s="26" t="s">
        <v>36</v>
      </c>
      <c r="C58" s="336"/>
      <c r="D58" s="337">
        <f>D57/C57</f>
        <v>5.3464471391515625E-3</v>
      </c>
      <c r="E58" s="338">
        <f>E57/C57</f>
        <v>0.99465355286084844</v>
      </c>
      <c r="G58" s="56"/>
      <c r="N58" s="46"/>
    </row>
    <row r="59" spans="1:18" ht="16.5" customHeight="1" thickTop="1" x14ac:dyDescent="0.2">
      <c r="G59" s="57"/>
      <c r="H59" s="45"/>
    </row>
    <row r="60" spans="1:18" ht="16.5" customHeight="1" x14ac:dyDescent="0.2">
      <c r="A60" s="16"/>
      <c r="B60" s="48" t="s">
        <v>69</v>
      </c>
    </row>
    <row r="61" spans="1:18" ht="16.5" customHeight="1" x14ac:dyDescent="0.2">
      <c r="A61" s="16">
        <v>1</v>
      </c>
      <c r="B61" s="16" t="s">
        <v>70</v>
      </c>
    </row>
    <row r="62" spans="1:18" ht="16.5" customHeight="1" x14ac:dyDescent="0.2"/>
    <row r="63" spans="1:18" ht="16.5" customHeight="1" x14ac:dyDescent="0.2"/>
    <row r="64" spans="1:18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</sheetData>
  <mergeCells count="37">
    <mergeCell ref="L47:L48"/>
    <mergeCell ref="Q47:Q48"/>
    <mergeCell ref="L50:L53"/>
    <mergeCell ref="Q50:Q53"/>
    <mergeCell ref="L31:L34"/>
    <mergeCell ref="Q31:Q34"/>
    <mergeCell ref="L35:L36"/>
    <mergeCell ref="Q35:Q36"/>
    <mergeCell ref="L37:L38"/>
    <mergeCell ref="Q37:Q38"/>
    <mergeCell ref="L45:L46"/>
    <mergeCell ref="Q45:Q46"/>
    <mergeCell ref="L40:L41"/>
    <mergeCell ref="Q40:Q41"/>
    <mergeCell ref="L42:L44"/>
    <mergeCell ref="Q42:Q44"/>
    <mergeCell ref="L17:L19"/>
    <mergeCell ref="Q17:Q19"/>
    <mergeCell ref="B24:Q24"/>
    <mergeCell ref="L25:L26"/>
    <mergeCell ref="Q25:Q26"/>
    <mergeCell ref="L29:L30"/>
    <mergeCell ref="Q29:Q30"/>
    <mergeCell ref="B1:Q1"/>
    <mergeCell ref="B2:Q2"/>
    <mergeCell ref="B3:Q3"/>
    <mergeCell ref="B5:Q5"/>
    <mergeCell ref="L8:L9"/>
    <mergeCell ref="Q8:Q9"/>
    <mergeCell ref="L6:L7"/>
    <mergeCell ref="Q6:Q7"/>
    <mergeCell ref="L27:L28"/>
    <mergeCell ref="Q27:Q28"/>
    <mergeCell ref="L12:L13"/>
    <mergeCell ref="Q12:Q13"/>
    <mergeCell ref="L14:L15"/>
    <mergeCell ref="Q14:Q15"/>
  </mergeCells>
  <conditionalFormatting sqref="P6:P21">
    <cfRule type="cellIs" dxfId="33" priority="2" operator="lessThan">
      <formula>140</formula>
    </cfRule>
    <cfRule type="cellIs" priority="3" operator="lessThan">
      <formula>140</formula>
    </cfRule>
    <cfRule type="cellIs" dxfId="32" priority="4" operator="lessThan">
      <formula>140</formula>
    </cfRule>
    <cfRule type="cellIs" dxfId="31" priority="5" operator="lessThan">
      <formula>80</formula>
    </cfRule>
  </conditionalFormatting>
  <conditionalFormatting sqref="P25:P54">
    <cfRule type="cellIs" dxfId="30" priority="1" operator="between">
      <formula>0</formula>
      <formula>78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tabColor rgb="FFFFC000"/>
  </sheetPr>
  <dimension ref="A1:S109"/>
  <sheetViews>
    <sheetView workbookViewId="0">
      <pane ySplit="4" topLeftCell="A5" activePane="bottomLeft" state="frozen"/>
      <selection pane="bottomLeft" sqref="A1:XFD1048576"/>
    </sheetView>
  </sheetViews>
  <sheetFormatPr defaultColWidth="9.140625" defaultRowHeight="12" x14ac:dyDescent="0.2"/>
  <cols>
    <col min="1" max="1" width="2" style="1" customWidth="1"/>
    <col min="2" max="2" width="31.42578125" style="1" customWidth="1"/>
    <col min="3" max="3" width="10.5703125" style="44" customWidth="1"/>
    <col min="4" max="4" width="8.7109375" style="1" customWidth="1"/>
    <col min="5" max="5" width="10.140625" style="1" customWidth="1"/>
    <col min="6" max="6" width="10" style="44" customWidth="1"/>
    <col min="7" max="7" width="9.28515625" style="1" customWidth="1"/>
    <col min="8" max="8" width="9.85546875" style="1" customWidth="1"/>
    <col min="9" max="9" width="11.7109375" style="45" customWidth="1"/>
    <col min="10" max="10" width="10" style="45" customWidth="1"/>
    <col min="11" max="11" width="11.140625" style="45" customWidth="1"/>
    <col min="12" max="12" width="7.7109375" style="1" customWidth="1"/>
    <col min="13" max="13" width="8.85546875" style="1" customWidth="1"/>
    <col min="14" max="14" width="9.7109375" style="1" customWidth="1"/>
    <col min="15" max="15" width="9.5703125" style="1" customWidth="1"/>
    <col min="16" max="16" width="9.7109375" style="47" customWidth="1"/>
    <col min="17" max="17" width="9.85546875" style="16" customWidth="1"/>
    <col min="18" max="16384" width="9.140625" style="1"/>
  </cols>
  <sheetData>
    <row r="1" spans="2:19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9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9" ht="15" x14ac:dyDescent="0.25">
      <c r="B3" s="622">
        <v>45747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9" ht="35.2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7" t="s">
        <v>15</v>
      </c>
      <c r="P4" s="8" t="s">
        <v>16</v>
      </c>
      <c r="Q4" s="9" t="s">
        <v>17</v>
      </c>
    </row>
    <row r="5" spans="2:19" ht="16.5" customHeight="1" thickBot="1" x14ac:dyDescent="0.3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9" s="16" customFormat="1" ht="15.75" customHeight="1" x14ac:dyDescent="0.2">
      <c r="B6" s="240" t="s">
        <v>27</v>
      </c>
      <c r="C6" s="229">
        <f>'March 2025 - Prodn &amp; Sales'!C6</f>
        <v>195718</v>
      </c>
      <c r="D6" s="229">
        <f>'March 2025 - Prodn &amp; Sales'!D6</f>
        <v>755</v>
      </c>
      <c r="E6" s="229">
        <f>'March 2025 - Prodn &amp; Sales'!E6</f>
        <v>194963</v>
      </c>
      <c r="F6" s="229">
        <f>'March 2025 - Prodn &amp; Sales'!F6</f>
        <v>178330</v>
      </c>
      <c r="G6" s="229">
        <f>'March 2025 - Prodn &amp; Sales'!G6</f>
        <v>4840</v>
      </c>
      <c r="H6" s="229">
        <f>'March 2025 - Prodn &amp; Sales'!H6</f>
        <v>183170</v>
      </c>
      <c r="I6" s="229">
        <f>'March 2025 - Prodn &amp; Sales'!I6</f>
        <v>3308770.31</v>
      </c>
      <c r="J6" s="229">
        <f>'March 2025 - Prodn &amp; Sales'!J6</f>
        <v>14603.45</v>
      </c>
      <c r="K6" s="229">
        <f>'March 2025 - Prodn &amp; Sales'!K6</f>
        <v>3323373.7600000002</v>
      </c>
      <c r="L6" s="626">
        <f>(F6+F7)/(E6+E7)</f>
        <v>0.8964542264140597</v>
      </c>
      <c r="M6" s="230">
        <f t="shared" ref="M6:M15" si="0">I6/F6</f>
        <v>18.554199013065666</v>
      </c>
      <c r="N6" s="231">
        <f t="shared" ref="N6:N22" si="1">M6/129.3348</f>
        <v>0.14345867479646365</v>
      </c>
      <c r="O6" s="232">
        <f>'Jan 2025-Prodn &amp; Sales Analysis'!O8</f>
        <v>8684.3076923076933</v>
      </c>
      <c r="P6" s="233">
        <f t="shared" ref="P6:P15" si="2">C6/O6*12</f>
        <v>270.44366496598639</v>
      </c>
      <c r="Q6" s="628">
        <f>(K6+K7)*12/(O6+O7)/129.3348</f>
        <v>33.096293878487316</v>
      </c>
    </row>
    <row r="7" spans="2:19" s="16" customFormat="1" ht="15.75" customHeight="1" thickBot="1" x14ac:dyDescent="0.25">
      <c r="B7" s="241" t="s">
        <v>34</v>
      </c>
      <c r="C7" s="242">
        <f>'March 2025 - Prodn &amp; Sales'!C8</f>
        <v>97210</v>
      </c>
      <c r="D7" s="242">
        <f>'March 2025 - Prodn &amp; Sales'!D8</f>
        <v>389</v>
      </c>
      <c r="E7" s="242">
        <f>'March 2025 - Prodn &amp; Sales'!E8</f>
        <v>96821</v>
      </c>
      <c r="F7" s="242">
        <f>'March 2025 - Prodn &amp; Sales'!F8</f>
        <v>83241</v>
      </c>
      <c r="G7" s="242">
        <f>'March 2025 - Prodn &amp; Sales'!G8</f>
        <v>620</v>
      </c>
      <c r="H7" s="242">
        <f>'March 2025 - Prodn &amp; Sales'!H8</f>
        <v>83861</v>
      </c>
      <c r="I7" s="242">
        <f>'March 2025 - Prodn &amp; Sales'!I8</f>
        <v>1675306.8800000004</v>
      </c>
      <c r="J7" s="242">
        <f>'March 2025 - Prodn &amp; Sales'!J8</f>
        <v>2000</v>
      </c>
      <c r="K7" s="242">
        <f>'March 2025 - Prodn &amp; Sales'!K8</f>
        <v>1677306.8800000004</v>
      </c>
      <c r="L7" s="627"/>
      <c r="M7" s="243">
        <f t="shared" si="0"/>
        <v>20.125982148220231</v>
      </c>
      <c r="N7" s="237">
        <f t="shared" si="1"/>
        <v>0.15561149936614299</v>
      </c>
      <c r="O7" s="238">
        <f>'Jan 2025-Prodn &amp; Sales Analysis'!O9</f>
        <v>5334.6461538461526</v>
      </c>
      <c r="P7" s="239">
        <f t="shared" si="2"/>
        <v>218.66867386489483</v>
      </c>
      <c r="Q7" s="629"/>
    </row>
    <row r="8" spans="2:19" s="16" customFormat="1" ht="15.75" customHeight="1" thickBot="1" x14ac:dyDescent="0.25">
      <c r="B8" s="10" t="s">
        <v>32</v>
      </c>
      <c r="C8" s="20">
        <f>'March 2025 - Prodn &amp; Sales'!C7</f>
        <v>79006</v>
      </c>
      <c r="D8" s="20">
        <f>'March 2025 - Prodn &amp; Sales'!D7</f>
        <v>1628</v>
      </c>
      <c r="E8" s="20">
        <f>'March 2025 - Prodn &amp; Sales'!E7</f>
        <v>77378</v>
      </c>
      <c r="F8" s="20">
        <f>'March 2025 - Prodn &amp; Sales'!F7</f>
        <v>65290</v>
      </c>
      <c r="G8" s="20">
        <f>'March 2025 - Prodn &amp; Sales'!G7</f>
        <v>7040</v>
      </c>
      <c r="H8" s="20">
        <f>'March 2025 - Prodn &amp; Sales'!H7</f>
        <v>72330</v>
      </c>
      <c r="I8" s="20">
        <f>'March 2025 - Prodn &amp; Sales'!I7</f>
        <v>1714527.98</v>
      </c>
      <c r="J8" s="20">
        <f>'March 2025 - Prodn &amp; Sales'!J7</f>
        <v>21241.39</v>
      </c>
      <c r="K8" s="20">
        <f>'March 2025 - Prodn &amp; Sales'!K7</f>
        <v>1735769.3699999999</v>
      </c>
      <c r="L8" s="226">
        <f>F8/E8</f>
        <v>0.84377988575564111</v>
      </c>
      <c r="M8" s="12">
        <f t="shared" si="0"/>
        <v>26.260192678817582</v>
      </c>
      <c r="N8" s="227">
        <f t="shared" si="1"/>
        <v>0.20304042437779762</v>
      </c>
      <c r="O8" s="14">
        <f>'Jan 2025-Prodn &amp; Sales Analysis'!O12</f>
        <v>4962.4615384615381</v>
      </c>
      <c r="P8" s="14">
        <f t="shared" si="2"/>
        <v>191.04873511904762</v>
      </c>
      <c r="Q8" s="218">
        <f>(K8*12/O8)/129.3348</f>
        <v>32.453438422094663</v>
      </c>
    </row>
    <row r="9" spans="2:19" s="16" customFormat="1" ht="15.75" customHeight="1" x14ac:dyDescent="0.2">
      <c r="B9" s="228" t="s">
        <v>29</v>
      </c>
      <c r="C9" s="229">
        <f>'March 2025 - Prodn &amp; Sales'!C11</f>
        <v>45670</v>
      </c>
      <c r="D9" s="229">
        <f>'March 2025 - Prodn &amp; Sales'!D11</f>
        <v>422</v>
      </c>
      <c r="E9" s="229">
        <f>'March 2025 - Prodn &amp; Sales'!E11</f>
        <v>45248</v>
      </c>
      <c r="F9" s="229">
        <f>'March 2025 - Prodn &amp; Sales'!F11</f>
        <v>38956</v>
      </c>
      <c r="G9" s="229">
        <f>'March 2025 - Prodn &amp; Sales'!G11</f>
        <v>920</v>
      </c>
      <c r="H9" s="229">
        <f>'March 2025 - Prodn &amp; Sales'!H11</f>
        <v>39876</v>
      </c>
      <c r="I9" s="229">
        <f>'March 2025 - Prodn &amp; Sales'!I11</f>
        <v>583963.25000000012</v>
      </c>
      <c r="J9" s="229">
        <f>'March 2025 - Prodn &amp; Sales'!J11</f>
        <v>2775.87</v>
      </c>
      <c r="K9" s="229">
        <f>'March 2025 - Prodn &amp; Sales'!K11</f>
        <v>586739.12000000011</v>
      </c>
      <c r="L9" s="626">
        <f>(F9+F10)/(E9+E10)</f>
        <v>0.80486011326176987</v>
      </c>
      <c r="M9" s="230">
        <f t="shared" si="0"/>
        <v>14.990328832529011</v>
      </c>
      <c r="N9" s="231">
        <f t="shared" si="1"/>
        <v>0.11590329000801804</v>
      </c>
      <c r="O9" s="232">
        <f>'Jan 2025-Prodn &amp; Sales Analysis'!O6</f>
        <v>2109.0461538461541</v>
      </c>
      <c r="P9" s="233">
        <f t="shared" si="2"/>
        <v>259.85206582633049</v>
      </c>
      <c r="Q9" s="628">
        <f>(K9+K10)*12/(O9+O10)/129.3348</f>
        <v>26.572122641475566</v>
      </c>
    </row>
    <row r="10" spans="2:19" s="16" customFormat="1" ht="15.75" customHeight="1" thickBot="1" x14ac:dyDescent="0.25">
      <c r="B10" s="234" t="s">
        <v>19</v>
      </c>
      <c r="C10" s="235">
        <f>'March 2025 - Prodn &amp; Sales'!C9</f>
        <v>73612</v>
      </c>
      <c r="D10" s="235">
        <f>'March 2025 - Prodn &amp; Sales'!D9</f>
        <v>550</v>
      </c>
      <c r="E10" s="235">
        <f>'March 2025 - Prodn &amp; Sales'!E9</f>
        <v>73062</v>
      </c>
      <c r="F10" s="235">
        <f>'March 2025 - Prodn &amp; Sales'!F9</f>
        <v>56267</v>
      </c>
      <c r="G10" s="235">
        <f>'March 2025 - Prodn &amp; Sales'!G9</f>
        <v>1980</v>
      </c>
      <c r="H10" s="235">
        <f>'March 2025 - Prodn &amp; Sales'!H9</f>
        <v>58247</v>
      </c>
      <c r="I10" s="235">
        <f>'March 2025 - Prodn &amp; Sales'!I9</f>
        <v>970615.21</v>
      </c>
      <c r="J10" s="235">
        <f>'March 2025 - Prodn &amp; Sales'!J9</f>
        <v>5974.14</v>
      </c>
      <c r="K10" s="235">
        <f>'March 2025 - Prodn &amp; Sales'!K9</f>
        <v>976589.35</v>
      </c>
      <c r="L10" s="627"/>
      <c r="M10" s="236">
        <f t="shared" si="0"/>
        <v>17.25016812696607</v>
      </c>
      <c r="N10" s="237">
        <f t="shared" si="1"/>
        <v>0.13337607609835922</v>
      </c>
      <c r="O10" s="238">
        <f>'Jan 2025-Prodn &amp; Sales Analysis'!O13</f>
        <v>3349.6615384615388</v>
      </c>
      <c r="P10" s="239">
        <f t="shared" si="2"/>
        <v>263.71141975308637</v>
      </c>
      <c r="Q10" s="629"/>
    </row>
    <row r="11" spans="2:19" s="16" customFormat="1" ht="15.75" customHeight="1" thickBot="1" x14ac:dyDescent="0.25">
      <c r="B11" s="249" t="s">
        <v>21</v>
      </c>
      <c r="C11" s="250">
        <f>'March 2025 - Prodn &amp; Sales'!C12</f>
        <v>68114</v>
      </c>
      <c r="D11" s="250">
        <f>'March 2025 - Prodn &amp; Sales'!D12</f>
        <v>518</v>
      </c>
      <c r="E11" s="250">
        <f>'March 2025 - Prodn &amp; Sales'!E12</f>
        <v>67596</v>
      </c>
      <c r="F11" s="250">
        <f>'March 2025 - Prodn &amp; Sales'!F12</f>
        <v>57510</v>
      </c>
      <c r="G11" s="250">
        <f>'March 2025 - Prodn &amp; Sales'!G12</f>
        <v>700</v>
      </c>
      <c r="H11" s="250">
        <f>'March 2025 - Prodn &amp; Sales'!H12</f>
        <v>58210</v>
      </c>
      <c r="I11" s="250">
        <f>'March 2025 - Prodn &amp; Sales'!I12</f>
        <v>1306315.98</v>
      </c>
      <c r="J11" s="250">
        <f>'March 2025 - Prodn &amp; Sales'!J12</f>
        <v>2241.38</v>
      </c>
      <c r="K11" s="250">
        <f>'March 2025 - Prodn &amp; Sales'!K12</f>
        <v>1308557.3599999999</v>
      </c>
      <c r="L11" s="251">
        <f>F11/E11</f>
        <v>0.85078998757322921</v>
      </c>
      <c r="M11" s="252">
        <f t="shared" si="0"/>
        <v>22.71458841940532</v>
      </c>
      <c r="N11" s="227">
        <f t="shared" si="1"/>
        <v>0.17562626933667752</v>
      </c>
      <c r="O11" s="253">
        <f>'Jan 2025-Prodn &amp; Sales Analysis'!O14</f>
        <v>4794.0923076923082</v>
      </c>
      <c r="P11" s="253">
        <f t="shared" si="2"/>
        <v>170.49483980283424</v>
      </c>
      <c r="Q11" s="325">
        <f>(K11*12/O11)/129.3348</f>
        <v>25.325161456379313</v>
      </c>
    </row>
    <row r="12" spans="2:19" s="16" customFormat="1" ht="15.75" customHeight="1" x14ac:dyDescent="0.2">
      <c r="B12" s="254" t="s">
        <v>28</v>
      </c>
      <c r="C12" s="229">
        <f>'March 2025 - Prodn &amp; Sales'!C14</f>
        <v>143915</v>
      </c>
      <c r="D12" s="229">
        <f>'March 2025 - Prodn &amp; Sales'!D14</f>
        <v>505</v>
      </c>
      <c r="E12" s="229">
        <f>'March 2025 - Prodn &amp; Sales'!E14</f>
        <v>143410</v>
      </c>
      <c r="F12" s="229">
        <f>'March 2025 - Prodn &amp; Sales'!F14</f>
        <v>101514</v>
      </c>
      <c r="G12" s="229">
        <f>'March 2025 - Prodn &amp; Sales'!G14</f>
        <v>1640</v>
      </c>
      <c r="H12" s="229">
        <f>'March 2025 - Prodn &amp; Sales'!H14</f>
        <v>103154</v>
      </c>
      <c r="I12" s="229">
        <f>'March 2025 - Prodn &amp; Sales'!I14</f>
        <v>1966948.6900000002</v>
      </c>
      <c r="J12" s="229">
        <f>'March 2025 - Prodn &amp; Sales'!J14</f>
        <v>4948.2700000000004</v>
      </c>
      <c r="K12" s="229">
        <f>'March 2025 - Prodn &amp; Sales'!K14</f>
        <v>1971896.9600000002</v>
      </c>
      <c r="L12" s="626">
        <f>(F12+F13)/(C12+C13)</f>
        <v>0.65015263801397394</v>
      </c>
      <c r="M12" s="230">
        <f t="shared" si="0"/>
        <v>19.376132257619641</v>
      </c>
      <c r="N12" s="231">
        <f t="shared" si="1"/>
        <v>0.14981375668126165</v>
      </c>
      <c r="O12" s="232">
        <f>'Jan 2025-Prodn &amp; Sales Analysis'!O11</f>
        <v>10048.984615384614</v>
      </c>
      <c r="P12" s="233">
        <f t="shared" si="2"/>
        <v>171.85616916519697</v>
      </c>
      <c r="Q12" s="628">
        <f>(K12+K13)*12/(O12+O13)/129.3348</f>
        <v>21.741522263939025</v>
      </c>
    </row>
    <row r="13" spans="2:19" s="16" customFormat="1" ht="15.75" customHeight="1" thickBot="1" x14ac:dyDescent="0.25">
      <c r="B13" s="341" t="s">
        <v>30</v>
      </c>
      <c r="C13" s="242">
        <f>'March 2025 - Prodn &amp; Sales'!C10</f>
        <v>242948</v>
      </c>
      <c r="D13" s="242">
        <f>'March 2025 - Prodn &amp; Sales'!D10</f>
        <v>531</v>
      </c>
      <c r="E13" s="242">
        <f>'March 2025 - Prodn &amp; Sales'!E10</f>
        <v>242417</v>
      </c>
      <c r="F13" s="242">
        <f>'March 2025 - Prodn &amp; Sales'!F10</f>
        <v>150006</v>
      </c>
      <c r="G13" s="242">
        <f>'March 2025 - Prodn &amp; Sales'!G10</f>
        <v>17520</v>
      </c>
      <c r="H13" s="242">
        <f>'March 2025 - Prodn &amp; Sales'!H10</f>
        <v>167526</v>
      </c>
      <c r="I13" s="242">
        <f>'March 2025 - Prodn &amp; Sales'!I10</f>
        <v>2293840.4000000004</v>
      </c>
      <c r="J13" s="242">
        <f>'March 2025 - Prodn &amp; Sales'!J10</f>
        <v>51318.96</v>
      </c>
      <c r="K13" s="242">
        <f>'March 2025 - Prodn &amp; Sales'!K10</f>
        <v>2345159.3600000003</v>
      </c>
      <c r="L13" s="627"/>
      <c r="M13" s="243">
        <f t="shared" si="0"/>
        <v>15.291657667026655</v>
      </c>
      <c r="N13" s="237">
        <f t="shared" si="1"/>
        <v>0.11823312570960526</v>
      </c>
      <c r="O13" s="257">
        <f>'Jan 2025-Prodn &amp; Sales Analysis'!O7</f>
        <v>8374.1538461538439</v>
      </c>
      <c r="P13" s="239">
        <f t="shared" si="2"/>
        <v>348.13977072310416</v>
      </c>
      <c r="Q13" s="629"/>
      <c r="S13" s="58"/>
    </row>
    <row r="14" spans="2:19" s="16" customFormat="1" ht="15.75" customHeight="1" x14ac:dyDescent="0.2">
      <c r="B14" s="246" t="s">
        <v>25</v>
      </c>
      <c r="C14" s="229">
        <f>'March 2025 - Prodn &amp; Sales'!C13</f>
        <v>90037</v>
      </c>
      <c r="D14" s="229">
        <f>'March 2025 - Prodn &amp; Sales'!D13</f>
        <v>469</v>
      </c>
      <c r="E14" s="229">
        <f>'March 2025 - Prodn &amp; Sales'!E13</f>
        <v>89568</v>
      </c>
      <c r="F14" s="229">
        <f>'March 2025 - Prodn &amp; Sales'!F13</f>
        <v>64934</v>
      </c>
      <c r="G14" s="229">
        <f>'March 2025 - Prodn &amp; Sales'!G13</f>
        <v>3260</v>
      </c>
      <c r="H14" s="229">
        <f>'March 2025 - Prodn &amp; Sales'!H13</f>
        <v>68194</v>
      </c>
      <c r="I14" s="229">
        <f>'March 2025 - Prodn &amp; Sales'!I13</f>
        <v>1146405.07</v>
      </c>
      <c r="J14" s="229">
        <f>'March 2025 - Prodn &amp; Sales'!J13</f>
        <v>9836.2000000000007</v>
      </c>
      <c r="K14" s="229">
        <f>'March 2025 - Prodn &amp; Sales'!K13</f>
        <v>1156241.27</v>
      </c>
      <c r="L14" s="626">
        <f>(F14+F15)/(C14+C15)</f>
        <v>0.81470491831559333</v>
      </c>
      <c r="M14" s="230">
        <f t="shared" si="0"/>
        <v>17.654927618812948</v>
      </c>
      <c r="N14" s="231">
        <f t="shared" si="1"/>
        <v>0.13650562430848426</v>
      </c>
      <c r="O14" s="232">
        <f>'Jan 2025-Prodn &amp; Sales Analysis'!O15</f>
        <v>5371.8646153846139</v>
      </c>
      <c r="P14" s="233">
        <f t="shared" si="2"/>
        <v>201.13016193775434</v>
      </c>
      <c r="Q14" s="628">
        <f>(K14+K15)*12/(O14+O15)/129.3348</f>
        <v>17.403518720185247</v>
      </c>
    </row>
    <row r="15" spans="2:19" s="16" customFormat="1" ht="15.75" customHeight="1" thickBot="1" x14ac:dyDescent="0.25">
      <c r="B15" s="340" t="s">
        <v>31</v>
      </c>
      <c r="C15" s="242">
        <f>'March 2025 - Prodn &amp; Sales'!C19</f>
        <v>25897</v>
      </c>
      <c r="D15" s="242">
        <f>'March 2025 - Prodn &amp; Sales'!D19</f>
        <v>288</v>
      </c>
      <c r="E15" s="242">
        <f>'March 2025 - Prodn &amp; Sales'!E19</f>
        <v>25609</v>
      </c>
      <c r="F15" s="242">
        <f>'March 2025 - Prodn &amp; Sales'!F19</f>
        <v>29518</v>
      </c>
      <c r="G15" s="242">
        <f>'March 2025 - Prodn &amp; Sales'!G19</f>
        <v>1780</v>
      </c>
      <c r="H15" s="242">
        <f>'March 2025 - Prodn &amp; Sales'!H19</f>
        <v>31298</v>
      </c>
      <c r="I15" s="242">
        <f>'March 2025 - Prodn &amp; Sales'!I19</f>
        <v>404502.29</v>
      </c>
      <c r="J15" s="242">
        <f>'March 2025 - Prodn &amp; Sales'!J19</f>
        <v>5370.69</v>
      </c>
      <c r="K15" s="242">
        <f>'March 2025 - Prodn &amp; Sales'!K19</f>
        <v>409872.98</v>
      </c>
      <c r="L15" s="627"/>
      <c r="M15" s="236">
        <f t="shared" si="0"/>
        <v>13.703580527135983</v>
      </c>
      <c r="N15" s="237">
        <f t="shared" si="1"/>
        <v>0.10595431799589888</v>
      </c>
      <c r="O15" s="238">
        <f>'Jan 2025-Prodn &amp; Sales Analysis'!O17</f>
        <v>2977.4769230769234</v>
      </c>
      <c r="P15" s="239">
        <f t="shared" si="2"/>
        <v>104.37158978174601</v>
      </c>
      <c r="Q15" s="629"/>
      <c r="R15" s="16" t="s">
        <v>118</v>
      </c>
    </row>
    <row r="16" spans="2:19" s="16" customFormat="1" ht="15.75" customHeight="1" x14ac:dyDescent="0.2">
      <c r="B16" s="262" t="s">
        <v>20</v>
      </c>
      <c r="C16" s="229">
        <f>'March 2025 - Prodn &amp; Sales'!C15</f>
        <v>191820</v>
      </c>
      <c r="D16" s="229">
        <f>'March 2025 - Prodn &amp; Sales'!D15</f>
        <v>1052</v>
      </c>
      <c r="E16" s="229">
        <f>'March 2025 - Prodn &amp; Sales'!E15</f>
        <v>190768</v>
      </c>
      <c r="F16" s="229">
        <f>'March 2025 - Prodn &amp; Sales'!F15</f>
        <v>110369</v>
      </c>
      <c r="G16" s="244">
        <f>'March 2025 - Prodn &amp; Sales'!G15</f>
        <v>17940</v>
      </c>
      <c r="H16" s="229">
        <f>'March 2025 - Prodn &amp; Sales'!H15</f>
        <v>128309</v>
      </c>
      <c r="I16" s="229">
        <f>'March 2025 - Prodn &amp; Sales'!I15</f>
        <v>1674541.88</v>
      </c>
      <c r="J16" s="229">
        <f>'March 2025 - Prodn &amp; Sales'!J15</f>
        <v>54129.32</v>
      </c>
      <c r="K16" s="244">
        <f>'March 2025 - Prodn &amp; Sales'!K15</f>
        <v>1728671.2</v>
      </c>
      <c r="L16" s="245">
        <f>F16/E16</f>
        <v>0.578550910005871</v>
      </c>
      <c r="M16" s="265">
        <f t="shared" ref="M16" si="3">I16/F16</f>
        <v>15.172212124781414</v>
      </c>
      <c r="N16" s="398">
        <f t="shared" si="1"/>
        <v>0.11730958817566048</v>
      </c>
      <c r="O16" s="19">
        <f>'Jan 2025-Prodn &amp; Sales Analysis'!O10</f>
        <v>10545.230769230768</v>
      </c>
      <c r="P16" s="309">
        <f t="shared" ref="P16" si="4">C16/O16*12</f>
        <v>218.2825630252101</v>
      </c>
      <c r="Q16" s="399">
        <f>(K16*12/O16)/129.3348</f>
        <v>15.209752905946862</v>
      </c>
    </row>
    <row r="17" spans="2:18" s="16" customFormat="1" ht="15.75" customHeight="1" thickBot="1" x14ac:dyDescent="0.25">
      <c r="B17" s="266" t="s">
        <v>26</v>
      </c>
      <c r="C17" s="395">
        <f>'March 2025 - Prodn &amp; Sales'!C16</f>
        <v>40133</v>
      </c>
      <c r="D17" s="395">
        <f>'March 2025 - Prodn &amp; Sales'!D16</f>
        <v>598</v>
      </c>
      <c r="E17" s="395">
        <f>'March 2025 - Prodn &amp; Sales'!E16</f>
        <v>39535</v>
      </c>
      <c r="F17" s="395">
        <f>'March 2025 - Prodn &amp; Sales'!F16</f>
        <v>21395</v>
      </c>
      <c r="G17" s="396">
        <f>'March 2025 - Prodn &amp; Sales'!G16</f>
        <v>780</v>
      </c>
      <c r="H17" s="395">
        <f>'March 2025 - Prodn &amp; Sales'!H16</f>
        <v>22175</v>
      </c>
      <c r="I17" s="395">
        <f>'March 2025 - Prodn &amp; Sales'!I16</f>
        <v>365421.22</v>
      </c>
      <c r="J17" s="395">
        <f>'March 2025 - Prodn &amp; Sales'!J16</f>
        <v>2353.4499999999998</v>
      </c>
      <c r="K17" s="396">
        <f>'March 2025 - Prodn &amp; Sales'!K16</f>
        <v>367774.67</v>
      </c>
      <c r="L17" s="397">
        <f t="shared" ref="L17" si="5">F17/E17</f>
        <v>0.54116605539395468</v>
      </c>
      <c r="M17" s="269">
        <f t="shared" ref="M17" si="6">I17/F17</f>
        <v>17.079748539378357</v>
      </c>
      <c r="N17" s="227">
        <f t="shared" si="1"/>
        <v>0.13205841381730482</v>
      </c>
      <c r="O17" s="315">
        <f>'Jan 2025-Prodn &amp; Sales Analysis'!O21</f>
        <v>2357.1692307692306</v>
      </c>
      <c r="P17" s="253">
        <f t="shared" ref="P17" si="7">C17/O17*12</f>
        <v>204.31116854636593</v>
      </c>
      <c r="Q17" s="218">
        <f>(K17*12/O17)/129.3348</f>
        <v>14.476277554450725</v>
      </c>
    </row>
    <row r="18" spans="2:18" s="16" customFormat="1" ht="15.75" customHeight="1" x14ac:dyDescent="0.2">
      <c r="B18" s="258" t="s">
        <v>24</v>
      </c>
      <c r="C18" s="259">
        <f>'March 2025 - Prodn &amp; Sales'!C17</f>
        <v>88701</v>
      </c>
      <c r="D18" s="259">
        <f>'March 2025 - Prodn &amp; Sales'!D17</f>
        <v>327</v>
      </c>
      <c r="E18" s="259">
        <f>'March 2025 - Prodn &amp; Sales'!E17</f>
        <v>88374</v>
      </c>
      <c r="F18" s="259">
        <f>'March 2025 - Prodn &amp; Sales'!F17</f>
        <v>59268</v>
      </c>
      <c r="G18" s="259">
        <f>'March 2025 - Prodn &amp; Sales'!G17</f>
        <v>4220</v>
      </c>
      <c r="H18" s="259">
        <f>'March 2025 - Prodn &amp; Sales'!H17</f>
        <v>63488</v>
      </c>
      <c r="I18" s="259">
        <f>'March 2025 - Prodn &amp; Sales'!I17</f>
        <v>790144.36</v>
      </c>
      <c r="J18" s="259">
        <f>'March 2025 - Prodn &amp; Sales'!J17</f>
        <v>12732.77</v>
      </c>
      <c r="K18" s="259">
        <f>'March 2025 - Prodn &amp; Sales'!K17</f>
        <v>802877.13</v>
      </c>
      <c r="L18" s="626">
        <f>(F18+F19+F20)/(C18+C19+C20)</f>
        <v>0.61332818163419256</v>
      </c>
      <c r="M18" s="230">
        <f>I18/F18</f>
        <v>13.331719646352163</v>
      </c>
      <c r="N18" s="255">
        <f t="shared" si="1"/>
        <v>0.10307913760528614</v>
      </c>
      <c r="O18" s="232">
        <f>'Jan 2025-Prodn &amp; Sales Analysis'!O19</f>
        <v>5302.1538461538457</v>
      </c>
      <c r="P18" s="233">
        <f>C18/O18*12</f>
        <v>200.75087047353762</v>
      </c>
      <c r="Q18" s="628">
        <f>(K18+K19+K20)*12/(O18+O19+O20)/129.3348</f>
        <v>12.307239533855734</v>
      </c>
    </row>
    <row r="19" spans="2:18" s="16" customFormat="1" ht="15.75" customHeight="1" x14ac:dyDescent="0.2">
      <c r="B19" s="260" t="s">
        <v>23</v>
      </c>
      <c r="C19" s="20">
        <f>'March 2025 - Prodn &amp; Sales'!C21</f>
        <v>64057</v>
      </c>
      <c r="D19" s="20">
        <f>'March 2025 - Prodn &amp; Sales'!D21</f>
        <v>312</v>
      </c>
      <c r="E19" s="20">
        <f>'March 2025 - Prodn &amp; Sales'!E21</f>
        <v>63745</v>
      </c>
      <c r="F19" s="20">
        <f>'March 2025 - Prodn &amp; Sales'!F21</f>
        <v>33124</v>
      </c>
      <c r="G19" s="20">
        <f>'March 2025 - Prodn &amp; Sales'!G21</f>
        <v>3920</v>
      </c>
      <c r="H19" s="20">
        <f>'March 2025 - Prodn &amp; Sales'!H21</f>
        <v>37044</v>
      </c>
      <c r="I19" s="20">
        <f>'March 2025 - Prodn &amp; Sales'!I21</f>
        <v>525225.14</v>
      </c>
      <c r="J19" s="20">
        <f>'March 2025 - Prodn &amp; Sales'!J21</f>
        <v>11982.76</v>
      </c>
      <c r="K19" s="20">
        <f>'March 2025 - Prodn &amp; Sales'!K21</f>
        <v>537207.9</v>
      </c>
      <c r="L19" s="634"/>
      <c r="M19" s="256">
        <f t="shared" ref="M19" si="8">I19/F19</f>
        <v>15.856331964738558</v>
      </c>
      <c r="N19" s="247">
        <f t="shared" si="1"/>
        <v>0.12259911458276163</v>
      </c>
      <c r="O19" s="209">
        <f>'Jan 2025-Prodn &amp; Sales Analysis'!O18</f>
        <v>5173.3661538461538</v>
      </c>
      <c r="P19" s="248">
        <f t="shared" ref="P19" si="9">C19/O19*12</f>
        <v>148.58488209432454</v>
      </c>
      <c r="Q19" s="633"/>
    </row>
    <row r="20" spans="2:18" s="16" customFormat="1" ht="15.75" customHeight="1" thickBot="1" x14ac:dyDescent="0.25">
      <c r="B20" s="261" t="s">
        <v>22</v>
      </c>
      <c r="C20" s="242">
        <f>'March 2025 - Prodn &amp; Sales'!C18</f>
        <v>64646</v>
      </c>
      <c r="D20" s="242">
        <f>'March 2025 - Prodn &amp; Sales'!D18</f>
        <v>391</v>
      </c>
      <c r="E20" s="242">
        <f>'March 2025 - Prodn &amp; Sales'!E18</f>
        <v>64255</v>
      </c>
      <c r="F20" s="242">
        <f>'March 2025 - Prodn &amp; Sales'!F18</f>
        <v>40948</v>
      </c>
      <c r="G20" s="242">
        <f>'March 2025 - Prodn &amp; Sales'!G18</f>
        <v>3180</v>
      </c>
      <c r="H20" s="242">
        <f>'March 2025 - Prodn &amp; Sales'!H18</f>
        <v>44128</v>
      </c>
      <c r="I20" s="242">
        <f>'March 2025 - Prodn &amp; Sales'!I18</f>
        <v>698109.68</v>
      </c>
      <c r="J20" s="242">
        <f>'March 2025 - Prodn &amp; Sales'!J18</f>
        <v>9594.83</v>
      </c>
      <c r="K20" s="242">
        <f>'March 2025 - Prodn &amp; Sales'!K18</f>
        <v>707704.51</v>
      </c>
      <c r="L20" s="627"/>
      <c r="M20" s="243">
        <f>I20/F20</f>
        <v>17.048688092214519</v>
      </c>
      <c r="N20" s="237">
        <f t="shared" si="1"/>
        <v>0.13181825844408868</v>
      </c>
      <c r="O20" s="238">
        <f>'Jan 2025-Prodn &amp; Sales Analysis'!O20</f>
        <v>4962.4615384615381</v>
      </c>
      <c r="P20" s="239">
        <f>C20/O20*12</f>
        <v>156.32403273809524</v>
      </c>
      <c r="Q20" s="629"/>
    </row>
    <row r="21" spans="2:18" s="16" customFormat="1" ht="15.75" customHeight="1" thickBot="1" x14ac:dyDescent="0.25">
      <c r="B21" s="266" t="s">
        <v>33</v>
      </c>
      <c r="C21" s="267">
        <f>'March 2025 - Prodn &amp; Sales'!C20</f>
        <v>29735</v>
      </c>
      <c r="D21" s="267">
        <f>'March 2025 - Prodn &amp; Sales'!D20</f>
        <v>277</v>
      </c>
      <c r="E21" s="267">
        <f>'March 2025 - Prodn &amp; Sales'!E20</f>
        <v>29458</v>
      </c>
      <c r="F21" s="267">
        <f>'March 2025 - Prodn &amp; Sales'!F20</f>
        <v>22600</v>
      </c>
      <c r="G21" s="267">
        <f>'March 2025 - Prodn &amp; Sales'!G20</f>
        <v>3800</v>
      </c>
      <c r="H21" s="267">
        <f>'March 2025 - Prodn &amp; Sales'!H20</f>
        <v>26400</v>
      </c>
      <c r="I21" s="267">
        <f>'March 2025 - Prodn &amp; Sales'!I20</f>
        <v>317370.72000000003</v>
      </c>
      <c r="J21" s="267">
        <f>'March 2025 - Prodn &amp; Sales'!J20</f>
        <v>11465.51</v>
      </c>
      <c r="K21" s="267">
        <f>'March 2025 - Prodn &amp; Sales'!K20</f>
        <v>328836.23000000004</v>
      </c>
      <c r="L21" s="268">
        <f>F21/E21</f>
        <v>0.76719397107746623</v>
      </c>
      <c r="M21" s="269">
        <f>I21/F21</f>
        <v>14.042952212389382</v>
      </c>
      <c r="N21" s="342">
        <f t="shared" si="1"/>
        <v>0.1085782961151166</v>
      </c>
      <c r="O21" s="14">
        <f>'Jan 2025-Prodn &amp; Sales Analysis'!O16</f>
        <v>2605.292307692308</v>
      </c>
      <c r="P21" s="14">
        <f>C21/O21*12</f>
        <v>136.95967970521542</v>
      </c>
      <c r="Q21" s="218">
        <f>(K21*12/O21)/129.3348</f>
        <v>11.710867129508392</v>
      </c>
    </row>
    <row r="22" spans="2:18" ht="17.25" customHeight="1" thickBot="1" x14ac:dyDescent="0.25">
      <c r="B22" s="270" t="s">
        <v>35</v>
      </c>
      <c r="C22" s="271">
        <f>SUM(C6:C21)</f>
        <v>1541219</v>
      </c>
      <c r="D22" s="271">
        <f t="shared" ref="D22:K22" si="10">SUM(D6:D21)</f>
        <v>9012</v>
      </c>
      <c r="E22" s="271">
        <f t="shared" si="10"/>
        <v>1532207</v>
      </c>
      <c r="F22" s="271">
        <f t="shared" si="10"/>
        <v>1113270</v>
      </c>
      <c r="G22" s="271">
        <f t="shared" si="10"/>
        <v>74140</v>
      </c>
      <c r="H22" s="271">
        <f t="shared" si="10"/>
        <v>1187410</v>
      </c>
      <c r="I22" s="271">
        <f t="shared" si="10"/>
        <v>19742009.059999995</v>
      </c>
      <c r="J22" s="271">
        <f t="shared" si="10"/>
        <v>222568.99</v>
      </c>
      <c r="K22" s="271">
        <f t="shared" si="10"/>
        <v>19964578.050000001</v>
      </c>
      <c r="L22" s="272">
        <f>F22/E22</f>
        <v>0.7265793721083379</v>
      </c>
      <c r="M22" s="23">
        <f>I22/F22</f>
        <v>17.733352250577123</v>
      </c>
      <c r="N22" s="273">
        <f t="shared" si="1"/>
        <v>0.13711199345092831</v>
      </c>
      <c r="O22" s="52">
        <f>SUM(O6:O21)</f>
        <v>86952.369230769225</v>
      </c>
      <c r="P22" s="25">
        <f>C22/O22*12</f>
        <v>212.69837916567587</v>
      </c>
      <c r="Q22" s="274">
        <f>(K22*12/O22)/129.3348</f>
        <v>21.303186337836248</v>
      </c>
    </row>
    <row r="23" spans="2:18" ht="17.25" customHeight="1" thickTop="1" thickBot="1" x14ac:dyDescent="0.25">
      <c r="B23" s="26" t="s">
        <v>36</v>
      </c>
      <c r="C23" s="27"/>
      <c r="D23" s="275">
        <f>D22/C22</f>
        <v>5.8473195567923832E-3</v>
      </c>
      <c r="E23" s="276">
        <f>E22/C22</f>
        <v>0.99415268044320759</v>
      </c>
      <c r="F23" s="30"/>
      <c r="G23" s="31"/>
      <c r="H23" s="30"/>
      <c r="I23" s="30"/>
      <c r="J23" s="30"/>
      <c r="K23" s="30"/>
      <c r="L23" s="32"/>
      <c r="M23" s="30"/>
      <c r="N23" s="33"/>
      <c r="O23" s="34"/>
      <c r="P23" s="34"/>
      <c r="Q23" s="35"/>
    </row>
    <row r="24" spans="2:18" ht="21" customHeight="1" thickTop="1" thickBot="1" x14ac:dyDescent="0.3">
      <c r="B24" s="623" t="s">
        <v>37</v>
      </c>
      <c r="C24" s="620"/>
      <c r="D24" s="620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0"/>
      <c r="P24" s="620"/>
      <c r="Q24" s="620"/>
    </row>
    <row r="25" spans="2:18" ht="15" customHeight="1" x14ac:dyDescent="0.2">
      <c r="B25" s="286" t="s">
        <v>43</v>
      </c>
      <c r="C25" s="278">
        <f>'March 2025 - Prodn &amp; Sales'!C26</f>
        <v>27889</v>
      </c>
      <c r="D25" s="278">
        <f>'March 2025 - Prodn &amp; Sales'!D26</f>
        <v>244</v>
      </c>
      <c r="E25" s="278">
        <f>'March 2025 - Prodn &amp; Sales'!E26</f>
        <v>27645</v>
      </c>
      <c r="F25" s="278">
        <f>'March 2025 - Prodn &amp; Sales'!F26</f>
        <v>26950</v>
      </c>
      <c r="G25" s="278">
        <f>'March 2025 - Prodn &amp; Sales'!G26</f>
        <v>480</v>
      </c>
      <c r="H25" s="278">
        <f>'March 2025 - Prodn &amp; Sales'!H26</f>
        <v>27430</v>
      </c>
      <c r="I25" s="278">
        <f>'March 2025 - Prodn &amp; Sales'!I26</f>
        <v>1019497.02</v>
      </c>
      <c r="J25" s="278">
        <f>'March 2025 - Prodn &amp; Sales'!J26</f>
        <v>1655.17</v>
      </c>
      <c r="K25" s="278">
        <f>'March 2025 - Prodn &amp; Sales'!K26</f>
        <v>1021152.1900000001</v>
      </c>
      <c r="L25" s="626">
        <f>(F25+F26)/(E25+E26)</f>
        <v>0.94595748313839323</v>
      </c>
      <c r="M25" s="287">
        <f>I25/F25</f>
        <v>37.829202968460109</v>
      </c>
      <c r="N25" s="231">
        <f t="shared" ref="N25:N54" si="11">M25/129.3348</f>
        <v>0.29249052048219126</v>
      </c>
      <c r="O25" s="281">
        <f>'Jan 2025-Prodn &amp; Sales Analysis'!O31</f>
        <v>2605.292307692308</v>
      </c>
      <c r="P25" s="288">
        <f>C25/O25*12</f>
        <v>128.45698696145124</v>
      </c>
      <c r="Q25" s="628">
        <f>(K25+K26)*12/(O25+O26)/129.3348</f>
        <v>37.784342647818157</v>
      </c>
    </row>
    <row r="26" spans="2:18" ht="15" customHeight="1" thickBot="1" x14ac:dyDescent="0.25">
      <c r="B26" s="289" t="s">
        <v>52</v>
      </c>
      <c r="C26" s="283">
        <f>'March 2025 - Prodn &amp; Sales'!C25</f>
        <v>54770</v>
      </c>
      <c r="D26" s="283">
        <f>'March 2025 - Prodn &amp; Sales'!D25</f>
        <v>424</v>
      </c>
      <c r="E26" s="283">
        <f>'March 2025 - Prodn &amp; Sales'!E25</f>
        <v>54346</v>
      </c>
      <c r="F26" s="283">
        <f>'March 2025 - Prodn &amp; Sales'!F25</f>
        <v>50610</v>
      </c>
      <c r="G26" s="283">
        <f>'March 2025 - Prodn &amp; Sales'!G25</f>
        <v>2460</v>
      </c>
      <c r="H26" s="283">
        <f>'March 2025 - Prodn &amp; Sales'!H25</f>
        <v>53070</v>
      </c>
      <c r="I26" s="283">
        <f>'March 2025 - Prodn &amp; Sales'!I25</f>
        <v>2077487.0000000002</v>
      </c>
      <c r="J26" s="283">
        <f>'March 2025 - Prodn &amp; Sales'!J25</f>
        <v>8482.76</v>
      </c>
      <c r="K26" s="283">
        <f>'March 2025 - Prodn &amp; Sales'!K25</f>
        <v>2085969.7600000002</v>
      </c>
      <c r="L26" s="627"/>
      <c r="M26" s="290">
        <f>I26/F26</f>
        <v>41.048942896660741</v>
      </c>
      <c r="N26" s="237">
        <f t="shared" si="11"/>
        <v>0.31738513452420186</v>
      </c>
      <c r="O26" s="257">
        <f>'Jan 2025-Prodn &amp; Sales Analysis'!O30</f>
        <v>5024.4923076923069</v>
      </c>
      <c r="P26" s="291">
        <f>C26/O26*12</f>
        <v>130.80724573780131</v>
      </c>
      <c r="Q26" s="633"/>
    </row>
    <row r="27" spans="2:18" ht="15" customHeight="1" x14ac:dyDescent="0.2">
      <c r="B27" s="292" t="s">
        <v>49</v>
      </c>
      <c r="C27" s="278">
        <f>'March 2025 - Prodn &amp; Sales'!C33</f>
        <v>48855</v>
      </c>
      <c r="D27" s="278">
        <f>'March 2025 - Prodn &amp; Sales'!D33</f>
        <v>282</v>
      </c>
      <c r="E27" s="278">
        <f>'March 2025 - Prodn &amp; Sales'!E33</f>
        <v>48573</v>
      </c>
      <c r="F27" s="278">
        <f>'March 2025 - Prodn &amp; Sales'!F33</f>
        <v>39170</v>
      </c>
      <c r="G27" s="278">
        <f>'March 2025 - Prodn &amp; Sales'!G33</f>
        <v>1080</v>
      </c>
      <c r="H27" s="278">
        <f>'March 2025 - Prodn &amp; Sales'!H33</f>
        <v>40250</v>
      </c>
      <c r="I27" s="278">
        <f>'March 2025 - Prodn &amp; Sales'!I33</f>
        <v>1392947.1400000001</v>
      </c>
      <c r="J27" s="278">
        <f>'March 2025 - Prodn &amp; Sales'!J33</f>
        <v>3724.14</v>
      </c>
      <c r="K27" s="278">
        <f>'March 2025 - Prodn &amp; Sales'!K33</f>
        <v>1396671.28</v>
      </c>
      <c r="L27" s="626">
        <f>(F27+F28)/(E27+E28)</f>
        <v>0.86406497350127331</v>
      </c>
      <c r="M27" s="287">
        <f>I27/F27</f>
        <v>35.561581312228746</v>
      </c>
      <c r="N27" s="231">
        <f t="shared" si="11"/>
        <v>0.27495756217374401</v>
      </c>
      <c r="O27" s="281">
        <f>'Jan 2025-Prodn &amp; Sales Analysis'!O27</f>
        <v>5024.4923076923069</v>
      </c>
      <c r="P27" s="288">
        <f>C27/O27*12</f>
        <v>116.68044532627867</v>
      </c>
      <c r="Q27" s="628">
        <f>(K27+K28)*12/(O27+O28)/129.3348</f>
        <v>29.003037407803028</v>
      </c>
    </row>
    <row r="28" spans="2:18" ht="15" customHeight="1" thickBot="1" x14ac:dyDescent="0.25">
      <c r="B28" s="293" t="s">
        <v>62</v>
      </c>
      <c r="C28" s="283">
        <f>'March 2025 - Prodn &amp; Sales'!C29</f>
        <v>24697</v>
      </c>
      <c r="D28" s="283">
        <f>'March 2025 - Prodn &amp; Sales'!D29</f>
        <v>625</v>
      </c>
      <c r="E28" s="283">
        <f>'March 2025 - Prodn &amp; Sales'!E29</f>
        <v>24072</v>
      </c>
      <c r="F28" s="283">
        <f>'March 2025 - Prodn &amp; Sales'!F29</f>
        <v>23600</v>
      </c>
      <c r="G28" s="283">
        <f>'March 2025 - Prodn &amp; Sales'!G29</f>
        <v>1600</v>
      </c>
      <c r="H28" s="283">
        <f>'March 2025 - Prodn &amp; Sales'!H29</f>
        <v>25200</v>
      </c>
      <c r="I28" s="283">
        <f>'March 2025 - Prodn &amp; Sales'!I29</f>
        <v>1002210.19</v>
      </c>
      <c r="J28" s="283">
        <f>'March 2025 - Prodn &amp; Sales'!J29</f>
        <v>5517.23</v>
      </c>
      <c r="K28" s="283">
        <f>'March 2025 - Prodn &amp; Sales'!K29</f>
        <v>1007727.4199999999</v>
      </c>
      <c r="L28" s="627"/>
      <c r="M28" s="290">
        <f>I28/F28</f>
        <v>42.466533474576266</v>
      </c>
      <c r="N28" s="237">
        <f t="shared" si="11"/>
        <v>0.32834576211952443</v>
      </c>
      <c r="O28" s="257">
        <f>'Jan 2025-Prodn &amp; Sales Analysis'!O35</f>
        <v>2667.3230769230763</v>
      </c>
      <c r="P28" s="291">
        <f>C28/O28*12</f>
        <v>111.109150055371</v>
      </c>
      <c r="Q28" s="633"/>
    </row>
    <row r="29" spans="2:18" ht="15" customHeight="1" x14ac:dyDescent="0.2">
      <c r="B29" s="316" t="s">
        <v>51</v>
      </c>
      <c r="C29" s="304">
        <f>'March 2025 - Prodn &amp; Sales'!C31</f>
        <v>79513</v>
      </c>
      <c r="D29" s="304">
        <f>'March 2025 - Prodn &amp; Sales'!D31</f>
        <v>417</v>
      </c>
      <c r="E29" s="304">
        <f>'March 2025 - Prodn &amp; Sales'!E31</f>
        <v>79096</v>
      </c>
      <c r="F29" s="304">
        <f>'March 2025 - Prodn &amp; Sales'!F31</f>
        <v>76270</v>
      </c>
      <c r="G29" s="304">
        <f>'March 2025 - Prodn &amp; Sales'!G31</f>
        <v>360</v>
      </c>
      <c r="H29" s="304">
        <f>'March 2025 - Prodn &amp; Sales'!H31</f>
        <v>76630</v>
      </c>
      <c r="I29" s="304">
        <f>'March 2025 - Prodn &amp; Sales'!I31</f>
        <v>2611725.29</v>
      </c>
      <c r="J29" s="304">
        <f>'March 2025 - Prodn &amp; Sales'!J31</f>
        <v>1241.3699999999999</v>
      </c>
      <c r="K29" s="304">
        <f>'March 2025 - Prodn &amp; Sales'!K31</f>
        <v>2612966.66</v>
      </c>
      <c r="L29" s="626">
        <f>(F29+F30)/(E29+E30)</f>
        <v>0.91720022994429795</v>
      </c>
      <c r="M29" s="279">
        <f t="shared" ref="M29:M52" si="12">I29/F29</f>
        <v>34.243153140159961</v>
      </c>
      <c r="N29" s="231">
        <f t="shared" si="11"/>
        <v>0.26476364551659692</v>
      </c>
      <c r="O29" s="281">
        <f>'Jan 2025-Prodn &amp; Sales Analysis'!O26</f>
        <v>8436.1846153846163</v>
      </c>
      <c r="P29" s="229">
        <f t="shared" ref="P29:P52" si="13">C29/O29*12</f>
        <v>113.10278799019608</v>
      </c>
      <c r="Q29" s="628">
        <f>(K29+K30)*12/(O29+O30)/129.3348</f>
        <v>27.799115633896818</v>
      </c>
    </row>
    <row r="30" spans="2:18" ht="15" customHeight="1" thickBot="1" x14ac:dyDescent="0.25">
      <c r="B30" s="400" t="s">
        <v>42</v>
      </c>
      <c r="C30" s="283">
        <f>'March 2025 - Prodn &amp; Sales'!C36</f>
        <v>22023</v>
      </c>
      <c r="D30" s="283">
        <f>'March 2025 - Prodn &amp; Sales'!D36</f>
        <v>225</v>
      </c>
      <c r="E30" s="283">
        <f>'March 2025 - Prodn &amp; Sales'!E36</f>
        <v>21798</v>
      </c>
      <c r="F30" s="283">
        <f>'March 2025 - Prodn &amp; Sales'!F36</f>
        <v>16270</v>
      </c>
      <c r="G30" s="283">
        <f>'March 2025 - Prodn &amp; Sales'!G36</f>
        <v>0</v>
      </c>
      <c r="H30" s="283">
        <f>'March 2025 - Prodn &amp; Sales'!H36</f>
        <v>16270</v>
      </c>
      <c r="I30" s="283">
        <f>'March 2025 - Prodn &amp; Sales'!I36</f>
        <v>620895.80000000005</v>
      </c>
      <c r="J30" s="283">
        <f>'March 2025 - Prodn &amp; Sales'!J36</f>
        <v>0</v>
      </c>
      <c r="K30" s="283">
        <f>'March 2025 - Prodn &amp; Sales'!K36</f>
        <v>620895.80000000005</v>
      </c>
      <c r="L30" s="627"/>
      <c r="M30" s="284">
        <f t="shared" si="12"/>
        <v>38.162003687768902</v>
      </c>
      <c r="N30" s="237">
        <f t="shared" si="11"/>
        <v>0.2950636927398419</v>
      </c>
      <c r="O30" s="257">
        <f>'Jan 2025-Prodn &amp; Sales Analysis'!O37</f>
        <v>2357.1692307692306</v>
      </c>
      <c r="P30" s="242">
        <f t="shared" si="13"/>
        <v>112.11583646616542</v>
      </c>
      <c r="Q30" s="629"/>
      <c r="R30" s="16"/>
    </row>
    <row r="31" spans="2:18" ht="15" customHeight="1" x14ac:dyDescent="0.2">
      <c r="B31" s="311" t="s">
        <v>66</v>
      </c>
      <c r="C31" s="304">
        <f>'March 2025 - Prodn &amp; Sales'!C45</f>
        <v>13546</v>
      </c>
      <c r="D31" s="304">
        <f>'March 2025 - Prodn &amp; Sales'!D45</f>
        <v>98</v>
      </c>
      <c r="E31" s="304">
        <f>'March 2025 - Prodn &amp; Sales'!E45</f>
        <v>13448</v>
      </c>
      <c r="F31" s="304">
        <f>'March 2025 - Prodn &amp; Sales'!F45</f>
        <v>13380</v>
      </c>
      <c r="G31" s="304">
        <f>'March 2025 - Prodn &amp; Sales'!G45</f>
        <v>0</v>
      </c>
      <c r="H31" s="304">
        <f>'March 2025 - Prodn &amp; Sales'!H45</f>
        <v>13380</v>
      </c>
      <c r="I31" s="304">
        <f>'March 2025 - Prodn &amp; Sales'!I45</f>
        <v>444481.23</v>
      </c>
      <c r="J31" s="304">
        <f>'March 2025 - Prodn &amp; Sales'!J45</f>
        <v>0</v>
      </c>
      <c r="K31" s="304">
        <f>'March 2025 - Prodn &amp; Sales'!K45</f>
        <v>444481.23</v>
      </c>
      <c r="L31" s="626">
        <f>(F31+F32)/(E31+E32)</f>
        <v>0.93752363091907265</v>
      </c>
      <c r="M31" s="279">
        <f t="shared" ref="M31:M38" si="14">I31/F31</f>
        <v>33.219822869955152</v>
      </c>
      <c r="N31" s="231">
        <f t="shared" si="11"/>
        <v>0.25685138779319372</v>
      </c>
      <c r="O31" s="281">
        <f>'Jan 2025-Prodn &amp; Sales Analysis'!O47</f>
        <v>2605.292307692308</v>
      </c>
      <c r="P31" s="229">
        <f t="shared" ref="P31:P38" si="15">C31/O31*12</f>
        <v>62.392998866213148</v>
      </c>
      <c r="Q31" s="628">
        <f>(K31+K32)*12/(O31+O32)/129.3348</f>
        <v>25.770003004016012</v>
      </c>
      <c r="R31" s="16"/>
    </row>
    <row r="32" spans="2:18" ht="15" customHeight="1" thickBot="1" x14ac:dyDescent="0.25">
      <c r="B32" s="312" t="s">
        <v>39</v>
      </c>
      <c r="C32" s="283">
        <f>'March 2025 - Prodn &amp; Sales'!C30</f>
        <v>53020</v>
      </c>
      <c r="D32" s="283">
        <f>'March 2025 - Prodn &amp; Sales'!D30</f>
        <v>347</v>
      </c>
      <c r="E32" s="283">
        <f>'March 2025 - Prodn &amp; Sales'!E30</f>
        <v>52673</v>
      </c>
      <c r="F32" s="283">
        <f>'March 2025 - Prodn &amp; Sales'!F30</f>
        <v>48610</v>
      </c>
      <c r="G32" s="283">
        <f>'March 2025 - Prodn &amp; Sales'!G30</f>
        <v>0</v>
      </c>
      <c r="H32" s="283">
        <f>'March 2025 - Prodn &amp; Sales'!H30</f>
        <v>48610</v>
      </c>
      <c r="I32" s="283">
        <f>'March 2025 - Prodn &amp; Sales'!I30</f>
        <v>1709122.52</v>
      </c>
      <c r="J32" s="283">
        <f>'March 2025 - Prodn &amp; Sales'!J30</f>
        <v>0</v>
      </c>
      <c r="K32" s="283">
        <f>'March 2025 - Prodn &amp; Sales'!K30</f>
        <v>1709122.52</v>
      </c>
      <c r="L32" s="627"/>
      <c r="M32" s="284">
        <f t="shared" si="14"/>
        <v>35.159895494754167</v>
      </c>
      <c r="N32" s="237">
        <f t="shared" si="11"/>
        <v>0.27185177921761328</v>
      </c>
      <c r="O32" s="257">
        <f>'Jan 2025-Prodn &amp; Sales Analysis'!O32</f>
        <v>5148.5538461538454</v>
      </c>
      <c r="P32" s="242">
        <f t="shared" si="15"/>
        <v>123.57644865174989</v>
      </c>
      <c r="Q32" s="629"/>
      <c r="R32" s="16"/>
    </row>
    <row r="33" spans="2:18" ht="15" customHeight="1" x14ac:dyDescent="0.2">
      <c r="B33" s="277" t="s">
        <v>53</v>
      </c>
      <c r="C33" s="278">
        <f>'March 2025 - Prodn &amp; Sales'!C32</f>
        <v>67438</v>
      </c>
      <c r="D33" s="278">
        <f>'March 2025 - Prodn &amp; Sales'!D32</f>
        <v>279</v>
      </c>
      <c r="E33" s="278">
        <f>'March 2025 - Prodn &amp; Sales'!E32</f>
        <v>67159</v>
      </c>
      <c r="F33" s="278">
        <f>'March 2025 - Prodn &amp; Sales'!F32</f>
        <v>60600</v>
      </c>
      <c r="G33" s="278">
        <f>'March 2025 - Prodn &amp; Sales'!G32</f>
        <v>1020</v>
      </c>
      <c r="H33" s="278">
        <f>'March 2025 - Prodn &amp; Sales'!H32</f>
        <v>61620</v>
      </c>
      <c r="I33" s="278">
        <f>'March 2025 - Prodn &amp; Sales'!I32</f>
        <v>2172684.98</v>
      </c>
      <c r="J33" s="278">
        <f>'March 2025 - Prodn &amp; Sales'!J32</f>
        <v>3517.25</v>
      </c>
      <c r="K33" s="278">
        <f>'March 2025 - Prodn &amp; Sales'!K32</f>
        <v>2176202.23</v>
      </c>
      <c r="L33" s="626">
        <f>(F33+F34)/(E33+E34)</f>
        <v>0.92103151579493125</v>
      </c>
      <c r="M33" s="279">
        <f t="shared" si="14"/>
        <v>35.852887458745876</v>
      </c>
      <c r="N33" s="231">
        <f t="shared" si="11"/>
        <v>0.27720990374397203</v>
      </c>
      <c r="O33" s="281">
        <f>'Jan 2025-Prodn &amp; Sales Analysis'!O29</f>
        <v>7381.6615384615379</v>
      </c>
      <c r="P33" s="229">
        <f t="shared" si="15"/>
        <v>109.63060224089637</v>
      </c>
      <c r="Q33" s="628">
        <f>(K33+K34)*12/(O33+O34)/129.3348</f>
        <v>25.085211166136094</v>
      </c>
    </row>
    <row r="34" spans="2:18" ht="15" customHeight="1" thickBot="1" x14ac:dyDescent="0.25">
      <c r="B34" s="282" t="s">
        <v>45</v>
      </c>
      <c r="C34" s="283">
        <f>'March 2025 - Prodn &amp; Sales'!C43</f>
        <v>14067</v>
      </c>
      <c r="D34" s="283">
        <f>'March 2025 - Prodn &amp; Sales'!D43</f>
        <v>219</v>
      </c>
      <c r="E34" s="283">
        <f>'March 2025 - Prodn &amp; Sales'!E43</f>
        <v>13848</v>
      </c>
      <c r="F34" s="283">
        <f>'March 2025 - Prodn &amp; Sales'!F43</f>
        <v>14010</v>
      </c>
      <c r="G34" s="283">
        <f>'March 2025 - Prodn &amp; Sales'!G43</f>
        <v>0</v>
      </c>
      <c r="H34" s="283">
        <f>'March 2025 - Prodn &amp; Sales'!H43</f>
        <v>14010</v>
      </c>
      <c r="I34" s="283">
        <f>'March 2025 - Prodn &amp; Sales'!I43</f>
        <v>490387.5</v>
      </c>
      <c r="J34" s="283">
        <f>'March 2025 - Prodn &amp; Sales'!J43</f>
        <v>0</v>
      </c>
      <c r="K34" s="283">
        <f>'March 2025 - Prodn &amp; Sales'!K43</f>
        <v>490387.5</v>
      </c>
      <c r="L34" s="627"/>
      <c r="M34" s="284">
        <f t="shared" si="14"/>
        <v>35.002676659528909</v>
      </c>
      <c r="N34" s="237">
        <f t="shared" si="11"/>
        <v>0.27063618345200913</v>
      </c>
      <c r="O34" s="257">
        <f>'Jan 2025-Prodn &amp; Sales Analysis'!O38</f>
        <v>2481.2307692307691</v>
      </c>
      <c r="P34" s="242">
        <f t="shared" si="15"/>
        <v>68.032366071428569</v>
      </c>
      <c r="Q34" s="629"/>
    </row>
    <row r="35" spans="2:18" ht="15" customHeight="1" thickBot="1" x14ac:dyDescent="0.25">
      <c r="B35" s="350" t="s">
        <v>40</v>
      </c>
      <c r="C35" s="296">
        <f>'March 2025 - Prodn &amp; Sales'!C37</f>
        <v>15502</v>
      </c>
      <c r="D35" s="296">
        <f>'March 2025 - Prodn &amp; Sales'!D37</f>
        <v>119</v>
      </c>
      <c r="E35" s="296">
        <f>'March 2025 - Prodn &amp; Sales'!E37</f>
        <v>15383</v>
      </c>
      <c r="F35" s="296">
        <f>'March 2025 - Prodn &amp; Sales'!F37</f>
        <v>14570</v>
      </c>
      <c r="G35" s="296">
        <f>'March 2025 - Prodn &amp; Sales'!G37</f>
        <v>360</v>
      </c>
      <c r="H35" s="296">
        <f>'March 2025 - Prodn &amp; Sales'!H37</f>
        <v>14930</v>
      </c>
      <c r="I35" s="296">
        <f>'March 2025 - Prodn &amp; Sales'!I37</f>
        <v>630031.23</v>
      </c>
      <c r="J35" s="296">
        <f>'March 2025 - Prodn &amp; Sales'!J37</f>
        <v>1241.3800000000001</v>
      </c>
      <c r="K35" s="296">
        <f>'March 2025 - Prodn &amp; Sales'!K37</f>
        <v>631272.61</v>
      </c>
      <c r="L35" s="324">
        <f>F35/E35</f>
        <v>0.9471494506923227</v>
      </c>
      <c r="M35" s="347">
        <f t="shared" si="14"/>
        <v>43.241676733013037</v>
      </c>
      <c r="N35" s="348">
        <f t="shared" si="11"/>
        <v>0.33433906986374151</v>
      </c>
      <c r="O35" s="20">
        <f>'Jan 2025-Prodn &amp; Sales Analysis'!O42</f>
        <v>2481.2307692307691</v>
      </c>
      <c r="P35" s="20">
        <f t="shared" si="15"/>
        <v>74.972470238095241</v>
      </c>
      <c r="Q35" s="401">
        <f>(K35)*12/(O35)/129.3348</f>
        <v>23.605632326822288</v>
      </c>
      <c r="R35" s="16"/>
    </row>
    <row r="36" spans="2:18" ht="15" customHeight="1" x14ac:dyDescent="0.2">
      <c r="B36" s="294" t="s">
        <v>50</v>
      </c>
      <c r="C36" s="278">
        <f>'March 2025 - Prodn &amp; Sales'!C27</f>
        <v>23170</v>
      </c>
      <c r="D36" s="278">
        <f>'March 2025 - Prodn &amp; Sales'!D27</f>
        <v>274</v>
      </c>
      <c r="E36" s="278">
        <f>'March 2025 - Prodn &amp; Sales'!E27</f>
        <v>22896</v>
      </c>
      <c r="F36" s="278">
        <f>'March 2025 - Prodn &amp; Sales'!F27</f>
        <v>30240</v>
      </c>
      <c r="G36" s="278">
        <f>'March 2025 - Prodn &amp; Sales'!G27</f>
        <v>360</v>
      </c>
      <c r="H36" s="278">
        <f>'March 2025 - Prodn &amp; Sales'!H27</f>
        <v>30600</v>
      </c>
      <c r="I36" s="278">
        <f>'March 2025 - Prodn &amp; Sales'!I27</f>
        <v>1039915.58</v>
      </c>
      <c r="J36" s="278">
        <f>'March 2025 - Prodn &amp; Sales'!J27</f>
        <v>1241.3800000000001</v>
      </c>
      <c r="K36" s="278">
        <f>'March 2025 - Prodn &amp; Sales'!K27</f>
        <v>1041156.96</v>
      </c>
      <c r="L36" s="626">
        <f>(F36+F37+F38)/(C36+C37+C38)</f>
        <v>0.89690721649484539</v>
      </c>
      <c r="M36" s="287">
        <f t="shared" si="14"/>
        <v>34.388742724867726</v>
      </c>
      <c r="N36" s="280">
        <f t="shared" si="11"/>
        <v>0.26588932541642096</v>
      </c>
      <c r="O36" s="281">
        <f>'Jan 2025-Prodn &amp; Sales Analysis'!O28</f>
        <v>2667.3230769230763</v>
      </c>
      <c r="P36" s="288">
        <f t="shared" si="15"/>
        <v>104.23934108527135</v>
      </c>
      <c r="Q36" s="628">
        <f>(K36+K37+K38)*12/(O36+O37+O38)/129.3348</f>
        <v>22.947377632706274</v>
      </c>
    </row>
    <row r="37" spans="2:18" ht="15" customHeight="1" x14ac:dyDescent="0.2">
      <c r="B37" s="295" t="s">
        <v>65</v>
      </c>
      <c r="C37" s="296">
        <f>'March 2025 - Prodn &amp; Sales'!C39</f>
        <v>19471</v>
      </c>
      <c r="D37" s="296">
        <f>'March 2025 - Prodn &amp; Sales'!D39</f>
        <v>235</v>
      </c>
      <c r="E37" s="296">
        <f>'March 2025 - Prodn &amp; Sales'!E39</f>
        <v>19236</v>
      </c>
      <c r="F37" s="296">
        <f>'March 2025 - Prodn &amp; Sales'!F39</f>
        <v>18440</v>
      </c>
      <c r="G37" s="296">
        <f>'March 2025 - Prodn &amp; Sales'!G39</f>
        <v>0</v>
      </c>
      <c r="H37" s="296">
        <f>'March 2025 - Prodn &amp; Sales'!H39</f>
        <v>18440</v>
      </c>
      <c r="I37" s="296">
        <f>'March 2025 - Prodn &amp; Sales'!I39</f>
        <v>688027.69</v>
      </c>
      <c r="J37" s="296">
        <f>'March 2025 - Prodn &amp; Sales'!J39</f>
        <v>0</v>
      </c>
      <c r="K37" s="296">
        <f>'March 2025 - Prodn &amp; Sales'!K39</f>
        <v>688027.69</v>
      </c>
      <c r="L37" s="634"/>
      <c r="M37" s="297">
        <f t="shared" si="14"/>
        <v>37.311696854663772</v>
      </c>
      <c r="N37" s="298">
        <f t="shared" si="11"/>
        <v>0.28848922992623621</v>
      </c>
      <c r="O37" s="299">
        <f>'Jan 2025-Prodn &amp; Sales Analysis'!O45</f>
        <v>2788.4307692307689</v>
      </c>
      <c r="P37" s="300">
        <f t="shared" si="15"/>
        <v>83.793365995762727</v>
      </c>
      <c r="Q37" s="633"/>
    </row>
    <row r="38" spans="2:18" ht="15" customHeight="1" thickBot="1" x14ac:dyDescent="0.25">
      <c r="B38" s="301" t="s">
        <v>61</v>
      </c>
      <c r="C38" s="302">
        <f>'March 2025 - Prodn &amp; Sales'!C51</f>
        <v>19439</v>
      </c>
      <c r="D38" s="302">
        <f>'March 2025 - Prodn &amp; Sales'!D51</f>
        <v>255</v>
      </c>
      <c r="E38" s="302">
        <f>'March 2025 - Prodn &amp; Sales'!E51</f>
        <v>19184</v>
      </c>
      <c r="F38" s="302">
        <f>'March 2025 - Prodn &amp; Sales'!F51</f>
        <v>7000</v>
      </c>
      <c r="G38" s="302">
        <f>'March 2025 - Prodn &amp; Sales'!G51</f>
        <v>120</v>
      </c>
      <c r="H38" s="302">
        <f>'March 2025 - Prodn &amp; Sales'!H51</f>
        <v>7120</v>
      </c>
      <c r="I38" s="302">
        <f>'March 2025 - Prodn &amp; Sales'!I51</f>
        <v>233412.63999999998</v>
      </c>
      <c r="J38" s="302">
        <f>'March 2025 - Prodn &amp; Sales'!J51</f>
        <v>413.79</v>
      </c>
      <c r="K38" s="302">
        <f>'March 2025 - Prodn &amp; Sales'!K51</f>
        <v>233826.43</v>
      </c>
      <c r="L38" s="627"/>
      <c r="M38" s="290">
        <f t="shared" si="14"/>
        <v>33.344662857142858</v>
      </c>
      <c r="N38" s="285">
        <f t="shared" si="11"/>
        <v>0.25781663447999192</v>
      </c>
      <c r="O38" s="257">
        <f>'Jan 2025-Prodn &amp; Sales Analysis'!O51</f>
        <v>2481.2307692307695</v>
      </c>
      <c r="P38" s="291">
        <f t="shared" si="15"/>
        <v>94.013020833333314</v>
      </c>
      <c r="Q38" s="629"/>
    </row>
    <row r="39" spans="2:18" ht="15" customHeight="1" x14ac:dyDescent="0.2">
      <c r="B39" s="303" t="s">
        <v>44</v>
      </c>
      <c r="C39" s="304">
        <f>'March 2025 - Prodn &amp; Sales'!C34</f>
        <v>19615</v>
      </c>
      <c r="D39" s="304">
        <f>'March 2025 - Prodn &amp; Sales'!D34</f>
        <v>263</v>
      </c>
      <c r="E39" s="304">
        <f>'March 2025 - Prodn &amp; Sales'!E34</f>
        <v>19352</v>
      </c>
      <c r="F39" s="304">
        <f>'March 2025 - Prodn &amp; Sales'!F34</f>
        <v>17080</v>
      </c>
      <c r="G39" s="304">
        <f>'March 2025 - Prodn &amp; Sales'!G34</f>
        <v>240</v>
      </c>
      <c r="H39" s="304">
        <f>'March 2025 - Prodn &amp; Sales'!H34</f>
        <v>17320</v>
      </c>
      <c r="I39" s="304">
        <f>'March 2025 - Prodn &amp; Sales'!I34</f>
        <v>648331.38</v>
      </c>
      <c r="J39" s="304">
        <f>'March 2025 - Prodn &amp; Sales'!J34</f>
        <v>827.58</v>
      </c>
      <c r="K39" s="304">
        <f>'March 2025 - Prodn &amp; Sales'!K34</f>
        <v>649158.96</v>
      </c>
      <c r="L39" s="630">
        <f>(F39+F40+F41+F42)/(E39+E40+E41+E42)</f>
        <v>0.86795399063097933</v>
      </c>
      <c r="M39" s="279">
        <f t="shared" si="12"/>
        <v>37.958511709601872</v>
      </c>
      <c r="N39" s="280">
        <f t="shared" si="11"/>
        <v>0.29349031899845884</v>
      </c>
      <c r="O39" s="281">
        <f>'Jan 2025-Prodn &amp; Sales Analysis'!O36</f>
        <v>2357.1692307692306</v>
      </c>
      <c r="P39" s="229">
        <f t="shared" si="13"/>
        <v>99.857064536340857</v>
      </c>
      <c r="Q39" s="628">
        <f>(K39+K40+K41+K42)*12/(O39+O40+O41+O42)/129.3348</f>
        <v>22.184705665678706</v>
      </c>
    </row>
    <row r="40" spans="2:18" ht="15" customHeight="1" x14ac:dyDescent="0.2">
      <c r="B40" s="305" t="s">
        <v>41</v>
      </c>
      <c r="C40" s="296">
        <f>'March 2025 - Prodn &amp; Sales'!C38</f>
        <v>23432</v>
      </c>
      <c r="D40" s="296">
        <f>'March 2025 - Prodn &amp; Sales'!D38</f>
        <v>320</v>
      </c>
      <c r="E40" s="296">
        <f>'March 2025 - Prodn &amp; Sales'!E38</f>
        <v>23112</v>
      </c>
      <c r="F40" s="296">
        <f>'March 2025 - Prodn &amp; Sales'!F38</f>
        <v>21830</v>
      </c>
      <c r="G40" s="296">
        <f>'March 2025 - Prodn &amp; Sales'!G38</f>
        <v>480</v>
      </c>
      <c r="H40" s="296">
        <f>'March 2025 - Prodn &amp; Sales'!H38</f>
        <v>22310</v>
      </c>
      <c r="I40" s="296">
        <f>'March 2025 - Prodn &amp; Sales'!I38</f>
        <v>801093.59000000008</v>
      </c>
      <c r="J40" s="296">
        <f>'March 2025 - Prodn &amp; Sales'!J38</f>
        <v>1655.17</v>
      </c>
      <c r="K40" s="296">
        <f>'March 2025 - Prodn &amp; Sales'!K38</f>
        <v>802748.76000000013</v>
      </c>
      <c r="L40" s="631"/>
      <c r="M40" s="306">
        <f t="shared" si="12"/>
        <v>36.696912047640865</v>
      </c>
      <c r="N40" s="298">
        <f t="shared" si="11"/>
        <v>0.2837357930552401</v>
      </c>
      <c r="O40" s="299">
        <f>'Jan 2025-Prodn &amp; Sales Analysis'!O41</f>
        <v>3225.5999999999995</v>
      </c>
      <c r="P40" s="20">
        <f t="shared" si="13"/>
        <v>87.172619047619065</v>
      </c>
      <c r="Q40" s="633"/>
    </row>
    <row r="41" spans="2:18" ht="15" customHeight="1" x14ac:dyDescent="0.2">
      <c r="B41" s="305" t="s">
        <v>46</v>
      </c>
      <c r="C41" s="296">
        <f>'March 2025 - Prodn &amp; Sales'!C35</f>
        <v>30036</v>
      </c>
      <c r="D41" s="296">
        <f>'March 2025 - Prodn &amp; Sales'!D35</f>
        <v>284</v>
      </c>
      <c r="E41" s="296">
        <f>'March 2025 - Prodn &amp; Sales'!E35</f>
        <v>29752</v>
      </c>
      <c r="F41" s="296">
        <f>'March 2025 - Prodn &amp; Sales'!F35</f>
        <v>32330</v>
      </c>
      <c r="G41" s="296">
        <f>'March 2025 - Prodn &amp; Sales'!G35</f>
        <v>1880</v>
      </c>
      <c r="H41" s="296">
        <f>'March 2025 - Prodn &amp; Sales'!H35</f>
        <v>34210</v>
      </c>
      <c r="I41" s="296">
        <f>'March 2025 - Prodn &amp; Sales'!I35</f>
        <v>1351156.6199999999</v>
      </c>
      <c r="J41" s="296">
        <f>'March 2025 - Prodn &amp; Sales'!J35</f>
        <v>6482.74</v>
      </c>
      <c r="K41" s="296">
        <f>'March 2025 - Prodn &amp; Sales'!K35</f>
        <v>1357639.3599999999</v>
      </c>
      <c r="L41" s="631"/>
      <c r="M41" s="306">
        <f t="shared" si="12"/>
        <v>41.792657593566346</v>
      </c>
      <c r="N41" s="298">
        <f t="shared" si="11"/>
        <v>0.32313544068237121</v>
      </c>
      <c r="O41" s="299">
        <f>'Jan 2025-Prodn &amp; Sales Analysis'!O34</f>
        <v>5027.4461538461537</v>
      </c>
      <c r="P41" s="20">
        <f t="shared" si="13"/>
        <v>71.692861339600469</v>
      </c>
      <c r="Q41" s="633"/>
    </row>
    <row r="42" spans="2:18" ht="15" customHeight="1" thickBot="1" x14ac:dyDescent="0.25">
      <c r="B42" s="307" t="s">
        <v>59</v>
      </c>
      <c r="C42" s="302">
        <f>'March 2025 - Prodn &amp; Sales'!C48</f>
        <v>18810</v>
      </c>
      <c r="D42" s="302">
        <f>'March 2025 - Prodn &amp; Sales'!D48</f>
        <v>88</v>
      </c>
      <c r="E42" s="302">
        <f>'March 2025 - Prodn &amp; Sales'!E48</f>
        <v>18722</v>
      </c>
      <c r="F42" s="302">
        <f>'March 2025 - Prodn &amp; Sales'!F48</f>
        <v>7690</v>
      </c>
      <c r="G42" s="302">
        <f>'March 2025 - Prodn &amp; Sales'!G48</f>
        <v>2340</v>
      </c>
      <c r="H42" s="302">
        <f>'March 2025 - Prodn &amp; Sales'!H48</f>
        <v>10030</v>
      </c>
      <c r="I42" s="302">
        <f>'March 2025 - Prodn &amp; Sales'!I48</f>
        <v>312608.16000000003</v>
      </c>
      <c r="J42" s="302">
        <f>'March 2025 - Prodn &amp; Sales'!J48</f>
        <v>8068.96</v>
      </c>
      <c r="K42" s="302">
        <f>'March 2025 - Prodn &amp; Sales'!K48</f>
        <v>320677.12000000005</v>
      </c>
      <c r="L42" s="632"/>
      <c r="M42" s="284">
        <f t="shared" si="12"/>
        <v>40.65125617685306</v>
      </c>
      <c r="N42" s="285">
        <f t="shared" si="11"/>
        <v>0.31431027207567536</v>
      </c>
      <c r="O42" s="257">
        <f>'Jan 2025-Prodn &amp; Sales Analysis'!O48</f>
        <v>2481.2307692307691</v>
      </c>
      <c r="P42" s="242">
        <f t="shared" si="13"/>
        <v>90.970982142857139</v>
      </c>
      <c r="Q42" s="629"/>
    </row>
    <row r="43" spans="2:18" ht="15" customHeight="1" x14ac:dyDescent="0.2">
      <c r="B43" s="313" t="s">
        <v>48</v>
      </c>
      <c r="C43" s="278">
        <f>'March 2025 - Prodn &amp; Sales'!C44</f>
        <v>10560</v>
      </c>
      <c r="D43" s="278">
        <f>'March 2025 - Prodn &amp; Sales'!D44</f>
        <v>190</v>
      </c>
      <c r="E43" s="278">
        <f>'March 2025 - Prodn &amp; Sales'!E44</f>
        <v>10370</v>
      </c>
      <c r="F43" s="278">
        <f>'March 2025 - Prodn &amp; Sales'!F44</f>
        <v>8950</v>
      </c>
      <c r="G43" s="278">
        <f>'March 2025 - Prodn &amp; Sales'!G44</f>
        <v>0</v>
      </c>
      <c r="H43" s="278">
        <f>'March 2025 - Prodn &amp; Sales'!H44</f>
        <v>8950</v>
      </c>
      <c r="I43" s="278">
        <f>'March 2025 - Prodn &amp; Sales'!I44</f>
        <v>316634.48</v>
      </c>
      <c r="J43" s="278">
        <f>'March 2025 - Prodn &amp; Sales'!J44</f>
        <v>0</v>
      </c>
      <c r="K43" s="278">
        <f>'March 2025 - Prodn &amp; Sales'!K44</f>
        <v>316634.48</v>
      </c>
      <c r="L43" s="626">
        <f>(F43+F44)/(E43+E44)</f>
        <v>0.73784160909369367</v>
      </c>
      <c r="M43" s="287">
        <f t="shared" ref="M43:M50" si="16">I43/F43</f>
        <v>35.378154189944134</v>
      </c>
      <c r="N43" s="231">
        <f t="shared" si="11"/>
        <v>0.27353932731132019</v>
      </c>
      <c r="O43" s="281">
        <f>'Jan 2025-Prodn &amp; Sales Analysis'!O40</f>
        <v>1736.8615384615382</v>
      </c>
      <c r="P43" s="288">
        <f t="shared" ref="P43:P50" si="17">C43/O43*12</f>
        <v>72.959183673469397</v>
      </c>
      <c r="Q43" s="628">
        <f>(K43+K44)*12/(O43+O44)/129.3348</f>
        <v>17.997171549986493</v>
      </c>
    </row>
    <row r="44" spans="2:18" ht="15" customHeight="1" thickBot="1" x14ac:dyDescent="0.25">
      <c r="B44" s="314" t="s">
        <v>56</v>
      </c>
      <c r="C44" s="315">
        <f>'March 2025 - Prodn &amp; Sales'!C42</f>
        <v>19269</v>
      </c>
      <c r="D44" s="315">
        <f>'March 2025 - Prodn &amp; Sales'!D42</f>
        <v>256</v>
      </c>
      <c r="E44" s="315">
        <f>'March 2025 - Prodn &amp; Sales'!E42</f>
        <v>19013</v>
      </c>
      <c r="F44" s="315">
        <f>'March 2025 - Prodn &amp; Sales'!F42</f>
        <v>12730</v>
      </c>
      <c r="G44" s="315">
        <f>'March 2025 - Prodn &amp; Sales'!G42</f>
        <v>960</v>
      </c>
      <c r="H44" s="315">
        <f>'March 2025 - Prodn &amp; Sales'!H42</f>
        <v>13690</v>
      </c>
      <c r="I44" s="315">
        <f>'March 2025 - Prodn &amp; Sales'!I42</f>
        <v>498245.77</v>
      </c>
      <c r="J44" s="315">
        <f>'March 2025 - Prodn &amp; Sales'!J42</f>
        <v>3310.35</v>
      </c>
      <c r="K44" s="315">
        <f>'March 2025 - Prodn &amp; Sales'!K42</f>
        <v>501556.12</v>
      </c>
      <c r="L44" s="627"/>
      <c r="M44" s="290">
        <f t="shared" si="16"/>
        <v>39.139494893951294</v>
      </c>
      <c r="N44" s="237">
        <f t="shared" si="11"/>
        <v>0.30262152872970999</v>
      </c>
      <c r="O44" s="257">
        <f>'Jan 2025-Prodn &amp; Sales Analysis'!O43</f>
        <v>2481.2307692307691</v>
      </c>
      <c r="P44" s="291">
        <f t="shared" si="17"/>
        <v>93.190848214285722</v>
      </c>
      <c r="Q44" s="629"/>
    </row>
    <row r="45" spans="2:18" ht="15" customHeight="1" x14ac:dyDescent="0.2">
      <c r="B45" s="318" t="s">
        <v>58</v>
      </c>
      <c r="C45" s="309">
        <f>'March 2025 - Prodn &amp; Sales'!C28</f>
        <v>42150</v>
      </c>
      <c r="D45" s="309">
        <f>'March 2025 - Prodn &amp; Sales'!D28</f>
        <v>480</v>
      </c>
      <c r="E45" s="309">
        <f>'March 2025 - Prodn &amp; Sales'!E28</f>
        <v>41670</v>
      </c>
      <c r="F45" s="309">
        <f>'March 2025 - Prodn &amp; Sales'!F28</f>
        <v>54250</v>
      </c>
      <c r="G45" s="309">
        <f>'March 2025 - Prodn &amp; Sales'!G28</f>
        <v>980</v>
      </c>
      <c r="H45" s="309">
        <f>'March 2025 - Prodn &amp; Sales'!H28</f>
        <v>55230</v>
      </c>
      <c r="I45" s="309">
        <f>'March 2025 - Prodn &amp; Sales'!I28</f>
        <v>1981199.91</v>
      </c>
      <c r="J45" s="309">
        <f>'March 2025 - Prodn &amp; Sales'!J28</f>
        <v>3379.3</v>
      </c>
      <c r="K45" s="309">
        <f>'March 2025 - Prodn &amp; Sales'!K28</f>
        <v>1984579.21</v>
      </c>
      <c r="L45" s="630">
        <f>(F45+F46+F47+F48)/(E45+E46+E47+E48)</f>
        <v>0.74591444102224047</v>
      </c>
      <c r="M45" s="287">
        <f t="shared" si="16"/>
        <v>36.519814009216589</v>
      </c>
      <c r="N45" s="280">
        <f t="shared" si="11"/>
        <v>0.28236649385329077</v>
      </c>
      <c r="O45" s="281">
        <f>'Jan 2025-Prodn &amp; Sales Analysis'!O25</f>
        <v>5210.584615384616</v>
      </c>
      <c r="P45" s="288">
        <f t="shared" si="17"/>
        <v>97.071641156462576</v>
      </c>
      <c r="Q45" s="628">
        <f>(K45+K46+K47+K48)*12/(O45+O46+O47+O48)/129.3348</f>
        <v>16.023273085516141</v>
      </c>
      <c r="R45" s="16"/>
    </row>
    <row r="46" spans="2:18" ht="15" customHeight="1" x14ac:dyDescent="0.2">
      <c r="B46" s="319" t="s">
        <v>47</v>
      </c>
      <c r="C46" s="320">
        <f>'March 2025 - Prodn &amp; Sales'!C53</f>
        <v>33436</v>
      </c>
      <c r="D46" s="320">
        <f>'March 2025 - Prodn &amp; Sales'!D53</f>
        <v>331</v>
      </c>
      <c r="E46" s="320">
        <f>'March 2025 - Prodn &amp; Sales'!E53</f>
        <v>33105</v>
      </c>
      <c r="F46" s="320">
        <f>'March 2025 - Prodn &amp; Sales'!F53</f>
        <v>8340</v>
      </c>
      <c r="G46" s="320">
        <f>'March 2025 - Prodn &amp; Sales'!G53</f>
        <v>5380</v>
      </c>
      <c r="H46" s="320">
        <f>'March 2025 - Prodn &amp; Sales'!H53</f>
        <v>13720</v>
      </c>
      <c r="I46" s="320">
        <f>'March 2025 - Prodn &amp; Sales'!I53</f>
        <v>263266.97000000003</v>
      </c>
      <c r="J46" s="320">
        <f>'March 2025 - Prodn &amp; Sales'!J53</f>
        <v>18551.75</v>
      </c>
      <c r="K46" s="320">
        <f>'March 2025 - Prodn &amp; Sales'!K53</f>
        <v>281818.72000000003</v>
      </c>
      <c r="L46" s="631"/>
      <c r="M46" s="297">
        <f t="shared" si="16"/>
        <v>31.566782973621105</v>
      </c>
      <c r="N46" s="298">
        <f t="shared" si="11"/>
        <v>0.24407029642154396</v>
      </c>
      <c r="O46" s="299">
        <f>'Jan 2025-Prodn &amp; Sales Analysis'!O52</f>
        <v>4993.4769230769225</v>
      </c>
      <c r="P46" s="300">
        <f t="shared" si="17"/>
        <v>80.351227447500747</v>
      </c>
      <c r="Q46" s="633"/>
      <c r="R46" s="16"/>
    </row>
    <row r="47" spans="2:18" ht="15" customHeight="1" x14ac:dyDescent="0.2">
      <c r="B47" s="319" t="s">
        <v>64</v>
      </c>
      <c r="C47" s="296">
        <f>'March 2025 - Prodn &amp; Sales'!C50</f>
        <v>23743</v>
      </c>
      <c r="D47" s="296">
        <f>'March 2025 - Prodn &amp; Sales'!D50</f>
        <v>425</v>
      </c>
      <c r="E47" s="296">
        <f>'March 2025 - Prodn &amp; Sales'!E50</f>
        <v>23318</v>
      </c>
      <c r="F47" s="296">
        <f>'March 2025 - Prodn &amp; Sales'!F50</f>
        <v>13990</v>
      </c>
      <c r="G47" s="296">
        <f>'March 2025 - Prodn &amp; Sales'!G50</f>
        <v>2640</v>
      </c>
      <c r="H47" s="296">
        <f>'March 2025 - Prodn &amp; Sales'!H50</f>
        <v>16630</v>
      </c>
      <c r="I47" s="296">
        <f>'March 2025 - Prodn &amp; Sales'!I50</f>
        <v>471616.91000000003</v>
      </c>
      <c r="J47" s="296">
        <f>'March 2025 - Prodn &amp; Sales'!J50</f>
        <v>9103.44</v>
      </c>
      <c r="K47" s="296">
        <f>'March 2025 - Prodn &amp; Sales'!K50</f>
        <v>480720.35000000003</v>
      </c>
      <c r="L47" s="631"/>
      <c r="M47" s="297">
        <f t="shared" si="16"/>
        <v>33.711001429592571</v>
      </c>
      <c r="N47" s="298">
        <f t="shared" si="11"/>
        <v>0.26064911709449096</v>
      </c>
      <c r="O47" s="299">
        <f>'Jan 2025-Prodn &amp; Sales Analysis'!O53</f>
        <v>5009.7230769230764</v>
      </c>
      <c r="P47" s="300">
        <f t="shared" si="17"/>
        <v>56.872604658018872</v>
      </c>
      <c r="Q47" s="633"/>
      <c r="R47" s="16" t="s">
        <v>118</v>
      </c>
    </row>
    <row r="48" spans="2:18" ht="15" customHeight="1" thickBot="1" x14ac:dyDescent="0.25">
      <c r="B48" s="321" t="s">
        <v>57</v>
      </c>
      <c r="C48" s="315">
        <f>'March 2025 - Prodn &amp; Sales'!C49</f>
        <v>16899</v>
      </c>
      <c r="D48" s="315">
        <f>'March 2025 - Prodn &amp; Sales'!D49</f>
        <v>381</v>
      </c>
      <c r="E48" s="315">
        <f>'March 2025 - Prodn &amp; Sales'!E49</f>
        <v>16518</v>
      </c>
      <c r="F48" s="315">
        <f>'March 2025 - Prodn &amp; Sales'!F49</f>
        <v>8910</v>
      </c>
      <c r="G48" s="315">
        <f>'March 2025 - Prodn &amp; Sales'!G49</f>
        <v>2800</v>
      </c>
      <c r="H48" s="315">
        <f>'March 2025 - Prodn &amp; Sales'!H49</f>
        <v>11710</v>
      </c>
      <c r="I48" s="315">
        <f>'March 2025 - Prodn &amp; Sales'!I49</f>
        <v>299106.77999999997</v>
      </c>
      <c r="J48" s="315">
        <f>'March 2025 - Prodn &amp; Sales'!J49</f>
        <v>9655.17</v>
      </c>
      <c r="K48" s="315">
        <f>'March 2025 - Prodn &amp; Sales'!K49</f>
        <v>308761.94999999995</v>
      </c>
      <c r="L48" s="632"/>
      <c r="M48" s="290">
        <f t="shared" si="16"/>
        <v>33.569784511784505</v>
      </c>
      <c r="N48" s="285">
        <f t="shared" si="11"/>
        <v>0.25955724609141934</v>
      </c>
      <c r="O48" s="257">
        <f>'Jan 2025-Prodn &amp; Sales Analysis'!O49</f>
        <v>2481.2307692307691</v>
      </c>
      <c r="P48" s="291">
        <f t="shared" si="17"/>
        <v>81.728794642857153</v>
      </c>
      <c r="Q48" s="629"/>
      <c r="R48" s="16"/>
    </row>
    <row r="49" spans="1:18" ht="15" customHeight="1" x14ac:dyDescent="0.2">
      <c r="B49" s="308" t="s">
        <v>55</v>
      </c>
      <c r="C49" s="309">
        <f>'March 2025 - Prodn &amp; Sales'!C41</f>
        <v>47966</v>
      </c>
      <c r="D49" s="309">
        <f>'March 2025 - Prodn &amp; Sales'!D41</f>
        <v>189</v>
      </c>
      <c r="E49" s="309">
        <f>'March 2025 - Prodn &amp; Sales'!E41</f>
        <v>47777</v>
      </c>
      <c r="F49" s="309">
        <f>'March 2025 - Prodn &amp; Sales'!F41</f>
        <v>28510</v>
      </c>
      <c r="G49" s="309">
        <f>'March 2025 - Prodn &amp; Sales'!G41</f>
        <v>2120</v>
      </c>
      <c r="H49" s="309">
        <f>'March 2025 - Prodn &amp; Sales'!H41</f>
        <v>30630</v>
      </c>
      <c r="I49" s="309">
        <f>'March 2025 - Prodn &amp; Sales'!I41</f>
        <v>1039865.46</v>
      </c>
      <c r="J49" s="309">
        <f>'March 2025 - Prodn &amp; Sales'!J41</f>
        <v>7310.35</v>
      </c>
      <c r="K49" s="309">
        <f>'March 2025 - Prodn &amp; Sales'!K41</f>
        <v>1047175.8099999999</v>
      </c>
      <c r="L49" s="626">
        <f>(F49+F50)/(E49+E50)</f>
        <v>0.50133397645569233</v>
      </c>
      <c r="M49" s="287">
        <f t="shared" si="16"/>
        <v>36.473709575587513</v>
      </c>
      <c r="N49" s="231">
        <f t="shared" si="11"/>
        <v>0.2820100203161679</v>
      </c>
      <c r="O49" s="281">
        <f>'Jan 2025-Prodn &amp; Sales Analysis'!O39</f>
        <v>5055.5076923076922</v>
      </c>
      <c r="P49" s="288">
        <f t="shared" si="17"/>
        <v>113.85444054922583</v>
      </c>
      <c r="Q49" s="628">
        <f>(K49+K50)*12/(O49+O50)/129.3348</f>
        <v>15.713467016260088</v>
      </c>
      <c r="R49" s="16"/>
    </row>
    <row r="50" spans="1:18" ht="15" customHeight="1" thickBot="1" x14ac:dyDescent="0.25">
      <c r="B50" s="310" t="s">
        <v>63</v>
      </c>
      <c r="C50" s="283">
        <f>'March 2025 - Prodn &amp; Sales'!C52</f>
        <v>18694</v>
      </c>
      <c r="D50" s="283">
        <f>'March 2025 - Prodn &amp; Sales'!D52</f>
        <v>128</v>
      </c>
      <c r="E50" s="283">
        <f>'March 2025 - Prodn &amp; Sales'!E52</f>
        <v>18566</v>
      </c>
      <c r="F50" s="283">
        <f>'March 2025 - Prodn &amp; Sales'!F52</f>
        <v>4750</v>
      </c>
      <c r="G50" s="283">
        <f>'March 2025 - Prodn &amp; Sales'!G52</f>
        <v>4360</v>
      </c>
      <c r="H50" s="283">
        <f>'March 2025 - Prodn &amp; Sales'!H52</f>
        <v>9110</v>
      </c>
      <c r="I50" s="283">
        <f>'March 2025 - Prodn &amp; Sales'!I52</f>
        <v>214197.98</v>
      </c>
      <c r="J50" s="283">
        <f>'March 2025 - Prodn &amp; Sales'!J52</f>
        <v>15034.49</v>
      </c>
      <c r="K50" s="283">
        <f>'March 2025 - Prodn &amp; Sales'!K52</f>
        <v>229232.47</v>
      </c>
      <c r="L50" s="627"/>
      <c r="M50" s="290">
        <f t="shared" si="16"/>
        <v>45.094311578947369</v>
      </c>
      <c r="N50" s="237">
        <f t="shared" si="11"/>
        <v>0.34866340365429388</v>
      </c>
      <c r="O50" s="257">
        <f>'Jan 2025-Prodn &amp; Sales Analysis'!O50</f>
        <v>2481.2307692307691</v>
      </c>
      <c r="P50" s="291">
        <f t="shared" si="17"/>
        <v>90.409970238095241</v>
      </c>
      <c r="Q50" s="633"/>
      <c r="R50" s="16"/>
    </row>
    <row r="51" spans="1:18" ht="15" customHeight="1" x14ac:dyDescent="0.2">
      <c r="B51" s="322" t="s">
        <v>54</v>
      </c>
      <c r="C51" s="278">
        <f>'March 2025 - Prodn &amp; Sales'!C47</f>
        <v>33272</v>
      </c>
      <c r="D51" s="278">
        <f>'March 2025 - Prodn &amp; Sales'!D47</f>
        <v>583</v>
      </c>
      <c r="E51" s="278">
        <f>'March 2025 - Prodn &amp; Sales'!E47</f>
        <v>32689</v>
      </c>
      <c r="F51" s="278">
        <f>'March 2025 - Prodn &amp; Sales'!F47</f>
        <v>17850</v>
      </c>
      <c r="G51" s="278">
        <f>'March 2025 - Prodn &amp; Sales'!G47</f>
        <v>2020</v>
      </c>
      <c r="H51" s="278">
        <f>'March 2025 - Prodn &amp; Sales'!H47</f>
        <v>19870</v>
      </c>
      <c r="I51" s="278">
        <f>'March 2025 - Prodn &amp; Sales'!I47</f>
        <v>632623.18999999994</v>
      </c>
      <c r="J51" s="278">
        <f>'March 2025 - Prodn &amp; Sales'!J47</f>
        <v>6965.52</v>
      </c>
      <c r="K51" s="278">
        <f>'March 2025 - Prodn &amp; Sales'!K47</f>
        <v>639588.71</v>
      </c>
      <c r="L51" s="626">
        <f>(F51+F52)/(E51+E52)</f>
        <v>0.70901002979562722</v>
      </c>
      <c r="M51" s="287">
        <f t="shared" si="12"/>
        <v>35.441075070028006</v>
      </c>
      <c r="N51" s="231">
        <f t="shared" si="11"/>
        <v>0.27402582344448678</v>
      </c>
      <c r="O51" s="281">
        <f>'Jan 2025-Prodn &amp; Sales Analysis'!O44</f>
        <v>4652.3076923076915</v>
      </c>
      <c r="P51" s="288">
        <f t="shared" si="13"/>
        <v>85.82063492063493</v>
      </c>
      <c r="Q51" s="628">
        <f>(K51+K52)*12/(O51+O52)/129.3348</f>
        <v>15.081562602922864</v>
      </c>
      <c r="R51" s="16"/>
    </row>
    <row r="52" spans="1:18" ht="15" customHeight="1" thickBot="1" x14ac:dyDescent="0.25">
      <c r="B52" s="323" t="s">
        <v>60</v>
      </c>
      <c r="C52" s="283">
        <f>'March 2025 - Prodn &amp; Sales'!C40</f>
        <v>15196</v>
      </c>
      <c r="D52" s="283">
        <f>'March 2025 - Prodn &amp; Sales'!D40</f>
        <v>227</v>
      </c>
      <c r="E52" s="283">
        <f>'March 2025 - Prodn &amp; Sales'!E40</f>
        <v>14969</v>
      </c>
      <c r="F52" s="283">
        <f>'March 2025 - Prodn &amp; Sales'!F40</f>
        <v>15940</v>
      </c>
      <c r="G52" s="283">
        <f>'March 2025 - Prodn &amp; Sales'!G40</f>
        <v>0</v>
      </c>
      <c r="H52" s="283">
        <f>'March 2025 - Prodn &amp; Sales'!H40</f>
        <v>15940</v>
      </c>
      <c r="I52" s="283">
        <f>'March 2025 - Prodn &amp; Sales'!I40</f>
        <v>540116.56000000006</v>
      </c>
      <c r="J52" s="283">
        <f>'March 2025 - Prodn &amp; Sales'!J40</f>
        <v>0</v>
      </c>
      <c r="K52" s="283">
        <f>'March 2025 - Prodn &amp; Sales'!K40</f>
        <v>540116.56000000006</v>
      </c>
      <c r="L52" s="627"/>
      <c r="M52" s="290">
        <f t="shared" si="12"/>
        <v>33.884351317440405</v>
      </c>
      <c r="N52" s="237">
        <f t="shared" si="11"/>
        <v>0.26198943607938779</v>
      </c>
      <c r="O52" s="257">
        <f>'Jan 2025-Prodn &amp; Sales Analysis'!O33</f>
        <v>2605.292307692308</v>
      </c>
      <c r="P52" s="291">
        <f t="shared" si="13"/>
        <v>69.992913832199548</v>
      </c>
      <c r="Q52" s="629"/>
      <c r="R52" s="16"/>
    </row>
    <row r="53" spans="1:18" ht="15" customHeight="1" x14ac:dyDescent="0.2">
      <c r="B53" s="343" t="s">
        <v>38</v>
      </c>
      <c r="C53" s="344">
        <f>'March 2025 - Prodn &amp; Sales'!C46</f>
        <v>21185</v>
      </c>
      <c r="D53" s="344">
        <f>'March 2025 - Prodn &amp; Sales'!D46</f>
        <v>221</v>
      </c>
      <c r="E53" s="344">
        <f>'March 2025 - Prodn &amp; Sales'!E46</f>
        <v>20964</v>
      </c>
      <c r="F53" s="344">
        <f>'March 2025 - Prodn &amp; Sales'!F46</f>
        <v>12330</v>
      </c>
      <c r="G53" s="344">
        <f>'March 2025 - Prodn &amp; Sales'!G46</f>
        <v>720</v>
      </c>
      <c r="H53" s="344">
        <f>'March 2025 - Prodn &amp; Sales'!H46</f>
        <v>13050</v>
      </c>
      <c r="I53" s="344">
        <f>'March 2025 - Prodn &amp; Sales'!I46</f>
        <v>432569.59</v>
      </c>
      <c r="J53" s="344">
        <f>'March 2025 - Prodn &amp; Sales'!J46</f>
        <v>2482.7600000000002</v>
      </c>
      <c r="K53" s="344">
        <f>'March 2025 - Prodn &amp; Sales'!K46</f>
        <v>435052.35000000003</v>
      </c>
      <c r="L53" s="324">
        <f>F53/E53</f>
        <v>0.58815111619919858</v>
      </c>
      <c r="M53" s="345">
        <f>I53/F53</f>
        <v>35.08269180859692</v>
      </c>
      <c r="N53" s="346">
        <f t="shared" si="11"/>
        <v>0.27125485026919993</v>
      </c>
      <c r="O53" s="250">
        <f>'Jan 2025-Prodn &amp; Sales Analysis'!O46</f>
        <v>3039.5076923076917</v>
      </c>
      <c r="P53" s="250">
        <f>C53/O53*12</f>
        <v>83.638544703595741</v>
      </c>
      <c r="Q53" s="325">
        <f>(K53*12/O53)/129.3348</f>
        <v>13.280184916443183</v>
      </c>
      <c r="R53" s="16"/>
    </row>
    <row r="54" spans="1:18" ht="15" customHeight="1" thickBot="1" x14ac:dyDescent="0.25">
      <c r="B54" s="21" t="s">
        <v>35</v>
      </c>
      <c r="C54" s="39">
        <f>SUM(C25:C53)</f>
        <v>857663</v>
      </c>
      <c r="D54" s="39">
        <f t="shared" ref="D54:K54" si="18">SUM(D25:D53)</f>
        <v>8409</v>
      </c>
      <c r="E54" s="39">
        <f t="shared" si="18"/>
        <v>849254</v>
      </c>
      <c r="F54" s="39">
        <f t="shared" si="18"/>
        <v>705200</v>
      </c>
      <c r="G54" s="39">
        <f t="shared" si="18"/>
        <v>34760</v>
      </c>
      <c r="H54" s="39">
        <f t="shared" si="18"/>
        <v>739960</v>
      </c>
      <c r="I54" s="39">
        <f t="shared" si="18"/>
        <v>25935459.160000004</v>
      </c>
      <c r="J54" s="39">
        <f t="shared" si="18"/>
        <v>119862.05000000002</v>
      </c>
      <c r="K54" s="39">
        <f t="shared" si="18"/>
        <v>26055321.210000001</v>
      </c>
      <c r="L54" s="326">
        <f>F54/E54</f>
        <v>0.83037583573347906</v>
      </c>
      <c r="M54" s="39">
        <f>I54/F54</f>
        <v>36.777452013613164</v>
      </c>
      <c r="N54" s="327">
        <f t="shared" si="11"/>
        <v>0.28435851768907644</v>
      </c>
      <c r="O54" s="52">
        <f>SUM(O25:O53)</f>
        <v>106988.30769230767</v>
      </c>
      <c r="P54" s="328">
        <f>(C54/O54)*12</f>
        <v>96.197016496410839</v>
      </c>
      <c r="Q54" s="329">
        <f>(K54*12/O54)/129.3348</f>
        <v>22.595708514832072</v>
      </c>
      <c r="R54" s="330"/>
    </row>
    <row r="55" spans="1:18" ht="17.25" customHeight="1" thickTop="1" thickBot="1" x14ac:dyDescent="0.25">
      <c r="B55" s="26" t="s">
        <v>36</v>
      </c>
      <c r="C55" s="331"/>
      <c r="D55" s="275">
        <f>D54/C54</f>
        <v>9.8045502720765614E-3</v>
      </c>
      <c r="E55" s="332">
        <f>E54/C54</f>
        <v>0.99019544972792339</v>
      </c>
      <c r="F55" s="333"/>
      <c r="G55" s="30"/>
      <c r="H55" s="30"/>
      <c r="I55" s="30"/>
      <c r="J55" s="30"/>
      <c r="K55" s="30"/>
      <c r="L55" s="32"/>
      <c r="M55" s="30"/>
      <c r="N55" s="43"/>
      <c r="O55" s="34"/>
      <c r="P55" s="34"/>
      <c r="Q55" s="34"/>
    </row>
    <row r="56" spans="1:18" ht="18.75" customHeight="1" thickTop="1" x14ac:dyDescent="0.2">
      <c r="M56" s="45"/>
      <c r="N56" s="46"/>
      <c r="O56" s="47"/>
    </row>
    <row r="57" spans="1:18" s="48" customFormat="1" ht="15" customHeight="1" thickBot="1" x14ac:dyDescent="0.25">
      <c r="B57" s="49" t="s">
        <v>68</v>
      </c>
      <c r="C57" s="50">
        <f t="shared" ref="C57:K57" si="19">C22+C54</f>
        <v>2398882</v>
      </c>
      <c r="D57" s="51">
        <f t="shared" si="19"/>
        <v>17421</v>
      </c>
      <c r="E57" s="51">
        <f t="shared" si="19"/>
        <v>2381461</v>
      </c>
      <c r="F57" s="52">
        <f t="shared" si="19"/>
        <v>1818470</v>
      </c>
      <c r="G57" s="334">
        <f t="shared" si="19"/>
        <v>108900</v>
      </c>
      <c r="H57" s="23">
        <f t="shared" si="19"/>
        <v>1927370</v>
      </c>
      <c r="I57" s="53">
        <f t="shared" si="19"/>
        <v>45677468.219999999</v>
      </c>
      <c r="J57" s="334">
        <f t="shared" si="19"/>
        <v>342431.04000000004</v>
      </c>
      <c r="K57" s="52">
        <f t="shared" si="19"/>
        <v>46019899.260000005</v>
      </c>
      <c r="L57" s="335">
        <f>F57/E57</f>
        <v>0.76359428098969495</v>
      </c>
      <c r="M57" s="53">
        <f>I57/F57</f>
        <v>25.118626218744328</v>
      </c>
      <c r="N57" s="327">
        <f>M57/129.3348</f>
        <v>0.19421397967711959</v>
      </c>
      <c r="O57" s="52">
        <f>O54+O22</f>
        <v>193940.67692307691</v>
      </c>
      <c r="P57" s="328">
        <f>(C57/O57)*12</f>
        <v>148.42984182950792</v>
      </c>
      <c r="Q57" s="329">
        <f>(K57*12/O57)/129.3029</f>
        <v>22.021643982102109</v>
      </c>
    </row>
    <row r="58" spans="1:18" ht="16.5" customHeight="1" thickTop="1" thickBot="1" x14ac:dyDescent="0.25">
      <c r="B58" s="26" t="s">
        <v>36</v>
      </c>
      <c r="C58" s="336"/>
      <c r="D58" s="337">
        <f>D57/C57</f>
        <v>7.2621329435962256E-3</v>
      </c>
      <c r="E58" s="338">
        <f>E57/C57</f>
        <v>0.99273786705640377</v>
      </c>
      <c r="G58" s="56"/>
      <c r="N58" s="46"/>
    </row>
    <row r="59" spans="1:18" ht="16.5" customHeight="1" thickTop="1" x14ac:dyDescent="0.2">
      <c r="G59" s="57"/>
      <c r="H59" s="45"/>
    </row>
    <row r="60" spans="1:18" ht="16.5" customHeight="1" x14ac:dyDescent="0.2">
      <c r="A60" s="16"/>
      <c r="B60" s="48" t="s">
        <v>69</v>
      </c>
    </row>
    <row r="61" spans="1:18" ht="16.5" customHeight="1" x14ac:dyDescent="0.2">
      <c r="A61" s="16">
        <v>1</v>
      </c>
      <c r="B61" s="16" t="s">
        <v>70</v>
      </c>
    </row>
    <row r="62" spans="1:18" ht="16.5" customHeight="1" x14ac:dyDescent="0.2"/>
    <row r="63" spans="1:18" ht="16.5" customHeight="1" x14ac:dyDescent="0.2"/>
    <row r="64" spans="1:18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</sheetData>
  <mergeCells count="37">
    <mergeCell ref="L14:L15"/>
    <mergeCell ref="Q14:Q15"/>
    <mergeCell ref="B24:Q24"/>
    <mergeCell ref="B1:Q1"/>
    <mergeCell ref="B2:Q2"/>
    <mergeCell ref="B3:Q3"/>
    <mergeCell ref="B5:Q5"/>
    <mergeCell ref="L12:L13"/>
    <mergeCell ref="Q12:Q13"/>
    <mergeCell ref="L9:L10"/>
    <mergeCell ref="Q9:Q10"/>
    <mergeCell ref="L6:L7"/>
    <mergeCell ref="Q6:Q7"/>
    <mergeCell ref="L25:L26"/>
    <mergeCell ref="Q25:Q26"/>
    <mergeCell ref="L27:L28"/>
    <mergeCell ref="Q27:Q28"/>
    <mergeCell ref="L18:L20"/>
    <mergeCell ref="Q18:Q20"/>
    <mergeCell ref="L33:L34"/>
    <mergeCell ref="Q33:Q34"/>
    <mergeCell ref="L31:L32"/>
    <mergeCell ref="Q31:Q32"/>
    <mergeCell ref="L29:L30"/>
    <mergeCell ref="Q29:Q30"/>
    <mergeCell ref="L49:L50"/>
    <mergeCell ref="Q49:Q50"/>
    <mergeCell ref="L36:L38"/>
    <mergeCell ref="Q36:Q38"/>
    <mergeCell ref="L51:L52"/>
    <mergeCell ref="Q51:Q52"/>
    <mergeCell ref="L45:L48"/>
    <mergeCell ref="Q45:Q48"/>
    <mergeCell ref="L43:L44"/>
    <mergeCell ref="Q43:Q44"/>
    <mergeCell ref="L39:L42"/>
    <mergeCell ref="Q39:Q42"/>
  </mergeCells>
  <conditionalFormatting sqref="P6:P21">
    <cfRule type="cellIs" dxfId="29" priority="2" operator="lessThan">
      <formula>140</formula>
    </cfRule>
    <cfRule type="cellIs" priority="3" operator="lessThan">
      <formula>140</formula>
    </cfRule>
    <cfRule type="cellIs" dxfId="28" priority="4" operator="lessThan">
      <formula>140</formula>
    </cfRule>
    <cfRule type="cellIs" dxfId="27" priority="5" operator="lessThan">
      <formula>80</formula>
    </cfRule>
  </conditionalFormatting>
  <conditionalFormatting sqref="P25:P54">
    <cfRule type="cellIs" dxfId="26" priority="1" operator="between">
      <formula>0</formula>
      <formula>78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R115"/>
  <sheetViews>
    <sheetView workbookViewId="0">
      <pane ySplit="4" topLeftCell="A11" activePane="bottomLeft" state="frozen"/>
      <selection pane="bottomLeft" sqref="A1:XFD1048576"/>
    </sheetView>
  </sheetViews>
  <sheetFormatPr defaultColWidth="9.140625" defaultRowHeight="12" x14ac:dyDescent="0.2"/>
  <cols>
    <col min="1" max="1" width="1.42578125" style="1" customWidth="1"/>
    <col min="2" max="2" width="30.28515625" style="1" customWidth="1"/>
    <col min="3" max="3" width="10.5703125" style="44" customWidth="1"/>
    <col min="4" max="4" width="8.28515625" style="1" customWidth="1"/>
    <col min="5" max="5" width="10.7109375" style="1" customWidth="1"/>
    <col min="6" max="6" width="9.7109375" style="44" customWidth="1"/>
    <col min="7" max="7" width="9" style="1" customWidth="1"/>
    <col min="8" max="8" width="10.140625" style="1" customWidth="1"/>
    <col min="9" max="9" width="11.5703125" style="45" customWidth="1"/>
    <col min="10" max="10" width="10.28515625" style="45" customWidth="1"/>
    <col min="11" max="11" width="10.7109375" style="45" customWidth="1"/>
    <col min="12" max="12" width="8.140625" style="1" customWidth="1"/>
    <col min="13" max="13" width="10.140625" style="1" customWidth="1"/>
    <col min="14" max="14" width="10.42578125" style="1" customWidth="1"/>
    <col min="15" max="15" width="9.42578125" style="537" customWidth="1"/>
    <col min="16" max="16" width="9.42578125" style="47" customWidth="1"/>
    <col min="17" max="17" width="8.5703125" style="16" customWidth="1"/>
    <col min="18" max="18" width="13.28515625" style="1" customWidth="1"/>
    <col min="19" max="16384" width="9.140625" style="1"/>
  </cols>
  <sheetData>
    <row r="1" spans="2:17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7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7" ht="15" x14ac:dyDescent="0.25">
      <c r="B3" s="622">
        <v>45868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7" ht="34.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532" t="s">
        <v>151</v>
      </c>
      <c r="P4" s="455" t="s">
        <v>16</v>
      </c>
      <c r="Q4" s="456" t="s">
        <v>17</v>
      </c>
    </row>
    <row r="5" spans="2:17" ht="16.5" customHeight="1" x14ac:dyDescent="0.25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7" s="16" customFormat="1" ht="15.75" customHeight="1" x14ac:dyDescent="0.2">
      <c r="B6" s="10" t="s">
        <v>19</v>
      </c>
      <c r="C6" s="352">
        <v>46052</v>
      </c>
      <c r="D6" s="352">
        <v>496</v>
      </c>
      <c r="E6" s="190">
        <f t="shared" ref="E6:E7" si="0">C6-D6</f>
        <v>45556</v>
      </c>
      <c r="F6" s="352">
        <v>44725</v>
      </c>
      <c r="G6" s="353">
        <v>6280</v>
      </c>
      <c r="H6" s="190">
        <f t="shared" ref="H6:H7" si="1">F6+G6</f>
        <v>51005</v>
      </c>
      <c r="I6" s="352">
        <v>672250.02</v>
      </c>
      <c r="J6" s="191">
        <v>19077.59</v>
      </c>
      <c r="K6" s="531">
        <f t="shared" ref="K6:K7" si="2">I6+J6</f>
        <v>691327.61</v>
      </c>
      <c r="L6" s="11">
        <f t="shared" ref="L6:L7" si="3">F6/E6</f>
        <v>0.98175871454912633</v>
      </c>
      <c r="M6" s="12">
        <f t="shared" ref="M6:M7" si="4">I6/F6</f>
        <v>15.030743879262157</v>
      </c>
      <c r="N6" s="13">
        <f t="shared" ref="N6:N21" si="5">M6/129.2394</f>
        <v>0.11630156035436685</v>
      </c>
      <c r="O6" s="550">
        <v>3349.6615384615388</v>
      </c>
      <c r="P6" s="14">
        <f t="shared" ref="P6:P7" si="6">C6/O6*12</f>
        <v>164.97905643738974</v>
      </c>
      <c r="Q6" s="15">
        <f t="shared" ref="Q6:Q21" si="7">(K6*12/O6)/129.2394</f>
        <v>19.163255422311451</v>
      </c>
    </row>
    <row r="7" spans="2:17" s="16" customFormat="1" ht="15.75" customHeight="1" x14ac:dyDescent="0.2">
      <c r="B7" s="10" t="s">
        <v>20</v>
      </c>
      <c r="C7" s="352">
        <v>180208</v>
      </c>
      <c r="D7" s="352">
        <v>784</v>
      </c>
      <c r="E7" s="190">
        <f t="shared" si="0"/>
        <v>179424</v>
      </c>
      <c r="F7" s="352">
        <v>140291</v>
      </c>
      <c r="G7" s="353">
        <v>42820</v>
      </c>
      <c r="H7" s="190">
        <f t="shared" si="1"/>
        <v>183111</v>
      </c>
      <c r="I7" s="352">
        <v>1960223.98</v>
      </c>
      <c r="J7" s="191">
        <v>130129.3</v>
      </c>
      <c r="K7" s="531">
        <f t="shared" si="2"/>
        <v>2090353.28</v>
      </c>
      <c r="L7" s="11">
        <f t="shared" si="3"/>
        <v>0.78189651328696275</v>
      </c>
      <c r="M7" s="12">
        <f t="shared" si="4"/>
        <v>13.972556899587286</v>
      </c>
      <c r="N7" s="13">
        <f t="shared" si="5"/>
        <v>0.10811375555432234</v>
      </c>
      <c r="O7" s="550">
        <v>10545</v>
      </c>
      <c r="P7" s="14">
        <f t="shared" si="6"/>
        <v>205.07311522048363</v>
      </c>
      <c r="Q7" s="15">
        <f t="shared" si="7"/>
        <v>18.40600005867352</v>
      </c>
    </row>
    <row r="8" spans="2:17" s="16" customFormat="1" ht="15.75" customHeight="1" x14ac:dyDescent="0.2">
      <c r="B8" s="10" t="s">
        <v>27</v>
      </c>
      <c r="C8" s="352">
        <v>124454</v>
      </c>
      <c r="D8" s="352">
        <v>610</v>
      </c>
      <c r="E8" s="190">
        <f t="shared" ref="E8:E20" si="8">C8-D8</f>
        <v>123844</v>
      </c>
      <c r="F8" s="352">
        <v>113794</v>
      </c>
      <c r="G8" s="353">
        <v>14740</v>
      </c>
      <c r="H8" s="190">
        <f t="shared" ref="H8:H20" si="9">F8+G8</f>
        <v>128534</v>
      </c>
      <c r="I8" s="352">
        <v>1948934.37</v>
      </c>
      <c r="J8" s="191">
        <v>45560.37</v>
      </c>
      <c r="K8" s="531">
        <f t="shared" ref="K8:K20" si="10">I8+J8</f>
        <v>1994494.7400000002</v>
      </c>
      <c r="L8" s="11">
        <f t="shared" ref="L8:L20" si="11">F8/E8</f>
        <v>0.91884952036432932</v>
      </c>
      <c r="M8" s="12">
        <f t="shared" ref="M8:M20" si="12">I8/F8</f>
        <v>17.126864070161872</v>
      </c>
      <c r="N8" s="13">
        <f t="shared" si="5"/>
        <v>0.13252045483159064</v>
      </c>
      <c r="O8" s="550">
        <v>8560</v>
      </c>
      <c r="P8" s="14">
        <f t="shared" ref="P8:P20" si="13">C8/O8*12</f>
        <v>174.46822429906541</v>
      </c>
      <c r="Q8" s="15">
        <f t="shared" si="7"/>
        <v>21.634429311428267</v>
      </c>
    </row>
    <row r="9" spans="2:17" s="16" customFormat="1" ht="15.75" customHeight="1" x14ac:dyDescent="0.2">
      <c r="B9" s="10" t="s">
        <v>34</v>
      </c>
      <c r="C9" s="352">
        <v>81725</v>
      </c>
      <c r="D9" s="352">
        <v>388</v>
      </c>
      <c r="E9" s="190">
        <f t="shared" si="8"/>
        <v>81337</v>
      </c>
      <c r="F9" s="352">
        <v>75100</v>
      </c>
      <c r="G9" s="353">
        <v>3020</v>
      </c>
      <c r="H9" s="190">
        <f t="shared" si="9"/>
        <v>78120</v>
      </c>
      <c r="I9" s="352">
        <v>1121282.17</v>
      </c>
      <c r="J9" s="191">
        <v>9474.15</v>
      </c>
      <c r="K9" s="531">
        <f t="shared" si="10"/>
        <v>1130756.3199999998</v>
      </c>
      <c r="L9" s="11">
        <f t="shared" si="11"/>
        <v>0.92331903069943566</v>
      </c>
      <c r="M9" s="12">
        <f t="shared" si="12"/>
        <v>14.930521571238348</v>
      </c>
      <c r="N9" s="13">
        <f t="shared" si="5"/>
        <v>0.11552608238074727</v>
      </c>
      <c r="O9" s="550">
        <v>5334</v>
      </c>
      <c r="P9" s="14">
        <f t="shared" si="13"/>
        <v>183.85826771653544</v>
      </c>
      <c r="Q9" s="15">
        <f t="shared" si="7"/>
        <v>19.683500035849619</v>
      </c>
    </row>
    <row r="10" spans="2:17" s="16" customFormat="1" ht="15.75" customHeight="1" x14ac:dyDescent="0.2">
      <c r="B10" s="10" t="s">
        <v>30</v>
      </c>
      <c r="C10" s="352">
        <v>146667</v>
      </c>
      <c r="D10" s="352">
        <v>726</v>
      </c>
      <c r="E10" s="190">
        <f t="shared" si="8"/>
        <v>145941</v>
      </c>
      <c r="F10" s="352">
        <v>127425</v>
      </c>
      <c r="G10" s="353">
        <v>87960</v>
      </c>
      <c r="H10" s="190">
        <f t="shared" si="9"/>
        <v>215385</v>
      </c>
      <c r="I10" s="352">
        <v>1727915.53</v>
      </c>
      <c r="J10" s="191">
        <v>266844.84999999998</v>
      </c>
      <c r="K10" s="531">
        <f t="shared" si="10"/>
        <v>1994760.38</v>
      </c>
      <c r="L10" s="11">
        <f t="shared" si="11"/>
        <v>0.87312681151972371</v>
      </c>
      <c r="M10" s="12">
        <f t="shared" si="12"/>
        <v>13.560255287423976</v>
      </c>
      <c r="N10" s="13">
        <f t="shared" si="5"/>
        <v>0.10492353947344213</v>
      </c>
      <c r="O10" s="550">
        <v>10330.231</v>
      </c>
      <c r="P10" s="14">
        <f t="shared" si="13"/>
        <v>170.37411844904534</v>
      </c>
      <c r="Q10" s="15">
        <f t="shared" si="7"/>
        <v>17.929451899961379</v>
      </c>
    </row>
    <row r="11" spans="2:17" s="16" customFormat="1" ht="15.75" customHeight="1" x14ac:dyDescent="0.2">
      <c r="B11" s="10" t="s">
        <v>29</v>
      </c>
      <c r="C11" s="352">
        <v>35137</v>
      </c>
      <c r="D11" s="352">
        <v>335</v>
      </c>
      <c r="E11" s="190">
        <f t="shared" si="8"/>
        <v>34802</v>
      </c>
      <c r="F11" s="352">
        <v>29905</v>
      </c>
      <c r="G11" s="353">
        <v>1100</v>
      </c>
      <c r="H11" s="190">
        <f t="shared" si="9"/>
        <v>31005</v>
      </c>
      <c r="I11" s="352">
        <v>423677.35</v>
      </c>
      <c r="J11" s="191">
        <v>3318.97</v>
      </c>
      <c r="K11" s="531">
        <f t="shared" si="10"/>
        <v>426996.31999999995</v>
      </c>
      <c r="L11" s="11">
        <f t="shared" si="11"/>
        <v>0.85928969599448313</v>
      </c>
      <c r="M11" s="12">
        <f t="shared" si="12"/>
        <v>14.167441899347935</v>
      </c>
      <c r="N11" s="13">
        <f t="shared" si="5"/>
        <v>0.10962169353423133</v>
      </c>
      <c r="O11" s="550">
        <v>2233</v>
      </c>
      <c r="P11" s="14">
        <f t="shared" si="13"/>
        <v>188.82400358262427</v>
      </c>
      <c r="Q11" s="15">
        <f t="shared" si="7"/>
        <v>17.75504273703686</v>
      </c>
    </row>
    <row r="12" spans="2:17" s="16" customFormat="1" ht="15.75" customHeight="1" x14ac:dyDescent="0.2">
      <c r="B12" s="10" t="s">
        <v>32</v>
      </c>
      <c r="C12" s="352">
        <v>43709</v>
      </c>
      <c r="D12" s="352">
        <v>853</v>
      </c>
      <c r="E12" s="190">
        <f t="shared" si="8"/>
        <v>42856</v>
      </c>
      <c r="F12" s="352">
        <v>38424</v>
      </c>
      <c r="G12" s="353">
        <v>4720</v>
      </c>
      <c r="H12" s="190">
        <f t="shared" si="9"/>
        <v>43144</v>
      </c>
      <c r="I12" s="352">
        <v>878652.46000000008</v>
      </c>
      <c r="J12" s="191">
        <v>14655.21</v>
      </c>
      <c r="K12" s="531">
        <f t="shared" si="10"/>
        <v>893307.67</v>
      </c>
      <c r="L12" s="11">
        <f t="shared" si="11"/>
        <v>0.89658390890423745</v>
      </c>
      <c r="M12" s="12">
        <f t="shared" si="12"/>
        <v>22.867282427649389</v>
      </c>
      <c r="N12" s="13">
        <f t="shared" si="5"/>
        <v>0.17693739237143929</v>
      </c>
      <c r="O12" s="550">
        <v>4962.4615384615381</v>
      </c>
      <c r="P12" s="14">
        <f t="shared" si="13"/>
        <v>105.69512648809524</v>
      </c>
      <c r="Q12" s="15">
        <f t="shared" si="7"/>
        <v>16.714378092567344</v>
      </c>
    </row>
    <row r="13" spans="2:17" s="16" customFormat="1" ht="15.75" customHeight="1" x14ac:dyDescent="0.2">
      <c r="B13" s="10" t="s">
        <v>21</v>
      </c>
      <c r="C13" s="352">
        <v>48232</v>
      </c>
      <c r="D13" s="352">
        <v>483</v>
      </c>
      <c r="E13" s="190">
        <f t="shared" si="8"/>
        <v>47749</v>
      </c>
      <c r="F13" s="352">
        <v>43198</v>
      </c>
      <c r="G13" s="353">
        <v>1400</v>
      </c>
      <c r="H13" s="190">
        <f t="shared" si="9"/>
        <v>44598</v>
      </c>
      <c r="I13" s="352">
        <v>822536.71</v>
      </c>
      <c r="J13" s="191">
        <v>4224.1400000000003</v>
      </c>
      <c r="K13" s="531">
        <f t="shared" si="10"/>
        <v>826760.85</v>
      </c>
      <c r="L13" s="11">
        <f t="shared" si="11"/>
        <v>0.90468910343672115</v>
      </c>
      <c r="M13" s="12">
        <f t="shared" si="12"/>
        <v>19.041083151997778</v>
      </c>
      <c r="N13" s="13">
        <f t="shared" si="5"/>
        <v>0.14733187520212707</v>
      </c>
      <c r="O13" s="551">
        <v>5768.8615384615377</v>
      </c>
      <c r="P13" s="14">
        <f t="shared" si="13"/>
        <v>100.3289810547875</v>
      </c>
      <c r="Q13" s="15">
        <f t="shared" si="7"/>
        <v>13.306875716295037</v>
      </c>
    </row>
    <row r="14" spans="2:17" s="16" customFormat="1" ht="15.75" customHeight="1" x14ac:dyDescent="0.2">
      <c r="B14" s="10" t="s">
        <v>24</v>
      </c>
      <c r="C14" s="352">
        <v>55023</v>
      </c>
      <c r="D14" s="352">
        <v>370</v>
      </c>
      <c r="E14" s="190">
        <f t="shared" si="8"/>
        <v>54653</v>
      </c>
      <c r="F14" s="352">
        <v>48416</v>
      </c>
      <c r="G14" s="353">
        <v>14480</v>
      </c>
      <c r="H14" s="190">
        <f t="shared" si="9"/>
        <v>62896</v>
      </c>
      <c r="I14" s="352">
        <v>676872.61</v>
      </c>
      <c r="J14" s="191">
        <v>43689.66</v>
      </c>
      <c r="K14" s="531">
        <f t="shared" si="10"/>
        <v>720562.27</v>
      </c>
      <c r="L14" s="11">
        <f t="shared" si="11"/>
        <v>0.8858800065870126</v>
      </c>
      <c r="M14" s="12">
        <f t="shared" si="12"/>
        <v>13.980349677792464</v>
      </c>
      <c r="N14" s="13">
        <f t="shared" si="5"/>
        <v>0.10817405278724959</v>
      </c>
      <c r="O14" s="550">
        <v>5492.6769230769232</v>
      </c>
      <c r="P14" s="14">
        <f t="shared" si="13"/>
        <v>120.21023796719547</v>
      </c>
      <c r="Q14" s="15">
        <f t="shared" si="7"/>
        <v>12.180742885350789</v>
      </c>
    </row>
    <row r="15" spans="2:17" s="16" customFormat="1" ht="15.75" customHeight="1" x14ac:dyDescent="0.2">
      <c r="B15" s="10" t="s">
        <v>26</v>
      </c>
      <c r="C15" s="352">
        <v>40932</v>
      </c>
      <c r="D15" s="352">
        <v>495</v>
      </c>
      <c r="E15" s="190">
        <f t="shared" si="8"/>
        <v>40437</v>
      </c>
      <c r="F15" s="352">
        <v>19509</v>
      </c>
      <c r="G15" s="353">
        <v>7380</v>
      </c>
      <c r="H15" s="190">
        <f t="shared" si="9"/>
        <v>26889</v>
      </c>
      <c r="I15" s="352">
        <v>272061.75</v>
      </c>
      <c r="J15" s="191">
        <v>23224.13</v>
      </c>
      <c r="K15" s="531">
        <f t="shared" si="10"/>
        <v>295285.88</v>
      </c>
      <c r="L15" s="11">
        <f t="shared" si="11"/>
        <v>0.48245418799614215</v>
      </c>
      <c r="M15" s="12">
        <f t="shared" si="12"/>
        <v>13.9454482546517</v>
      </c>
      <c r="N15" s="13">
        <f t="shared" si="5"/>
        <v>0.10790400028669045</v>
      </c>
      <c r="O15" s="550">
        <v>2419.1999999999998</v>
      </c>
      <c r="P15" s="14">
        <f t="shared" si="13"/>
        <v>203.03571428571428</v>
      </c>
      <c r="Q15" s="15">
        <f t="shared" si="7"/>
        <v>11.333321776093101</v>
      </c>
    </row>
    <row r="16" spans="2:17" s="16" customFormat="1" ht="15.75" customHeight="1" x14ac:dyDescent="0.2">
      <c r="B16" s="10" t="s">
        <v>25</v>
      </c>
      <c r="C16" s="352">
        <v>62413</v>
      </c>
      <c r="D16" s="352">
        <v>351</v>
      </c>
      <c r="E16" s="190">
        <f t="shared" si="8"/>
        <v>62062</v>
      </c>
      <c r="F16" s="352">
        <v>59179</v>
      </c>
      <c r="G16" s="353">
        <v>1820</v>
      </c>
      <c r="H16" s="190">
        <f t="shared" si="9"/>
        <v>60999</v>
      </c>
      <c r="I16" s="352">
        <v>939946.92999999993</v>
      </c>
      <c r="J16" s="191">
        <v>5931.04</v>
      </c>
      <c r="K16" s="531">
        <f t="shared" si="10"/>
        <v>945877.97</v>
      </c>
      <c r="L16" s="11">
        <f t="shared" si="11"/>
        <v>0.95354645354645351</v>
      </c>
      <c r="M16" s="12">
        <f t="shared" si="12"/>
        <v>15.883116139170989</v>
      </c>
      <c r="N16" s="13">
        <f t="shared" si="5"/>
        <v>0.12289685760821382</v>
      </c>
      <c r="O16" s="550">
        <v>8067.6</v>
      </c>
      <c r="P16" s="14">
        <f t="shared" si="13"/>
        <v>92.835043879220578</v>
      </c>
      <c r="Q16" s="15">
        <f t="shared" si="7"/>
        <v>10.886218985356173</v>
      </c>
    </row>
    <row r="17" spans="2:18" s="16" customFormat="1" ht="15.75" customHeight="1" x14ac:dyDescent="0.2">
      <c r="B17" s="10" t="s">
        <v>22</v>
      </c>
      <c r="C17" s="352">
        <v>45221</v>
      </c>
      <c r="D17" s="352">
        <v>393</v>
      </c>
      <c r="E17" s="190">
        <f t="shared" si="8"/>
        <v>44828</v>
      </c>
      <c r="F17" s="352">
        <v>33671</v>
      </c>
      <c r="G17" s="353">
        <v>5000</v>
      </c>
      <c r="H17" s="190">
        <f t="shared" si="9"/>
        <v>38671</v>
      </c>
      <c r="I17" s="352">
        <v>510069.07</v>
      </c>
      <c r="J17" s="191">
        <v>15293.1</v>
      </c>
      <c r="K17" s="531">
        <f t="shared" si="10"/>
        <v>525362.17000000004</v>
      </c>
      <c r="L17" s="11">
        <f t="shared" si="11"/>
        <v>0.75111537431962172</v>
      </c>
      <c r="M17" s="12">
        <f t="shared" si="12"/>
        <v>15.148616613703187</v>
      </c>
      <c r="N17" s="13">
        <f t="shared" si="5"/>
        <v>0.1172136098875667</v>
      </c>
      <c r="O17" s="550">
        <v>4962.4615384615381</v>
      </c>
      <c r="P17" s="14">
        <f t="shared" si="13"/>
        <v>109.35137648809524</v>
      </c>
      <c r="Q17" s="15">
        <f t="shared" si="7"/>
        <v>9.8298741181877922</v>
      </c>
    </row>
    <row r="18" spans="2:18" s="16" customFormat="1" ht="15.75" customHeight="1" x14ac:dyDescent="0.2">
      <c r="B18" s="10" t="s">
        <v>23</v>
      </c>
      <c r="C18" s="352">
        <v>45883</v>
      </c>
      <c r="D18" s="352">
        <v>330</v>
      </c>
      <c r="E18" s="190">
        <f t="shared" si="8"/>
        <v>45553</v>
      </c>
      <c r="F18" s="352">
        <v>35339</v>
      </c>
      <c r="G18" s="353">
        <v>5120</v>
      </c>
      <c r="H18" s="190">
        <f t="shared" si="9"/>
        <v>40459</v>
      </c>
      <c r="I18" s="352">
        <v>527135.79</v>
      </c>
      <c r="J18" s="191">
        <v>15862.09</v>
      </c>
      <c r="K18" s="531">
        <f t="shared" si="10"/>
        <v>542997.88</v>
      </c>
      <c r="L18" s="11">
        <f t="shared" si="11"/>
        <v>0.77577766557636163</v>
      </c>
      <c r="M18" s="12">
        <f t="shared" si="12"/>
        <v>14.916545176716943</v>
      </c>
      <c r="N18" s="13">
        <f t="shared" si="5"/>
        <v>0.11541793893129296</v>
      </c>
      <c r="O18" s="550">
        <v>5148.5538461538463</v>
      </c>
      <c r="P18" s="14">
        <f t="shared" si="13"/>
        <v>106.94187464142283</v>
      </c>
      <c r="Q18" s="15">
        <f t="shared" si="7"/>
        <v>9.7926264399186316</v>
      </c>
    </row>
    <row r="19" spans="2:18" s="16" customFormat="1" ht="15.75" customHeight="1" x14ac:dyDescent="0.2">
      <c r="B19" s="10" t="s">
        <v>33</v>
      </c>
      <c r="C19" s="352">
        <v>20898</v>
      </c>
      <c r="D19" s="352">
        <v>505</v>
      </c>
      <c r="E19" s="190">
        <f t="shared" si="8"/>
        <v>20393</v>
      </c>
      <c r="F19" s="352">
        <v>14706</v>
      </c>
      <c r="G19" s="353">
        <v>6160</v>
      </c>
      <c r="H19" s="190">
        <f t="shared" si="9"/>
        <v>20866</v>
      </c>
      <c r="I19" s="352">
        <v>190584.68</v>
      </c>
      <c r="J19" s="191">
        <v>18586.22</v>
      </c>
      <c r="K19" s="531">
        <f t="shared" si="10"/>
        <v>209170.9</v>
      </c>
      <c r="L19" s="11">
        <f t="shared" si="11"/>
        <v>0.72112979944098465</v>
      </c>
      <c r="M19" s="12">
        <f t="shared" si="12"/>
        <v>12.959654562763497</v>
      </c>
      <c r="N19" s="13">
        <f t="shared" si="5"/>
        <v>0.10027634423220394</v>
      </c>
      <c r="O19" s="550">
        <v>2605.292307692308</v>
      </c>
      <c r="P19" s="14">
        <f t="shared" si="13"/>
        <v>96.256377551020393</v>
      </c>
      <c r="Q19" s="15">
        <f t="shared" si="7"/>
        <v>7.4547163066504734</v>
      </c>
      <c r="R19" s="16" t="s">
        <v>118</v>
      </c>
    </row>
    <row r="20" spans="2:18" s="16" customFormat="1" ht="15.75" customHeight="1" x14ac:dyDescent="0.2">
      <c r="B20" s="17" t="s">
        <v>28</v>
      </c>
      <c r="C20" s="355">
        <v>92329</v>
      </c>
      <c r="D20" s="355">
        <v>434</v>
      </c>
      <c r="E20" s="193">
        <f t="shared" si="8"/>
        <v>91895</v>
      </c>
      <c r="F20" s="355">
        <v>47794</v>
      </c>
      <c r="G20" s="356">
        <v>14820</v>
      </c>
      <c r="H20" s="193">
        <f t="shared" si="9"/>
        <v>62614</v>
      </c>
      <c r="I20" s="355">
        <v>650828.6100000001</v>
      </c>
      <c r="J20" s="541">
        <v>46267.25</v>
      </c>
      <c r="K20" s="545">
        <f t="shared" si="10"/>
        <v>697095.8600000001</v>
      </c>
      <c r="L20" s="358">
        <f t="shared" si="11"/>
        <v>0.52009358506991676</v>
      </c>
      <c r="M20" s="18">
        <f t="shared" si="12"/>
        <v>13.617370590450687</v>
      </c>
      <c r="N20" s="195">
        <f t="shared" si="5"/>
        <v>0.10536547361292832</v>
      </c>
      <c r="O20" s="552">
        <v>10048.984615384614</v>
      </c>
      <c r="P20" s="19">
        <f t="shared" si="13"/>
        <v>110.2547214873604</v>
      </c>
      <c r="Q20" s="204">
        <f t="shared" si="7"/>
        <v>6.4410494753304537</v>
      </c>
    </row>
    <row r="21" spans="2:18" ht="15.75" customHeight="1" thickBot="1" x14ac:dyDescent="0.25">
      <c r="B21" s="21" t="s">
        <v>35</v>
      </c>
      <c r="C21" s="39">
        <f t="shared" ref="C21:K21" si="14">SUM(C6:C20)</f>
        <v>1068883</v>
      </c>
      <c r="D21" s="39">
        <f t="shared" si="14"/>
        <v>7553</v>
      </c>
      <c r="E21" s="39">
        <f t="shared" si="14"/>
        <v>1061330</v>
      </c>
      <c r="F21" s="39">
        <f t="shared" si="14"/>
        <v>871476</v>
      </c>
      <c r="G21" s="39">
        <f t="shared" si="14"/>
        <v>216820</v>
      </c>
      <c r="H21" s="39">
        <f t="shared" si="14"/>
        <v>1088296</v>
      </c>
      <c r="I21" s="39">
        <f t="shared" si="14"/>
        <v>13322972.029999997</v>
      </c>
      <c r="J21" s="39">
        <f t="shared" si="14"/>
        <v>662138.06999999995</v>
      </c>
      <c r="K21" s="39">
        <f t="shared" si="14"/>
        <v>13985110.100000003</v>
      </c>
      <c r="L21" s="471">
        <f t="shared" ref="L21" si="15">F21/E21</f>
        <v>0.82111690049277797</v>
      </c>
      <c r="M21" s="23">
        <f t="shared" ref="M21" si="16">I21/F21</f>
        <v>15.287824369231048</v>
      </c>
      <c r="N21" s="24">
        <f t="shared" si="5"/>
        <v>0.11829074082076402</v>
      </c>
      <c r="O21" s="544">
        <f>SUM(O6:O20)</f>
        <v>89827.98484615385</v>
      </c>
      <c r="P21" s="477">
        <f t="shared" ref="P21" si="17">C21/O21*12</f>
        <v>142.79064616631211</v>
      </c>
      <c r="Q21" s="472">
        <f t="shared" si="7"/>
        <v>14.455747230175646</v>
      </c>
    </row>
    <row r="22" spans="2:18" ht="17.25" customHeight="1" thickTop="1" thickBot="1" x14ac:dyDescent="0.25">
      <c r="B22" s="26" t="s">
        <v>36</v>
      </c>
      <c r="C22" s="27"/>
      <c r="D22" s="28">
        <f>D21/C21</f>
        <v>7.0662551467279393E-3</v>
      </c>
      <c r="E22" s="29">
        <f>E21/C21</f>
        <v>0.99293374485327202</v>
      </c>
      <c r="F22" s="30"/>
      <c r="G22" s="31"/>
      <c r="H22" s="30"/>
      <c r="I22" s="30"/>
      <c r="J22" s="30"/>
      <c r="K22" s="30"/>
      <c r="L22" s="32"/>
      <c r="M22" s="30"/>
      <c r="N22" s="33"/>
      <c r="O22" s="534"/>
      <c r="P22" s="34"/>
      <c r="Q22" s="35"/>
      <c r="R22" s="45"/>
    </row>
    <row r="23" spans="2:18" ht="21" customHeight="1" thickTop="1" x14ac:dyDescent="0.25">
      <c r="B23" s="623" t="s">
        <v>37</v>
      </c>
      <c r="C23" s="620"/>
      <c r="D23" s="620"/>
      <c r="E23" s="620"/>
      <c r="F23" s="620"/>
      <c r="G23" s="620"/>
      <c r="H23" s="620"/>
      <c r="I23" s="620"/>
      <c r="J23" s="620"/>
      <c r="K23" s="620"/>
      <c r="L23" s="620"/>
      <c r="M23" s="620"/>
      <c r="N23" s="620"/>
      <c r="O23" s="620"/>
      <c r="P23" s="620"/>
      <c r="Q23" s="620"/>
    </row>
    <row r="24" spans="2:18" ht="15.75" customHeight="1" x14ac:dyDescent="0.2">
      <c r="B24" s="13" t="s">
        <v>49</v>
      </c>
      <c r="C24" s="352">
        <v>39372</v>
      </c>
      <c r="D24" s="391">
        <v>254</v>
      </c>
      <c r="E24" s="200">
        <f t="shared" ref="E24:E29" si="18">C24-D24</f>
        <v>39118</v>
      </c>
      <c r="F24" s="352">
        <v>35880</v>
      </c>
      <c r="G24" s="191">
        <v>3080</v>
      </c>
      <c r="H24" s="202">
        <f t="shared" ref="H24:H29" si="19">F24+G24</f>
        <v>38960</v>
      </c>
      <c r="I24" s="352">
        <v>1279764.71</v>
      </c>
      <c r="J24" s="191">
        <v>9931.02</v>
      </c>
      <c r="K24" s="200">
        <f t="shared" ref="K24:K29" si="20">I24+J24</f>
        <v>1289695.73</v>
      </c>
      <c r="L24" s="36">
        <f t="shared" ref="L24:L29" si="21">F24/E24</f>
        <v>0.9172248069942226</v>
      </c>
      <c r="M24" s="20">
        <f t="shared" ref="M24:M29" si="22">I24/F24</f>
        <v>35.667912764771458</v>
      </c>
      <c r="N24" s="37">
        <f t="shared" ref="N24:N52" si="23">M24/129.2394</f>
        <v>0.27598327417777752</v>
      </c>
      <c r="O24" s="533">
        <v>5024.4923076923069</v>
      </c>
      <c r="P24" s="14">
        <f t="shared" ref="P24:P29" si="24">C24/O24*12</f>
        <v>94.032186948853621</v>
      </c>
      <c r="Q24" s="15">
        <f t="shared" ref="Q24:Q52" si="25">(K24*12/O24)/129.2394</f>
        <v>23.833146864628993</v>
      </c>
    </row>
    <row r="25" spans="2:18" ht="15.75" customHeight="1" x14ac:dyDescent="0.2">
      <c r="B25" s="13" t="s">
        <v>52</v>
      </c>
      <c r="C25" s="352">
        <v>44618</v>
      </c>
      <c r="D25" s="391">
        <v>306</v>
      </c>
      <c r="E25" s="200">
        <f t="shared" si="18"/>
        <v>44312</v>
      </c>
      <c r="F25" s="352">
        <v>32770</v>
      </c>
      <c r="G25" s="191">
        <v>6180</v>
      </c>
      <c r="H25" s="202">
        <f t="shared" si="19"/>
        <v>38950</v>
      </c>
      <c r="I25" s="352">
        <v>1165811.68</v>
      </c>
      <c r="J25" s="191">
        <v>19827.57</v>
      </c>
      <c r="K25" s="200">
        <f t="shared" si="20"/>
        <v>1185639.25</v>
      </c>
      <c r="L25" s="36">
        <f t="shared" si="21"/>
        <v>0.73952879581151831</v>
      </c>
      <c r="M25" s="20">
        <f t="shared" si="22"/>
        <v>35.575577662496187</v>
      </c>
      <c r="N25" s="37">
        <f t="shared" si="23"/>
        <v>0.2752688240776125</v>
      </c>
      <c r="O25" s="533">
        <v>4838.3999999999996</v>
      </c>
      <c r="P25" s="14">
        <f t="shared" si="24"/>
        <v>110.65972222222223</v>
      </c>
      <c r="Q25" s="15">
        <f t="shared" si="25"/>
        <v>22.752918511741385</v>
      </c>
    </row>
    <row r="26" spans="2:18" ht="15.75" customHeight="1" x14ac:dyDescent="0.2">
      <c r="B26" s="13" t="s">
        <v>44</v>
      </c>
      <c r="C26" s="352">
        <v>16505</v>
      </c>
      <c r="D26" s="391">
        <v>185</v>
      </c>
      <c r="E26" s="200">
        <f t="shared" si="18"/>
        <v>16320</v>
      </c>
      <c r="F26" s="352">
        <v>14640</v>
      </c>
      <c r="G26" s="191">
        <v>440</v>
      </c>
      <c r="H26" s="202">
        <f t="shared" si="19"/>
        <v>15080</v>
      </c>
      <c r="I26" s="352">
        <v>574581.11</v>
      </c>
      <c r="J26" s="191">
        <v>1517.24</v>
      </c>
      <c r="K26" s="200">
        <f t="shared" si="20"/>
        <v>576098.35</v>
      </c>
      <c r="L26" s="36">
        <f t="shared" si="21"/>
        <v>0.8970588235294118</v>
      </c>
      <c r="M26" s="20">
        <f t="shared" si="22"/>
        <v>39.247343579234972</v>
      </c>
      <c r="N26" s="37">
        <f t="shared" si="23"/>
        <v>0.30367940101265539</v>
      </c>
      <c r="O26" s="533">
        <v>2357.1692307692306</v>
      </c>
      <c r="P26" s="14">
        <f t="shared" si="24"/>
        <v>84.024514411027582</v>
      </c>
      <c r="Q26" s="15">
        <f t="shared" si="25"/>
        <v>22.69301399089354</v>
      </c>
    </row>
    <row r="27" spans="2:18" ht="15.75" customHeight="1" x14ac:dyDescent="0.2">
      <c r="B27" s="13" t="s">
        <v>53</v>
      </c>
      <c r="C27" s="352">
        <v>51445</v>
      </c>
      <c r="D27" s="391">
        <v>372</v>
      </c>
      <c r="E27" s="200">
        <f t="shared" si="18"/>
        <v>51073</v>
      </c>
      <c r="F27" s="352">
        <v>49010</v>
      </c>
      <c r="G27" s="191">
        <v>4740</v>
      </c>
      <c r="H27" s="202">
        <f t="shared" si="19"/>
        <v>53750</v>
      </c>
      <c r="I27" s="352">
        <v>1756038.02</v>
      </c>
      <c r="J27" s="191">
        <v>14999.99</v>
      </c>
      <c r="K27" s="200">
        <f t="shared" si="20"/>
        <v>1771038.01</v>
      </c>
      <c r="L27" s="36">
        <f t="shared" si="21"/>
        <v>0.95960683727213991</v>
      </c>
      <c r="M27" s="20">
        <f t="shared" si="22"/>
        <v>35.830198326872065</v>
      </c>
      <c r="N27" s="37">
        <f t="shared" si="23"/>
        <v>0.27723897145044057</v>
      </c>
      <c r="O27" s="533">
        <v>7257.3692307692309</v>
      </c>
      <c r="P27" s="14">
        <f t="shared" si="24"/>
        <v>85.063882017005525</v>
      </c>
      <c r="Q27" s="15">
        <f t="shared" si="25"/>
        <v>22.658699296963302</v>
      </c>
    </row>
    <row r="28" spans="2:18" ht="15.75" customHeight="1" x14ac:dyDescent="0.2">
      <c r="B28" s="13" t="s">
        <v>41</v>
      </c>
      <c r="C28" s="553">
        <v>19529</v>
      </c>
      <c r="D28" s="391">
        <v>266</v>
      </c>
      <c r="E28" s="200">
        <f t="shared" si="18"/>
        <v>19263</v>
      </c>
      <c r="F28" s="352">
        <v>19810</v>
      </c>
      <c r="G28" s="191">
        <v>680</v>
      </c>
      <c r="H28" s="202">
        <f t="shared" si="19"/>
        <v>20490</v>
      </c>
      <c r="I28" s="352">
        <v>779613.2</v>
      </c>
      <c r="J28" s="191">
        <v>2189.66</v>
      </c>
      <c r="K28" s="200">
        <f t="shared" si="20"/>
        <v>781802.86</v>
      </c>
      <c r="L28" s="36">
        <f t="shared" si="21"/>
        <v>1.0283964076208274</v>
      </c>
      <c r="M28" s="20">
        <f t="shared" si="22"/>
        <v>39.354528016153452</v>
      </c>
      <c r="N28" s="37">
        <f t="shared" si="23"/>
        <v>0.30450874900497416</v>
      </c>
      <c r="O28" s="533">
        <v>3225.5999999999995</v>
      </c>
      <c r="P28" s="14">
        <f t="shared" si="24"/>
        <v>72.652529761904773</v>
      </c>
      <c r="Q28" s="15">
        <f t="shared" si="25"/>
        <v>22.504691160266109</v>
      </c>
    </row>
    <row r="29" spans="2:18" ht="15.75" customHeight="1" x14ac:dyDescent="0.2">
      <c r="B29" s="13" t="s">
        <v>45</v>
      </c>
      <c r="C29" s="352">
        <v>16342</v>
      </c>
      <c r="D29" s="391">
        <v>169</v>
      </c>
      <c r="E29" s="200">
        <f t="shared" si="18"/>
        <v>16173</v>
      </c>
      <c r="F29" s="352">
        <v>15520</v>
      </c>
      <c r="G29" s="191">
        <v>100</v>
      </c>
      <c r="H29" s="202">
        <f t="shared" si="19"/>
        <v>15620</v>
      </c>
      <c r="I29" s="352">
        <v>592683.75</v>
      </c>
      <c r="J29" s="191">
        <v>344.83</v>
      </c>
      <c r="K29" s="200">
        <f t="shared" si="20"/>
        <v>593028.57999999996</v>
      </c>
      <c r="L29" s="36">
        <f t="shared" si="21"/>
        <v>0.95962406479935691</v>
      </c>
      <c r="M29" s="20">
        <f t="shared" si="22"/>
        <v>38.188385953608247</v>
      </c>
      <c r="N29" s="37">
        <f t="shared" si="23"/>
        <v>0.29548563327907934</v>
      </c>
      <c r="O29" s="533">
        <v>2481</v>
      </c>
      <c r="P29" s="14">
        <f t="shared" si="24"/>
        <v>79.042321644498188</v>
      </c>
      <c r="Q29" s="15">
        <f t="shared" si="25"/>
        <v>22.193979093968633</v>
      </c>
    </row>
    <row r="30" spans="2:18" ht="15.75" customHeight="1" x14ac:dyDescent="0.2">
      <c r="B30" s="13" t="s">
        <v>39</v>
      </c>
      <c r="C30" s="352">
        <v>37369</v>
      </c>
      <c r="D30" s="391">
        <v>363</v>
      </c>
      <c r="E30" s="200">
        <f t="shared" ref="E30" si="26">C30-D30</f>
        <v>37006</v>
      </c>
      <c r="F30" s="352">
        <v>36660</v>
      </c>
      <c r="G30" s="191">
        <v>2160</v>
      </c>
      <c r="H30" s="202">
        <f t="shared" ref="H30" si="27">F30+G30</f>
        <v>38820</v>
      </c>
      <c r="I30" s="352">
        <v>1274395.1900000002</v>
      </c>
      <c r="J30" s="191">
        <v>7086.22</v>
      </c>
      <c r="K30" s="200">
        <f t="shared" ref="K30" si="28">I30+J30</f>
        <v>1281481.4100000001</v>
      </c>
      <c r="L30" s="36">
        <f t="shared" ref="L30" si="29">F30/E30</f>
        <v>0.99065016483813439</v>
      </c>
      <c r="M30" s="20">
        <f t="shared" ref="M30" si="30">I30/F30</f>
        <v>34.762552918712501</v>
      </c>
      <c r="N30" s="37">
        <f t="shared" si="23"/>
        <v>0.2689779813177135</v>
      </c>
      <c r="O30" s="533">
        <v>5520.7384615384617</v>
      </c>
      <c r="P30" s="14">
        <f t="shared" ref="P30" si="31">C30/O30*12</f>
        <v>81.226090155163178</v>
      </c>
      <c r="Q30" s="15">
        <f t="shared" si="25"/>
        <v>21.552688389536957</v>
      </c>
    </row>
    <row r="31" spans="2:18" ht="15.75" customHeight="1" x14ac:dyDescent="0.2">
      <c r="B31" s="13" t="s">
        <v>60</v>
      </c>
      <c r="C31" s="352">
        <v>18061</v>
      </c>
      <c r="D31" s="391">
        <v>217</v>
      </c>
      <c r="E31" s="200">
        <f t="shared" ref="E31:E51" si="32">C31-D31</f>
        <v>17844</v>
      </c>
      <c r="F31" s="352">
        <v>16760</v>
      </c>
      <c r="G31" s="191">
        <v>1180</v>
      </c>
      <c r="H31" s="202">
        <f t="shared" ref="H31:H51" si="33">F31+G31</f>
        <v>17940</v>
      </c>
      <c r="I31" s="352">
        <v>600218.11</v>
      </c>
      <c r="J31" s="191">
        <v>3965.52</v>
      </c>
      <c r="K31" s="200">
        <f t="shared" ref="K31:K51" si="34">I31+J31</f>
        <v>604183.63</v>
      </c>
      <c r="L31" s="36">
        <f t="shared" ref="L31:L51" si="35">F31/E31</f>
        <v>0.93925128894866616</v>
      </c>
      <c r="M31" s="20">
        <f t="shared" ref="M31:M51" si="36">I31/F31</f>
        <v>35.812536396181386</v>
      </c>
      <c r="N31" s="37">
        <f t="shared" si="23"/>
        <v>0.27710231087564158</v>
      </c>
      <c r="O31" s="533">
        <v>2605.292307692308</v>
      </c>
      <c r="P31" s="14">
        <f t="shared" ref="P31:P42" si="37">C31/O31*12</f>
        <v>83.189129818594097</v>
      </c>
      <c r="Q31" s="15">
        <f t="shared" si="25"/>
        <v>21.532715873825072</v>
      </c>
    </row>
    <row r="32" spans="2:18" ht="15.75" customHeight="1" x14ac:dyDescent="0.2">
      <c r="B32" s="13" t="s">
        <v>59</v>
      </c>
      <c r="C32" s="352">
        <v>17524</v>
      </c>
      <c r="D32" s="391">
        <v>193</v>
      </c>
      <c r="E32" s="200">
        <f t="shared" si="32"/>
        <v>17331</v>
      </c>
      <c r="F32" s="352">
        <v>11690</v>
      </c>
      <c r="G32" s="191">
        <v>2460</v>
      </c>
      <c r="H32" s="202">
        <f t="shared" si="33"/>
        <v>14150</v>
      </c>
      <c r="I32" s="352">
        <v>539817.05999999994</v>
      </c>
      <c r="J32" s="191">
        <v>7965.54</v>
      </c>
      <c r="K32" s="200">
        <f t="shared" si="34"/>
        <v>547782.6</v>
      </c>
      <c r="L32" s="36">
        <f t="shared" si="35"/>
        <v>0.67451387686803987</v>
      </c>
      <c r="M32" s="20">
        <f t="shared" si="36"/>
        <v>46.177678357570571</v>
      </c>
      <c r="N32" s="37">
        <f t="shared" si="23"/>
        <v>0.35730341024154072</v>
      </c>
      <c r="O32" s="533">
        <v>2481.2307692307691</v>
      </c>
      <c r="P32" s="14">
        <f t="shared" si="37"/>
        <v>84.751488095238102</v>
      </c>
      <c r="Q32" s="15">
        <f t="shared" si="25"/>
        <v>20.498750422527053</v>
      </c>
    </row>
    <row r="33" spans="2:17" ht="15.75" customHeight="1" x14ac:dyDescent="0.2">
      <c r="B33" s="13" t="s">
        <v>43</v>
      </c>
      <c r="C33" s="352">
        <v>23277</v>
      </c>
      <c r="D33" s="391">
        <v>198</v>
      </c>
      <c r="E33" s="200">
        <f t="shared" si="32"/>
        <v>23079</v>
      </c>
      <c r="F33" s="352">
        <v>15040</v>
      </c>
      <c r="G33" s="191">
        <v>2660</v>
      </c>
      <c r="H33" s="202">
        <f t="shared" si="33"/>
        <v>17700</v>
      </c>
      <c r="I33" s="352">
        <v>516987.33</v>
      </c>
      <c r="J33" s="191">
        <v>8448.2800000000007</v>
      </c>
      <c r="K33" s="200">
        <f t="shared" si="34"/>
        <v>525435.61</v>
      </c>
      <c r="L33" s="36">
        <f t="shared" si="35"/>
        <v>0.65167468261189831</v>
      </c>
      <c r="M33" s="20">
        <f t="shared" si="36"/>
        <v>34.374157579787237</v>
      </c>
      <c r="N33" s="37">
        <f t="shared" si="23"/>
        <v>0.26597274190213849</v>
      </c>
      <c r="O33" s="533">
        <v>2605.292307692308</v>
      </c>
      <c r="P33" s="14">
        <f t="shared" si="37"/>
        <v>107.21407312925169</v>
      </c>
      <c r="Q33" s="15">
        <f t="shared" si="25"/>
        <v>18.726187103281763</v>
      </c>
    </row>
    <row r="34" spans="2:17" ht="15.75" customHeight="1" x14ac:dyDescent="0.2">
      <c r="B34" s="13" t="s">
        <v>65</v>
      </c>
      <c r="C34" s="352">
        <v>16057</v>
      </c>
      <c r="D34" s="391">
        <v>194</v>
      </c>
      <c r="E34" s="200">
        <f t="shared" si="32"/>
        <v>15863</v>
      </c>
      <c r="F34" s="352">
        <v>15040</v>
      </c>
      <c r="G34" s="191">
        <v>3240</v>
      </c>
      <c r="H34" s="202">
        <f t="shared" si="33"/>
        <v>18280</v>
      </c>
      <c r="I34" s="352">
        <v>519772.83000000007</v>
      </c>
      <c r="J34" s="191">
        <v>11172.42</v>
      </c>
      <c r="K34" s="200">
        <f t="shared" si="34"/>
        <v>530945.25000000012</v>
      </c>
      <c r="L34" s="36">
        <f t="shared" si="35"/>
        <v>0.94811826262371557</v>
      </c>
      <c r="M34" s="20">
        <f t="shared" si="36"/>
        <v>34.559363696808518</v>
      </c>
      <c r="N34" s="37">
        <f t="shared" si="23"/>
        <v>0.2674057887672685</v>
      </c>
      <c r="O34" s="533">
        <v>2740</v>
      </c>
      <c r="P34" s="14">
        <f t="shared" si="37"/>
        <v>70.322627737226284</v>
      </c>
      <c r="Q34" s="15">
        <f t="shared" si="25"/>
        <v>17.992250538408392</v>
      </c>
    </row>
    <row r="35" spans="2:17" ht="15.75" customHeight="1" x14ac:dyDescent="0.2">
      <c r="B35" s="13" t="s">
        <v>58</v>
      </c>
      <c r="C35" s="352">
        <v>29610</v>
      </c>
      <c r="D35" s="391">
        <v>300</v>
      </c>
      <c r="E35" s="200">
        <f t="shared" si="32"/>
        <v>29310</v>
      </c>
      <c r="F35" s="352">
        <v>38060</v>
      </c>
      <c r="G35" s="191">
        <v>740</v>
      </c>
      <c r="H35" s="202">
        <f t="shared" si="33"/>
        <v>38800</v>
      </c>
      <c r="I35" s="352">
        <v>1497015.17</v>
      </c>
      <c r="J35" s="191">
        <v>2448.29</v>
      </c>
      <c r="K35" s="200">
        <f t="shared" si="34"/>
        <v>1499463.46</v>
      </c>
      <c r="L35" s="36">
        <f t="shared" si="35"/>
        <v>1.298532923916752</v>
      </c>
      <c r="M35" s="20">
        <f t="shared" si="36"/>
        <v>39.333031266421436</v>
      </c>
      <c r="N35" s="37">
        <f t="shared" si="23"/>
        <v>0.30434241621689234</v>
      </c>
      <c r="O35" s="533">
        <v>7948.5538461538463</v>
      </c>
      <c r="P35" s="14">
        <f t="shared" si="37"/>
        <v>44.702471276826358</v>
      </c>
      <c r="Q35" s="15">
        <f t="shared" si="25"/>
        <v>17.515965427359152</v>
      </c>
    </row>
    <row r="36" spans="2:17" ht="15.75" customHeight="1" x14ac:dyDescent="0.2">
      <c r="B36" s="13" t="s">
        <v>56</v>
      </c>
      <c r="C36" s="352">
        <v>13508</v>
      </c>
      <c r="D36" s="391">
        <v>198</v>
      </c>
      <c r="E36" s="200">
        <f t="shared" si="32"/>
        <v>13310</v>
      </c>
      <c r="F36" s="352">
        <v>12530</v>
      </c>
      <c r="G36" s="191">
        <v>740</v>
      </c>
      <c r="H36" s="202">
        <f t="shared" si="33"/>
        <v>13270</v>
      </c>
      <c r="I36" s="352">
        <v>444494.5</v>
      </c>
      <c r="J36" s="191">
        <v>2293.11</v>
      </c>
      <c r="K36" s="200">
        <f t="shared" si="34"/>
        <v>446787.61</v>
      </c>
      <c r="L36" s="36">
        <f t="shared" si="35"/>
        <v>0.94139744552967697</v>
      </c>
      <c r="M36" s="20">
        <f t="shared" si="36"/>
        <v>35.474421388667196</v>
      </c>
      <c r="N36" s="37">
        <f t="shared" si="23"/>
        <v>0.27448611947027918</v>
      </c>
      <c r="O36" s="533">
        <v>2481.2307692307691</v>
      </c>
      <c r="P36" s="14">
        <f t="shared" si="37"/>
        <v>65.328869047619051</v>
      </c>
      <c r="Q36" s="15">
        <f t="shared" si="25"/>
        <v>16.719384130250493</v>
      </c>
    </row>
    <row r="37" spans="2:17" ht="15.75" customHeight="1" x14ac:dyDescent="0.2">
      <c r="B37" s="13" t="s">
        <v>62</v>
      </c>
      <c r="C37" s="549">
        <v>21197</v>
      </c>
      <c r="D37" s="391">
        <v>177</v>
      </c>
      <c r="E37" s="200">
        <f t="shared" si="32"/>
        <v>21020</v>
      </c>
      <c r="F37" s="352">
        <v>13410</v>
      </c>
      <c r="G37" s="191">
        <v>2160</v>
      </c>
      <c r="H37" s="202">
        <f t="shared" si="33"/>
        <v>15570</v>
      </c>
      <c r="I37" s="352">
        <v>460157.93000000005</v>
      </c>
      <c r="J37" s="191">
        <v>6879.3</v>
      </c>
      <c r="K37" s="200">
        <f t="shared" si="34"/>
        <v>467037.23000000004</v>
      </c>
      <c r="L37" s="36">
        <f t="shared" si="35"/>
        <v>0.6379638439581351</v>
      </c>
      <c r="M37" s="20">
        <f t="shared" si="36"/>
        <v>34.314536167039527</v>
      </c>
      <c r="N37" s="37">
        <f t="shared" si="23"/>
        <v>0.26551141654201066</v>
      </c>
      <c r="O37" s="533">
        <v>2605.292307692308</v>
      </c>
      <c r="P37" s="14">
        <f t="shared" si="37"/>
        <v>97.633574263038525</v>
      </c>
      <c r="Q37" s="15">
        <f t="shared" si="25"/>
        <v>16.64490641047043</v>
      </c>
    </row>
    <row r="38" spans="2:17" ht="15.75" customHeight="1" x14ac:dyDescent="0.2">
      <c r="B38" s="13" t="s">
        <v>55</v>
      </c>
      <c r="C38" s="549">
        <v>31648</v>
      </c>
      <c r="D38" s="391">
        <v>381</v>
      </c>
      <c r="E38" s="200">
        <f t="shared" si="32"/>
        <v>31267</v>
      </c>
      <c r="F38" s="352">
        <v>23520</v>
      </c>
      <c r="G38" s="191">
        <v>2880</v>
      </c>
      <c r="H38" s="202">
        <f t="shared" si="33"/>
        <v>26400</v>
      </c>
      <c r="I38" s="352">
        <v>862213.30999999994</v>
      </c>
      <c r="J38" s="191">
        <v>9543.09</v>
      </c>
      <c r="K38" s="200">
        <f t="shared" si="34"/>
        <v>871756.39999999991</v>
      </c>
      <c r="L38" s="36">
        <f t="shared" si="35"/>
        <v>0.75223078645217001</v>
      </c>
      <c r="M38" s="20">
        <f t="shared" si="36"/>
        <v>36.658729166666667</v>
      </c>
      <c r="N38" s="37">
        <f t="shared" si="23"/>
        <v>0.28364979384511746</v>
      </c>
      <c r="O38" s="533">
        <v>5086.5230769230766</v>
      </c>
      <c r="P38" s="14">
        <f t="shared" si="37"/>
        <v>74.663182346109181</v>
      </c>
      <c r="Q38" s="15">
        <f t="shared" si="25"/>
        <v>15.913306886523749</v>
      </c>
    </row>
    <row r="39" spans="2:17" ht="15.75" customHeight="1" x14ac:dyDescent="0.2">
      <c r="B39" s="13" t="s">
        <v>51</v>
      </c>
      <c r="C39" s="553">
        <v>56467</v>
      </c>
      <c r="D39" s="391">
        <v>271</v>
      </c>
      <c r="E39" s="200">
        <f t="shared" si="32"/>
        <v>56196</v>
      </c>
      <c r="F39" s="352">
        <v>40260</v>
      </c>
      <c r="G39" s="191">
        <v>9300</v>
      </c>
      <c r="H39" s="202">
        <f t="shared" si="33"/>
        <v>49560</v>
      </c>
      <c r="I39" s="352">
        <v>1364321.94</v>
      </c>
      <c r="J39" s="191">
        <v>30293.1</v>
      </c>
      <c r="K39" s="200">
        <f t="shared" si="34"/>
        <v>1394615.04</v>
      </c>
      <c r="L39" s="36">
        <f t="shared" si="35"/>
        <v>0.71642109758701689</v>
      </c>
      <c r="M39" s="20">
        <f t="shared" si="36"/>
        <v>33.887777943368107</v>
      </c>
      <c r="N39" s="37">
        <f t="shared" si="23"/>
        <v>0.26220934129505485</v>
      </c>
      <c r="O39" s="533">
        <v>8436.1846153846163</v>
      </c>
      <c r="P39" s="14">
        <f t="shared" si="37"/>
        <v>80.321144082633054</v>
      </c>
      <c r="Q39" s="15">
        <f t="shared" si="25"/>
        <v>15.349512336840641</v>
      </c>
    </row>
    <row r="40" spans="2:17" ht="15.75" customHeight="1" x14ac:dyDescent="0.2">
      <c r="B40" s="13" t="s">
        <v>38</v>
      </c>
      <c r="C40" s="352">
        <v>14578</v>
      </c>
      <c r="D40" s="391">
        <v>178</v>
      </c>
      <c r="E40" s="200">
        <f t="shared" si="32"/>
        <v>14400</v>
      </c>
      <c r="F40" s="352">
        <v>11750</v>
      </c>
      <c r="G40" s="191">
        <v>980</v>
      </c>
      <c r="H40" s="202">
        <f t="shared" si="33"/>
        <v>12730</v>
      </c>
      <c r="I40" s="352">
        <v>535106.21</v>
      </c>
      <c r="J40" s="191">
        <v>3275.87</v>
      </c>
      <c r="K40" s="200">
        <f t="shared" si="34"/>
        <v>538382.07999999996</v>
      </c>
      <c r="L40" s="36">
        <f t="shared" si="35"/>
        <v>0.81597222222222221</v>
      </c>
      <c r="M40" s="20">
        <f t="shared" si="36"/>
        <v>45.540954042553189</v>
      </c>
      <c r="N40" s="37">
        <f t="shared" si="23"/>
        <v>0.35237670588499476</v>
      </c>
      <c r="O40" s="533">
        <v>3287.6307692307691</v>
      </c>
      <c r="P40" s="14">
        <f t="shared" si="37"/>
        <v>53.210354896675653</v>
      </c>
      <c r="Q40" s="15">
        <f t="shared" si="25"/>
        <v>15.205260764730172</v>
      </c>
    </row>
    <row r="41" spans="2:17" ht="15.75" customHeight="1" x14ac:dyDescent="0.2">
      <c r="B41" s="13" t="s">
        <v>42</v>
      </c>
      <c r="C41" s="352">
        <v>13463</v>
      </c>
      <c r="D41" s="391">
        <v>233</v>
      </c>
      <c r="E41" s="200">
        <f t="shared" si="32"/>
        <v>13230</v>
      </c>
      <c r="F41" s="352">
        <v>9500</v>
      </c>
      <c r="G41" s="191">
        <v>10200</v>
      </c>
      <c r="H41" s="202">
        <f t="shared" si="33"/>
        <v>19700</v>
      </c>
      <c r="I41" s="352">
        <v>350548.37</v>
      </c>
      <c r="J41" s="191">
        <v>34810.370000000003</v>
      </c>
      <c r="K41" s="200">
        <f t="shared" si="34"/>
        <v>385358.74</v>
      </c>
      <c r="L41" s="36">
        <f t="shared" si="35"/>
        <v>0.7180650037792895</v>
      </c>
      <c r="M41" s="20">
        <f t="shared" si="36"/>
        <v>36.899828421052632</v>
      </c>
      <c r="N41" s="37">
        <f t="shared" si="23"/>
        <v>0.2855153182470101</v>
      </c>
      <c r="O41" s="533">
        <v>2357.1692307692306</v>
      </c>
      <c r="P41" s="14">
        <f t="shared" si="37"/>
        <v>68.538142230576454</v>
      </c>
      <c r="Q41" s="15">
        <f t="shared" si="25"/>
        <v>15.179615213848656</v>
      </c>
    </row>
    <row r="42" spans="2:17" ht="15.75" customHeight="1" x14ac:dyDescent="0.2">
      <c r="B42" s="13" t="s">
        <v>63</v>
      </c>
      <c r="C42" s="352">
        <v>17281</v>
      </c>
      <c r="D42" s="391">
        <v>130</v>
      </c>
      <c r="E42" s="200">
        <f t="shared" si="32"/>
        <v>17151</v>
      </c>
      <c r="F42" s="352">
        <v>10570</v>
      </c>
      <c r="G42" s="191">
        <v>6840</v>
      </c>
      <c r="H42" s="202">
        <f t="shared" si="33"/>
        <v>17410</v>
      </c>
      <c r="I42" s="352">
        <v>378204.49</v>
      </c>
      <c r="J42" s="191">
        <v>22603.47</v>
      </c>
      <c r="K42" s="200">
        <f t="shared" si="34"/>
        <v>400807.95999999996</v>
      </c>
      <c r="L42" s="36">
        <f t="shared" si="35"/>
        <v>0.61629059530056551</v>
      </c>
      <c r="M42" s="20">
        <f t="shared" si="36"/>
        <v>35.780935666982025</v>
      </c>
      <c r="N42" s="37">
        <f t="shared" si="23"/>
        <v>0.27685779775348718</v>
      </c>
      <c r="O42" s="533">
        <v>2481.2307692307691</v>
      </c>
      <c r="P42" s="14">
        <f t="shared" si="37"/>
        <v>83.57626488095238</v>
      </c>
      <c r="Q42" s="15">
        <f t="shared" si="25"/>
        <v>14.998764727835836</v>
      </c>
    </row>
    <row r="43" spans="2:17" ht="15.75" customHeight="1" x14ac:dyDescent="0.2">
      <c r="B43" s="13" t="s">
        <v>46</v>
      </c>
      <c r="C43" s="553">
        <v>32044</v>
      </c>
      <c r="D43" s="391">
        <v>251</v>
      </c>
      <c r="E43" s="200">
        <f t="shared" si="32"/>
        <v>31793</v>
      </c>
      <c r="F43" s="352">
        <v>29490</v>
      </c>
      <c r="G43" s="191">
        <v>1300</v>
      </c>
      <c r="H43" s="202">
        <f t="shared" si="33"/>
        <v>30790</v>
      </c>
      <c r="I43" s="352">
        <v>1143279.1299999999</v>
      </c>
      <c r="J43" s="191">
        <v>4310.3599999999997</v>
      </c>
      <c r="K43" s="200">
        <f t="shared" si="34"/>
        <v>1147589.49</v>
      </c>
      <c r="L43" s="36">
        <f t="shared" si="35"/>
        <v>0.92756267102821377</v>
      </c>
      <c r="M43" s="20">
        <f t="shared" si="36"/>
        <v>38.76836656493726</v>
      </c>
      <c r="N43" s="37">
        <f t="shared" si="23"/>
        <v>0.29997327877518204</v>
      </c>
      <c r="O43" s="533">
        <v>7178.4</v>
      </c>
      <c r="P43" s="14">
        <f>C43/4838*12</f>
        <v>79.480777180653163</v>
      </c>
      <c r="Q43" s="15">
        <f t="shared" si="25"/>
        <v>14.843804312688452</v>
      </c>
    </row>
    <row r="44" spans="2:17" ht="15.75" customHeight="1" x14ac:dyDescent="0.2">
      <c r="B44" s="13" t="s">
        <v>54</v>
      </c>
      <c r="C44" s="352">
        <v>34556</v>
      </c>
      <c r="D44" s="391">
        <v>369</v>
      </c>
      <c r="E44" s="200">
        <f t="shared" si="32"/>
        <v>34187</v>
      </c>
      <c r="F44" s="352">
        <v>19090</v>
      </c>
      <c r="G44" s="191">
        <v>10520</v>
      </c>
      <c r="H44" s="202">
        <f t="shared" si="33"/>
        <v>29610</v>
      </c>
      <c r="I44" s="352">
        <v>688401.38</v>
      </c>
      <c r="J44" s="191">
        <v>34827.57</v>
      </c>
      <c r="K44" s="200">
        <f t="shared" si="34"/>
        <v>723228.95</v>
      </c>
      <c r="L44" s="36">
        <f t="shared" si="35"/>
        <v>0.55839939158159535</v>
      </c>
      <c r="M44" s="20">
        <f t="shared" si="36"/>
        <v>36.060837087480358</v>
      </c>
      <c r="N44" s="37">
        <f t="shared" si="23"/>
        <v>0.27902355696080577</v>
      </c>
      <c r="O44" s="533">
        <v>4651.9846153846156</v>
      </c>
      <c r="P44" s="14">
        <f t="shared" ref="P44:P51" si="38">C44/O44*12</f>
        <v>89.138729872114126</v>
      </c>
      <c r="Q44" s="15">
        <f t="shared" si="25"/>
        <v>14.435234561941622</v>
      </c>
    </row>
    <row r="45" spans="2:17" ht="15.75" customHeight="1" x14ac:dyDescent="0.2">
      <c r="B45" s="13" t="s">
        <v>50</v>
      </c>
      <c r="C45" s="352">
        <v>11315</v>
      </c>
      <c r="D45" s="391">
        <v>236</v>
      </c>
      <c r="E45" s="200">
        <f t="shared" si="32"/>
        <v>11079</v>
      </c>
      <c r="F45" s="352">
        <v>11280</v>
      </c>
      <c r="G45" s="191">
        <v>2640</v>
      </c>
      <c r="H45" s="202">
        <f t="shared" si="33"/>
        <v>13920</v>
      </c>
      <c r="I45" s="352">
        <v>401075.13</v>
      </c>
      <c r="J45" s="191">
        <v>8353.4500000000007</v>
      </c>
      <c r="K45" s="200">
        <f t="shared" si="34"/>
        <v>409428.58</v>
      </c>
      <c r="L45" s="36">
        <f t="shared" si="35"/>
        <v>1.0181424316274033</v>
      </c>
      <c r="M45" s="20">
        <f t="shared" si="36"/>
        <v>35.556305851063833</v>
      </c>
      <c r="N45" s="37">
        <f t="shared" si="23"/>
        <v>0.27511970692423393</v>
      </c>
      <c r="O45" s="533">
        <v>2667</v>
      </c>
      <c r="P45" s="14">
        <f t="shared" si="38"/>
        <v>50.911136107986501</v>
      </c>
      <c r="Q45" s="15">
        <f t="shared" si="25"/>
        <v>14.254154191431555</v>
      </c>
    </row>
    <row r="46" spans="2:17" ht="15.75" customHeight="1" x14ac:dyDescent="0.2">
      <c r="B46" s="13" t="s">
        <v>40</v>
      </c>
      <c r="C46" s="352">
        <v>10721</v>
      </c>
      <c r="D46" s="391">
        <v>132</v>
      </c>
      <c r="E46" s="200">
        <f t="shared" si="32"/>
        <v>10589</v>
      </c>
      <c r="F46" s="352">
        <v>9210</v>
      </c>
      <c r="G46" s="354">
        <v>0</v>
      </c>
      <c r="H46" s="202">
        <f t="shared" si="33"/>
        <v>9210</v>
      </c>
      <c r="I46" s="352">
        <v>345689</v>
      </c>
      <c r="J46" s="354">
        <v>0</v>
      </c>
      <c r="K46" s="200">
        <f t="shared" si="34"/>
        <v>345689</v>
      </c>
      <c r="L46" s="36">
        <f t="shared" si="35"/>
        <v>0.869770516573803</v>
      </c>
      <c r="M46" s="20">
        <f t="shared" si="36"/>
        <v>37.534093376764389</v>
      </c>
      <c r="N46" s="37">
        <f t="shared" si="23"/>
        <v>0.29042299311792219</v>
      </c>
      <c r="O46" s="533">
        <v>2481.2307692307691</v>
      </c>
      <c r="P46" s="14">
        <f t="shared" si="38"/>
        <v>51.850074404761912</v>
      </c>
      <c r="Q46" s="15">
        <f t="shared" si="25"/>
        <v>12.936140240330664</v>
      </c>
    </row>
    <row r="47" spans="2:17" ht="15.75" customHeight="1" x14ac:dyDescent="0.2">
      <c r="B47" s="13" t="s">
        <v>61</v>
      </c>
      <c r="C47" s="352">
        <v>20981</v>
      </c>
      <c r="D47" s="391">
        <v>139</v>
      </c>
      <c r="E47" s="200">
        <f t="shared" si="32"/>
        <v>20842</v>
      </c>
      <c r="F47" s="352">
        <v>8700</v>
      </c>
      <c r="G47" s="191">
        <v>6100</v>
      </c>
      <c r="H47" s="202">
        <f t="shared" si="33"/>
        <v>14800</v>
      </c>
      <c r="I47" s="352">
        <v>321201.64999999997</v>
      </c>
      <c r="J47" s="191">
        <v>19844.84</v>
      </c>
      <c r="K47" s="200">
        <f t="shared" si="34"/>
        <v>341046.49</v>
      </c>
      <c r="L47" s="36">
        <f t="shared" si="35"/>
        <v>0.41742635063813455</v>
      </c>
      <c r="M47" s="20">
        <f t="shared" si="36"/>
        <v>36.919729885057464</v>
      </c>
      <c r="N47" s="37">
        <f t="shared" si="23"/>
        <v>0.28566930738658231</v>
      </c>
      <c r="O47" s="533">
        <v>2481.2307692307695</v>
      </c>
      <c r="P47" s="14">
        <f t="shared" si="38"/>
        <v>101.47061011904761</v>
      </c>
      <c r="Q47" s="15">
        <f t="shared" si="25"/>
        <v>12.762411367189953</v>
      </c>
    </row>
    <row r="48" spans="2:17" ht="15.75" customHeight="1" x14ac:dyDescent="0.2">
      <c r="B48" s="13" t="s">
        <v>57</v>
      </c>
      <c r="C48" s="549">
        <v>14842</v>
      </c>
      <c r="D48" s="391">
        <v>178</v>
      </c>
      <c r="E48" s="200">
        <f t="shared" si="32"/>
        <v>14664</v>
      </c>
      <c r="F48" s="352">
        <v>8470</v>
      </c>
      <c r="G48" s="191">
        <v>20</v>
      </c>
      <c r="H48" s="202">
        <f t="shared" si="33"/>
        <v>8490</v>
      </c>
      <c r="I48" s="352">
        <v>302256.90000000002</v>
      </c>
      <c r="J48" s="191">
        <v>68.97</v>
      </c>
      <c r="K48" s="200">
        <f t="shared" si="34"/>
        <v>302325.87</v>
      </c>
      <c r="L48" s="36">
        <f t="shared" si="35"/>
        <v>0.57760501909438078</v>
      </c>
      <c r="M48" s="20">
        <f t="shared" si="36"/>
        <v>35.685584415584415</v>
      </c>
      <c r="N48" s="37">
        <f t="shared" si="23"/>
        <v>0.27612000996278546</v>
      </c>
      <c r="O48" s="533">
        <v>2481.2307692307691</v>
      </c>
      <c r="P48" s="14">
        <f t="shared" si="38"/>
        <v>71.780505952380963</v>
      </c>
      <c r="Q48" s="15">
        <f t="shared" si="25"/>
        <v>11.313434481860797</v>
      </c>
    </row>
    <row r="49" spans="1:18" ht="15.75" customHeight="1" x14ac:dyDescent="0.2">
      <c r="B49" s="13" t="s">
        <v>47</v>
      </c>
      <c r="C49" s="553">
        <v>42730</v>
      </c>
      <c r="D49" s="391">
        <v>405</v>
      </c>
      <c r="E49" s="200">
        <f t="shared" si="32"/>
        <v>42325</v>
      </c>
      <c r="F49" s="352">
        <v>15560</v>
      </c>
      <c r="G49" s="191">
        <v>17280</v>
      </c>
      <c r="H49" s="202">
        <f t="shared" si="33"/>
        <v>32840</v>
      </c>
      <c r="I49" s="352">
        <v>532133.37</v>
      </c>
      <c r="J49" s="191">
        <v>58551.74</v>
      </c>
      <c r="K49" s="200">
        <f t="shared" si="34"/>
        <v>590685.11</v>
      </c>
      <c r="L49" s="36">
        <f t="shared" si="35"/>
        <v>0.3676314235085647</v>
      </c>
      <c r="M49" s="20">
        <f t="shared" si="36"/>
        <v>34.198802699228793</v>
      </c>
      <c r="N49" s="37">
        <f t="shared" si="23"/>
        <v>0.26461591975224891</v>
      </c>
      <c r="O49" s="533">
        <v>4962.461538461539</v>
      </c>
      <c r="P49" s="14">
        <f t="shared" si="38"/>
        <v>103.32775297619047</v>
      </c>
      <c r="Q49" s="15">
        <f t="shared" si="25"/>
        <v>11.052109585256028</v>
      </c>
    </row>
    <row r="50" spans="1:18" ht="15.75" customHeight="1" x14ac:dyDescent="0.2">
      <c r="B50" s="13" t="s">
        <v>48</v>
      </c>
      <c r="C50" s="352">
        <v>6815</v>
      </c>
      <c r="D50" s="391">
        <v>94</v>
      </c>
      <c r="E50" s="200">
        <f t="shared" si="32"/>
        <v>6721</v>
      </c>
      <c r="F50" s="352">
        <v>5290</v>
      </c>
      <c r="G50" s="191">
        <v>120</v>
      </c>
      <c r="H50" s="202">
        <f t="shared" si="33"/>
        <v>5410</v>
      </c>
      <c r="I50" s="352">
        <v>192876.11</v>
      </c>
      <c r="J50" s="191">
        <v>431.05</v>
      </c>
      <c r="K50" s="200">
        <f t="shared" si="34"/>
        <v>193307.15999999997</v>
      </c>
      <c r="L50" s="36">
        <f t="shared" si="35"/>
        <v>0.78708525517036154</v>
      </c>
      <c r="M50" s="20">
        <f t="shared" si="36"/>
        <v>36.460512287334588</v>
      </c>
      <c r="N50" s="37">
        <f t="shared" si="23"/>
        <v>0.28211607518554399</v>
      </c>
      <c r="O50" s="533">
        <v>1736.8615384615382</v>
      </c>
      <c r="P50" s="14">
        <f t="shared" si="38"/>
        <v>47.084927721088441</v>
      </c>
      <c r="Q50" s="15">
        <f t="shared" si="25"/>
        <v>10.334014228396201</v>
      </c>
    </row>
    <row r="51" spans="1:18" ht="15.75" customHeight="1" x14ac:dyDescent="0.2">
      <c r="B51" s="195" t="s">
        <v>66</v>
      </c>
      <c r="C51" s="548">
        <v>10075</v>
      </c>
      <c r="D51" s="393">
        <v>133</v>
      </c>
      <c r="E51" s="359">
        <f t="shared" si="32"/>
        <v>9942</v>
      </c>
      <c r="F51" s="355">
        <v>8230</v>
      </c>
      <c r="G51" s="541">
        <v>800</v>
      </c>
      <c r="H51" s="357">
        <f t="shared" si="33"/>
        <v>9030</v>
      </c>
      <c r="I51" s="355">
        <v>270784.82</v>
      </c>
      <c r="J51" s="541">
        <v>2603.46</v>
      </c>
      <c r="K51" s="359">
        <f t="shared" si="34"/>
        <v>273388.28000000003</v>
      </c>
      <c r="L51" s="360">
        <f t="shared" si="35"/>
        <v>0.82780124723395698</v>
      </c>
      <c r="M51" s="244">
        <f t="shared" si="36"/>
        <v>32.902165249088704</v>
      </c>
      <c r="N51" s="542">
        <f t="shared" si="23"/>
        <v>0.25458308572377081</v>
      </c>
      <c r="O51" s="543">
        <v>2605.292307692308</v>
      </c>
      <c r="P51" s="19">
        <f t="shared" si="38"/>
        <v>46.405541383219955</v>
      </c>
      <c r="Q51" s="204">
        <f t="shared" si="25"/>
        <v>9.7433824158290001</v>
      </c>
      <c r="R51" s="16" t="s">
        <v>118</v>
      </c>
    </row>
    <row r="52" spans="1:18" ht="15.75" customHeight="1" thickBot="1" x14ac:dyDescent="0.25">
      <c r="B52" s="270" t="s">
        <v>35</v>
      </c>
      <c r="C52" s="389">
        <f>SUM(C24:C51)</f>
        <v>681930</v>
      </c>
      <c r="D52" s="389">
        <f t="shared" ref="D52:K52" si="39">SUM(D24:D51)</f>
        <v>6522</v>
      </c>
      <c r="E52" s="389">
        <f t="shared" si="39"/>
        <v>675408</v>
      </c>
      <c r="F52" s="389">
        <f t="shared" si="39"/>
        <v>537740</v>
      </c>
      <c r="G52" s="389">
        <f t="shared" si="39"/>
        <v>99540</v>
      </c>
      <c r="H52" s="389">
        <f t="shared" si="39"/>
        <v>637280</v>
      </c>
      <c r="I52" s="389">
        <f t="shared" si="39"/>
        <v>19689442.399999995</v>
      </c>
      <c r="J52" s="389">
        <f t="shared" si="39"/>
        <v>328586.32999999996</v>
      </c>
      <c r="K52" s="389">
        <f t="shared" si="39"/>
        <v>20018028.729999997</v>
      </c>
      <c r="L52" s="471">
        <f t="shared" ref="L52" si="40">F52/E52</f>
        <v>0.79617061094923369</v>
      </c>
      <c r="M52" s="39">
        <f t="shared" ref="M52" si="41">I52/F52</f>
        <v>36.615171644289049</v>
      </c>
      <c r="N52" s="212">
        <f t="shared" si="23"/>
        <v>0.28331276409739642</v>
      </c>
      <c r="O52" s="544">
        <f>SUM(O24:O51)</f>
        <v>107066.09230769228</v>
      </c>
      <c r="P52" s="480">
        <f>(C52/O52)*12</f>
        <v>76.430920598865185</v>
      </c>
      <c r="Q52" s="473">
        <f t="shared" si="25"/>
        <v>17.360237768189105</v>
      </c>
    </row>
    <row r="53" spans="1:18" ht="17.25" customHeight="1" thickTop="1" thickBot="1" x14ac:dyDescent="0.25">
      <c r="B53" s="26" t="s">
        <v>36</v>
      </c>
      <c r="C53" s="42"/>
      <c r="D53" s="28">
        <f>D52/C52</f>
        <v>9.5640314988341916E-3</v>
      </c>
      <c r="E53" s="28">
        <f>E52/C52</f>
        <v>0.99043596850116578</v>
      </c>
      <c r="F53" s="30"/>
      <c r="G53" s="30"/>
      <c r="H53" s="30"/>
      <c r="I53" s="30"/>
      <c r="J53" s="30"/>
      <c r="K53" s="30"/>
      <c r="L53" s="32"/>
      <c r="M53" s="30"/>
      <c r="N53" s="43"/>
      <c r="O53" s="534"/>
      <c r="P53" s="34"/>
      <c r="Q53" s="34"/>
    </row>
    <row r="54" spans="1:18" ht="18.75" customHeight="1" thickTop="1" x14ac:dyDescent="0.2">
      <c r="M54" s="45"/>
      <c r="N54" s="46"/>
      <c r="O54" s="535"/>
    </row>
    <row r="55" spans="1:18" s="48" customFormat="1" ht="15" customHeight="1" thickBot="1" x14ac:dyDescent="0.25">
      <c r="B55" s="49" t="s">
        <v>68</v>
      </c>
      <c r="C55" s="52">
        <f t="shared" ref="C55:K55" si="42">C21+C52</f>
        <v>1750813</v>
      </c>
      <c r="D55" s="334">
        <f t="shared" si="42"/>
        <v>14075</v>
      </c>
      <c r="E55" s="23">
        <f t="shared" si="42"/>
        <v>1736738</v>
      </c>
      <c r="F55" s="52">
        <f t="shared" si="42"/>
        <v>1409216</v>
      </c>
      <c r="G55" s="52">
        <f t="shared" si="42"/>
        <v>316360</v>
      </c>
      <c r="H55" s="52">
        <f t="shared" si="42"/>
        <v>1725576</v>
      </c>
      <c r="I55" s="52">
        <f t="shared" si="42"/>
        <v>33012414.429999992</v>
      </c>
      <c r="J55" s="52">
        <f t="shared" si="42"/>
        <v>990724.39999999991</v>
      </c>
      <c r="K55" s="52">
        <f t="shared" si="42"/>
        <v>34003138.829999998</v>
      </c>
      <c r="L55" s="471">
        <f>F55/(E55)</f>
        <v>0.81141542362751318</v>
      </c>
      <c r="M55" s="53">
        <f>I55/F55</f>
        <v>23.426085447511234</v>
      </c>
      <c r="N55" s="212">
        <f>M55/129.2394</f>
        <v>0.18126117459158148</v>
      </c>
      <c r="O55" s="536">
        <f>O52+O21</f>
        <v>196894.07715384613</v>
      </c>
      <c r="P55" s="477">
        <f>(C55/O55)*12</f>
        <v>106.70588117073585</v>
      </c>
      <c r="Q55" s="473">
        <f>(K55*12/O55)/129.2394</f>
        <v>16.035136801182318</v>
      </c>
      <c r="R55" s="556"/>
    </row>
    <row r="56" spans="1:18" ht="16.5" customHeight="1" thickTop="1" thickBot="1" x14ac:dyDescent="0.25">
      <c r="B56" s="26" t="s">
        <v>36</v>
      </c>
      <c r="C56" s="546"/>
      <c r="D56" s="547">
        <f>D55/C55</f>
        <v>8.0391223962810419E-3</v>
      </c>
      <c r="E56" s="547">
        <f>E55/C55</f>
        <v>0.99196087760371898</v>
      </c>
      <c r="G56" s="56"/>
      <c r="N56" s="46"/>
    </row>
    <row r="57" spans="1:18" ht="16.5" customHeight="1" thickTop="1" x14ac:dyDescent="0.2">
      <c r="G57" s="57"/>
      <c r="H57" s="45"/>
      <c r="O57" s="538"/>
    </row>
    <row r="58" spans="1:18" s="16" customFormat="1" ht="15" customHeight="1" x14ac:dyDescent="0.25">
      <c r="B58" s="48" t="s">
        <v>69</v>
      </c>
      <c r="C58" s="47"/>
      <c r="D58" s="47"/>
      <c r="E58" s="47"/>
      <c r="F58" s="47"/>
      <c r="G58" s="47"/>
      <c r="H58" s="47"/>
      <c r="I58" s="47"/>
      <c r="J58" s="47"/>
      <c r="K58" s="47"/>
      <c r="L58" s="38"/>
      <c r="M58" s="60"/>
      <c r="N58"/>
      <c r="O58" s="539"/>
      <c r="P58"/>
      <c r="Q58" s="61"/>
    </row>
    <row r="59" spans="1:18" ht="16.5" customHeight="1" x14ac:dyDescent="0.25">
      <c r="A59" s="16">
        <v>1</v>
      </c>
      <c r="B59" s="16" t="s">
        <v>70</v>
      </c>
      <c r="E59" s="16"/>
      <c r="N59"/>
      <c r="O59" s="540"/>
      <c r="P59"/>
      <c r="Q59" s="62"/>
    </row>
    <row r="60" spans="1:18" ht="16.5" customHeight="1" x14ac:dyDescent="0.25">
      <c r="A60" s="16">
        <v>2</v>
      </c>
      <c r="B60" s="16" t="s">
        <v>152</v>
      </c>
      <c r="C60" s="47"/>
      <c r="E60" s="16"/>
      <c r="N60"/>
      <c r="O60" s="540"/>
      <c r="P60"/>
    </row>
    <row r="61" spans="1:18" ht="16.5" customHeight="1" x14ac:dyDescent="0.2">
      <c r="A61" s="16">
        <v>3</v>
      </c>
      <c r="B61" s="16" t="s">
        <v>153</v>
      </c>
      <c r="C61" s="47"/>
      <c r="E61" s="16"/>
    </row>
    <row r="62" spans="1:18" ht="16.5" customHeight="1" x14ac:dyDescent="0.2">
      <c r="A62" s="16">
        <v>4</v>
      </c>
      <c r="B62" s="16" t="s">
        <v>154</v>
      </c>
      <c r="C62" s="47"/>
      <c r="E62" s="16"/>
    </row>
    <row r="63" spans="1:18" ht="16.5" customHeight="1" x14ac:dyDescent="0.2">
      <c r="A63" s="16">
        <v>5</v>
      </c>
      <c r="B63" s="16" t="s">
        <v>155</v>
      </c>
      <c r="C63" s="47"/>
      <c r="E63" s="16"/>
    </row>
    <row r="64" spans="1:18" ht="16.5" customHeight="1" x14ac:dyDescent="0.2">
      <c r="A64" s="16">
        <v>6</v>
      </c>
      <c r="B64" s="16" t="s">
        <v>135</v>
      </c>
      <c r="C64" s="47"/>
      <c r="E64" s="16"/>
    </row>
    <row r="65" spans="1:3" ht="16.5" customHeight="1" x14ac:dyDescent="0.2">
      <c r="A65" s="1">
        <v>7</v>
      </c>
      <c r="B65" s="16" t="s">
        <v>156</v>
      </c>
    </row>
    <row r="66" spans="1:3" ht="16.5" customHeight="1" x14ac:dyDescent="0.2"/>
    <row r="67" spans="1:3" ht="16.5" customHeight="1" x14ac:dyDescent="0.2">
      <c r="B67" s="216" t="s">
        <v>108</v>
      </c>
      <c r="C67" s="217" t="s">
        <v>93</v>
      </c>
    </row>
    <row r="68" spans="1:3" ht="16.5" customHeight="1" x14ac:dyDescent="0.2">
      <c r="B68" s="10" t="s">
        <v>103</v>
      </c>
      <c r="C68" s="14">
        <f>O21</f>
        <v>89827.98484615385</v>
      </c>
    </row>
    <row r="69" spans="1:3" ht="16.5" customHeight="1" x14ac:dyDescent="0.2">
      <c r="B69" s="10" t="s">
        <v>106</v>
      </c>
      <c r="C69" s="14">
        <f>O52</f>
        <v>107066.09230769228</v>
      </c>
    </row>
    <row r="70" spans="1:3" ht="16.5" customHeight="1" x14ac:dyDescent="0.2">
      <c r="B70" s="188" t="s">
        <v>67</v>
      </c>
      <c r="C70" s="213">
        <v>1479.876923076923</v>
      </c>
    </row>
    <row r="71" spans="1:3" ht="16.5" customHeight="1" thickBot="1" x14ac:dyDescent="0.25">
      <c r="B71" s="189" t="s">
        <v>101</v>
      </c>
      <c r="C71" s="215">
        <f>SUM(C68:C70)</f>
        <v>198373.95407692305</v>
      </c>
    </row>
    <row r="72" spans="1:3" ht="16.5" customHeight="1" thickTop="1" x14ac:dyDescent="0.2"/>
    <row r="73" spans="1:3" ht="16.5" customHeight="1" x14ac:dyDescent="0.2"/>
    <row r="74" spans="1:3" ht="16.5" customHeight="1" x14ac:dyDescent="0.2"/>
    <row r="75" spans="1:3" ht="16.5" customHeight="1" x14ac:dyDescent="0.2"/>
    <row r="76" spans="1:3" ht="16.5" customHeight="1" x14ac:dyDescent="0.2"/>
    <row r="77" spans="1:3" ht="16.5" customHeight="1" x14ac:dyDescent="0.2"/>
    <row r="78" spans="1:3" ht="16.5" customHeight="1" x14ac:dyDescent="0.2"/>
    <row r="79" spans="1:3" ht="16.5" customHeight="1" x14ac:dyDescent="0.2"/>
    <row r="80" spans="1:3" ht="16.5" customHeight="1" x14ac:dyDescent="0.2"/>
    <row r="81" ht="16.5" customHeight="1" x14ac:dyDescent="0.2"/>
    <row r="82" ht="16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</sheetData>
  <sortState ref="A1:B47">
    <sortCondition ref="A1"/>
  </sortState>
  <mergeCells count="5">
    <mergeCell ref="B1:Q1"/>
    <mergeCell ref="B2:Q2"/>
    <mergeCell ref="B3:Q3"/>
    <mergeCell ref="B5:Q5"/>
    <mergeCell ref="B23:Q23"/>
  </mergeCells>
  <conditionalFormatting sqref="P6:P20">
    <cfRule type="cellIs" dxfId="25" priority="8" operator="between">
      <formula>0</formula>
      <formula>140</formula>
    </cfRule>
  </conditionalFormatting>
  <conditionalFormatting sqref="P24:P51">
    <cfRule type="cellIs" dxfId="24" priority="2" operator="between">
      <formula>0</formula>
      <formula>79</formula>
    </cfRule>
  </conditionalFormatting>
  <conditionalFormatting sqref="P52">
    <cfRule type="cellIs" dxfId="23" priority="7" operator="between">
      <formula>0</formula>
      <formula>79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R116"/>
  <sheetViews>
    <sheetView workbookViewId="0">
      <pane ySplit="4" topLeftCell="A47" activePane="bottomLeft" state="frozen"/>
      <selection pane="bottomLeft" activeCell="B25" sqref="B25:C52"/>
    </sheetView>
  </sheetViews>
  <sheetFormatPr defaultColWidth="9.140625" defaultRowHeight="12" x14ac:dyDescent="0.2"/>
  <cols>
    <col min="1" max="1" width="1.42578125" style="1" customWidth="1"/>
    <col min="2" max="2" width="30.28515625" style="1" customWidth="1"/>
    <col min="3" max="3" width="10.5703125" style="44" customWidth="1"/>
    <col min="4" max="4" width="8.28515625" style="1" customWidth="1"/>
    <col min="5" max="5" width="10.7109375" style="1" customWidth="1"/>
    <col min="6" max="6" width="9.7109375" style="44" customWidth="1"/>
    <col min="7" max="7" width="9" style="1" customWidth="1"/>
    <col min="8" max="8" width="10.140625" style="1" customWidth="1"/>
    <col min="9" max="9" width="11.5703125" style="45" customWidth="1"/>
    <col min="10" max="10" width="10.28515625" style="45" customWidth="1"/>
    <col min="11" max="11" width="11.42578125" style="45" customWidth="1"/>
    <col min="12" max="12" width="8.140625" style="1" customWidth="1"/>
    <col min="13" max="13" width="10.140625" style="1" customWidth="1"/>
    <col min="14" max="14" width="10.42578125" style="1" customWidth="1"/>
    <col min="15" max="15" width="9.42578125" style="537" customWidth="1"/>
    <col min="16" max="16" width="9.42578125" style="47" customWidth="1"/>
    <col min="17" max="17" width="8.5703125" style="16" customWidth="1"/>
    <col min="18" max="18" width="11.5703125" style="1" customWidth="1"/>
    <col min="19" max="16384" width="9.140625" style="1"/>
  </cols>
  <sheetData>
    <row r="1" spans="2:17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7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7" ht="15" x14ac:dyDescent="0.25">
      <c r="B3" s="622">
        <v>45900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7" ht="34.5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532" t="s">
        <v>151</v>
      </c>
      <c r="P4" s="455" t="s">
        <v>16</v>
      </c>
      <c r="Q4" s="456" t="s">
        <v>17</v>
      </c>
    </row>
    <row r="5" spans="2:17" ht="16.5" customHeight="1" x14ac:dyDescent="0.25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7" s="16" customFormat="1" ht="15.75" customHeight="1" x14ac:dyDescent="0.2">
      <c r="B6" s="10" t="s">
        <v>27</v>
      </c>
      <c r="C6" s="296">
        <v>108473</v>
      </c>
      <c r="D6" s="388">
        <v>320</v>
      </c>
      <c r="E6" s="190">
        <f t="shared" ref="E6:E21" si="0">C6-D6</f>
        <v>108153</v>
      </c>
      <c r="F6" s="352">
        <v>94242</v>
      </c>
      <c r="G6" s="191">
        <v>2620</v>
      </c>
      <c r="H6" s="190">
        <f t="shared" ref="H6:H21" si="1">F6+G6</f>
        <v>96862</v>
      </c>
      <c r="I6" s="352">
        <v>1567898.5699999998</v>
      </c>
      <c r="J6" s="191">
        <v>7905.17</v>
      </c>
      <c r="K6" s="198">
        <f t="shared" ref="K6:K21" si="2">I6+J6</f>
        <v>1575803.7399999998</v>
      </c>
      <c r="L6" s="11">
        <f t="shared" ref="L6:L21" si="3">F6/E6</f>
        <v>0.87137666084158549</v>
      </c>
      <c r="M6" s="12">
        <f t="shared" ref="M6:M21" si="4">I6/F6</f>
        <v>16.636940748286325</v>
      </c>
      <c r="N6" s="13">
        <f>M6/129.2424</f>
        <v>0.12872664658259461</v>
      </c>
      <c r="O6" s="550">
        <v>8560</v>
      </c>
      <c r="P6" s="14">
        <f t="shared" ref="P6:P20" si="5">C6/O6*12</f>
        <v>152.06495327102803</v>
      </c>
      <c r="Q6" s="15">
        <f>(K6*12/O6)/129.2424</f>
        <v>17.092460860765517</v>
      </c>
    </row>
    <row r="7" spans="2:17" s="16" customFormat="1" ht="15.75" customHeight="1" x14ac:dyDescent="0.2">
      <c r="B7" s="10" t="s">
        <v>34</v>
      </c>
      <c r="C7" s="296">
        <v>64202</v>
      </c>
      <c r="D7" s="388">
        <v>205</v>
      </c>
      <c r="E7" s="190">
        <f t="shared" si="0"/>
        <v>63997</v>
      </c>
      <c r="F7" s="352">
        <v>59422</v>
      </c>
      <c r="G7" s="191">
        <v>600</v>
      </c>
      <c r="H7" s="190">
        <f t="shared" si="1"/>
        <v>60022</v>
      </c>
      <c r="I7" s="352">
        <v>936968.28</v>
      </c>
      <c r="J7" s="191">
        <v>1810.31</v>
      </c>
      <c r="K7" s="198">
        <f t="shared" si="2"/>
        <v>938778.59000000008</v>
      </c>
      <c r="L7" s="11">
        <f t="shared" si="3"/>
        <v>0.92851227401284431</v>
      </c>
      <c r="M7" s="12">
        <f t="shared" si="4"/>
        <v>15.768036754064152</v>
      </c>
      <c r="N7" s="13">
        <f t="shared" ref="N7:N21" si="6">M7/129.2424</f>
        <v>0.12200358979765272</v>
      </c>
      <c r="O7" s="550">
        <v>5334</v>
      </c>
      <c r="P7" s="14">
        <f t="shared" si="5"/>
        <v>144.43644544431947</v>
      </c>
      <c r="Q7" s="15">
        <f t="shared" ref="Q7:Q20" si="7">(K7*12/O7)/129.2424</f>
        <v>16.341292246363214</v>
      </c>
    </row>
    <row r="8" spans="2:17" s="16" customFormat="1" ht="15.75" customHeight="1" x14ac:dyDescent="0.2">
      <c r="B8" s="10" t="s">
        <v>32</v>
      </c>
      <c r="C8" s="296">
        <v>35026</v>
      </c>
      <c r="D8" s="388">
        <v>275</v>
      </c>
      <c r="E8" s="190">
        <f t="shared" si="0"/>
        <v>34751</v>
      </c>
      <c r="F8" s="352">
        <v>30112</v>
      </c>
      <c r="G8" s="191">
        <v>880</v>
      </c>
      <c r="H8" s="190">
        <f t="shared" si="1"/>
        <v>30992</v>
      </c>
      <c r="I8" s="352">
        <v>778695.53</v>
      </c>
      <c r="J8" s="191">
        <v>2655.17</v>
      </c>
      <c r="K8" s="198">
        <f t="shared" si="2"/>
        <v>781350.70000000007</v>
      </c>
      <c r="L8" s="11">
        <f t="shared" si="3"/>
        <v>0.86650743863485946</v>
      </c>
      <c r="M8" s="12">
        <f t="shared" si="4"/>
        <v>25.859973764612114</v>
      </c>
      <c r="N8" s="13">
        <f t="shared" si="6"/>
        <v>0.20008893184134707</v>
      </c>
      <c r="O8" s="550">
        <v>4962.4615384615381</v>
      </c>
      <c r="P8" s="14">
        <f t="shared" si="5"/>
        <v>84.698288690476204</v>
      </c>
      <c r="Q8" s="15">
        <f t="shared" si="7"/>
        <v>14.619249688357838</v>
      </c>
    </row>
    <row r="9" spans="2:17" s="16" customFormat="1" ht="15.75" customHeight="1" x14ac:dyDescent="0.2">
      <c r="B9" s="10" t="s">
        <v>19</v>
      </c>
      <c r="C9" s="296">
        <v>29393</v>
      </c>
      <c r="D9" s="388">
        <v>292</v>
      </c>
      <c r="E9" s="190">
        <f t="shared" si="0"/>
        <v>29101</v>
      </c>
      <c r="F9" s="352">
        <v>31405</v>
      </c>
      <c r="G9" s="191">
        <v>720</v>
      </c>
      <c r="H9" s="190">
        <f t="shared" si="1"/>
        <v>32125</v>
      </c>
      <c r="I9" s="352">
        <v>501701.44</v>
      </c>
      <c r="J9" s="191">
        <v>2172.41</v>
      </c>
      <c r="K9" s="198">
        <f t="shared" si="2"/>
        <v>503873.85</v>
      </c>
      <c r="L9" s="11">
        <f t="shared" si="3"/>
        <v>1.0791725370262191</v>
      </c>
      <c r="M9" s="12">
        <f t="shared" si="4"/>
        <v>15.975209043145997</v>
      </c>
      <c r="N9" s="13">
        <f t="shared" si="6"/>
        <v>0.12360656443354499</v>
      </c>
      <c r="O9" s="550">
        <v>3349.6615384615388</v>
      </c>
      <c r="P9" s="14">
        <f t="shared" si="5"/>
        <v>105.29899691358023</v>
      </c>
      <c r="Q9" s="15">
        <f t="shared" si="7"/>
        <v>13.966806785535871</v>
      </c>
    </row>
    <row r="10" spans="2:17" s="16" customFormat="1" ht="15.75" customHeight="1" x14ac:dyDescent="0.2">
      <c r="B10" s="10" t="s">
        <v>20</v>
      </c>
      <c r="C10" s="296">
        <v>111985</v>
      </c>
      <c r="D10" s="388">
        <v>353</v>
      </c>
      <c r="E10" s="190">
        <f t="shared" si="0"/>
        <v>111632</v>
      </c>
      <c r="F10" s="352">
        <v>100962</v>
      </c>
      <c r="G10" s="191">
        <v>1680</v>
      </c>
      <c r="H10" s="190">
        <f t="shared" si="1"/>
        <v>102642</v>
      </c>
      <c r="I10" s="352">
        <v>1379298.27</v>
      </c>
      <c r="J10" s="191">
        <v>5068.9399999999996</v>
      </c>
      <c r="K10" s="198">
        <f t="shared" si="2"/>
        <v>1384367.21</v>
      </c>
      <c r="L10" s="11">
        <f t="shared" si="3"/>
        <v>0.90441808800343992</v>
      </c>
      <c r="M10" s="12">
        <f t="shared" si="4"/>
        <v>13.661558507161111</v>
      </c>
      <c r="N10" s="13">
        <f t="shared" si="6"/>
        <v>0.10570492738575817</v>
      </c>
      <c r="O10" s="550">
        <v>10545</v>
      </c>
      <c r="P10" s="14">
        <f t="shared" si="5"/>
        <v>127.4366998577525</v>
      </c>
      <c r="Q10" s="15">
        <f t="shared" si="7"/>
        <v>12.189361353468163</v>
      </c>
    </row>
    <row r="11" spans="2:17" s="16" customFormat="1" ht="15.75" customHeight="1" x14ac:dyDescent="0.2">
      <c r="B11" s="10" t="s">
        <v>30</v>
      </c>
      <c r="C11" s="296">
        <v>95693</v>
      </c>
      <c r="D11" s="388">
        <v>308</v>
      </c>
      <c r="E11" s="190">
        <f t="shared" si="0"/>
        <v>95385</v>
      </c>
      <c r="F11" s="352">
        <v>83497</v>
      </c>
      <c r="G11" s="191">
        <v>200</v>
      </c>
      <c r="H11" s="190">
        <f t="shared" si="1"/>
        <v>83697</v>
      </c>
      <c r="I11" s="352">
        <v>1250047.8</v>
      </c>
      <c r="J11" s="191">
        <v>603.44000000000005</v>
      </c>
      <c r="K11" s="198">
        <f t="shared" si="2"/>
        <v>1250651.24</v>
      </c>
      <c r="L11" s="11">
        <f t="shared" si="3"/>
        <v>0.87536824448288519</v>
      </c>
      <c r="M11" s="12">
        <f t="shared" si="4"/>
        <v>14.971170221684613</v>
      </c>
      <c r="N11" s="13">
        <f t="shared" si="6"/>
        <v>0.11583791558872794</v>
      </c>
      <c r="O11" s="550">
        <v>10330.231</v>
      </c>
      <c r="P11" s="14">
        <f t="shared" si="5"/>
        <v>111.16072815796664</v>
      </c>
      <c r="Q11" s="15">
        <f t="shared" si="7"/>
        <v>11.240934488943129</v>
      </c>
    </row>
    <row r="12" spans="2:17" s="16" customFormat="1" ht="15.75" customHeight="1" x14ac:dyDescent="0.2">
      <c r="B12" s="10" t="s">
        <v>21</v>
      </c>
      <c r="C12" s="296">
        <v>35711</v>
      </c>
      <c r="D12" s="388">
        <v>261</v>
      </c>
      <c r="E12" s="190">
        <f t="shared" si="0"/>
        <v>35450</v>
      </c>
      <c r="F12" s="352">
        <v>34840</v>
      </c>
      <c r="G12" s="191">
        <v>500</v>
      </c>
      <c r="H12" s="190">
        <f t="shared" si="1"/>
        <v>35340</v>
      </c>
      <c r="I12" s="352">
        <v>650930.62</v>
      </c>
      <c r="J12" s="191">
        <v>1508.57</v>
      </c>
      <c r="K12" s="198">
        <f t="shared" si="2"/>
        <v>652439.18999999994</v>
      </c>
      <c r="L12" s="11">
        <f t="shared" si="3"/>
        <v>0.98279266572637514</v>
      </c>
      <c r="M12" s="12">
        <f t="shared" si="4"/>
        <v>18.68342766934558</v>
      </c>
      <c r="N12" s="13">
        <f t="shared" si="6"/>
        <v>0.14456113217756386</v>
      </c>
      <c r="O12" s="551">
        <v>5768.8615384615377</v>
      </c>
      <c r="P12" s="14">
        <f t="shared" si="5"/>
        <v>74.283634152585776</v>
      </c>
      <c r="Q12" s="15">
        <f t="shared" si="7"/>
        <v>10.500891143029701</v>
      </c>
    </row>
    <row r="13" spans="2:17" s="16" customFormat="1" ht="15.75" customHeight="1" x14ac:dyDescent="0.2">
      <c r="B13" s="10" t="s">
        <v>26</v>
      </c>
      <c r="C13" s="296">
        <v>23613</v>
      </c>
      <c r="D13" s="388">
        <v>241</v>
      </c>
      <c r="E13" s="190">
        <f t="shared" si="0"/>
        <v>23372</v>
      </c>
      <c r="F13" s="352">
        <v>17170</v>
      </c>
      <c r="G13" s="191">
        <v>2540</v>
      </c>
      <c r="H13" s="190">
        <f t="shared" si="1"/>
        <v>19710</v>
      </c>
      <c r="I13" s="352">
        <v>253659.56</v>
      </c>
      <c r="J13" s="191">
        <v>7663.78</v>
      </c>
      <c r="K13" s="198">
        <f t="shared" si="2"/>
        <v>261323.34</v>
      </c>
      <c r="L13" s="11">
        <f t="shared" si="3"/>
        <v>0.73463973985966113</v>
      </c>
      <c r="M13" s="12">
        <f t="shared" si="4"/>
        <v>14.773416423995341</v>
      </c>
      <c r="N13" s="13">
        <f t="shared" si="6"/>
        <v>0.11430781557751435</v>
      </c>
      <c r="O13" s="550">
        <v>2419.1999999999998</v>
      </c>
      <c r="P13" s="14">
        <f t="shared" si="5"/>
        <v>117.1279761904762</v>
      </c>
      <c r="Q13" s="15">
        <f t="shared" si="7"/>
        <v>10.029577957314908</v>
      </c>
    </row>
    <row r="14" spans="2:17" s="16" customFormat="1" ht="15.75" customHeight="1" x14ac:dyDescent="0.2">
      <c r="B14" s="10" t="s">
        <v>24</v>
      </c>
      <c r="C14" s="296">
        <v>44045</v>
      </c>
      <c r="D14" s="388">
        <v>231</v>
      </c>
      <c r="E14" s="190">
        <f t="shared" si="0"/>
        <v>43814</v>
      </c>
      <c r="F14" s="352">
        <v>38446</v>
      </c>
      <c r="G14" s="191">
        <v>1620</v>
      </c>
      <c r="H14" s="190">
        <f t="shared" si="1"/>
        <v>40066</v>
      </c>
      <c r="I14" s="352">
        <v>583378.17999999993</v>
      </c>
      <c r="J14" s="191">
        <v>4887.91</v>
      </c>
      <c r="K14" s="198">
        <f t="shared" si="2"/>
        <v>588266.09</v>
      </c>
      <c r="L14" s="11">
        <f t="shared" si="3"/>
        <v>0.87748208335235311</v>
      </c>
      <c r="M14" s="12">
        <f t="shared" si="4"/>
        <v>15.173962961036256</v>
      </c>
      <c r="N14" s="13">
        <f t="shared" si="6"/>
        <v>0.11740700390147704</v>
      </c>
      <c r="O14" s="550">
        <v>5492.6769230769232</v>
      </c>
      <c r="P14" s="14">
        <f t="shared" si="5"/>
        <v>96.226304114009139</v>
      </c>
      <c r="Q14" s="15">
        <f t="shared" si="7"/>
        <v>9.9441116491544452</v>
      </c>
    </row>
    <row r="15" spans="2:17" s="16" customFormat="1" ht="15.75" customHeight="1" x14ac:dyDescent="0.2">
      <c r="B15" s="10" t="s">
        <v>22</v>
      </c>
      <c r="C15" s="296">
        <v>32238</v>
      </c>
      <c r="D15" s="388">
        <v>217</v>
      </c>
      <c r="E15" s="190">
        <f t="shared" si="0"/>
        <v>32021</v>
      </c>
      <c r="F15" s="352">
        <v>31832</v>
      </c>
      <c r="G15" s="191">
        <v>900</v>
      </c>
      <c r="H15" s="190">
        <f t="shared" si="1"/>
        <v>32732</v>
      </c>
      <c r="I15" s="352">
        <v>524597.4</v>
      </c>
      <c r="J15" s="191">
        <v>2715.49</v>
      </c>
      <c r="K15" s="198">
        <f t="shared" si="2"/>
        <v>527312.89</v>
      </c>
      <c r="L15" s="11">
        <f t="shared" si="3"/>
        <v>0.99409762343462105</v>
      </c>
      <c r="M15" s="12">
        <f t="shared" si="4"/>
        <v>16.48018974616738</v>
      </c>
      <c r="N15" s="13">
        <f t="shared" si="6"/>
        <v>0.12751380155558376</v>
      </c>
      <c r="O15" s="550">
        <v>4962.4615384615381</v>
      </c>
      <c r="P15" s="14">
        <f t="shared" si="5"/>
        <v>77.956473214285722</v>
      </c>
      <c r="Q15" s="15">
        <f t="shared" si="7"/>
        <v>9.8661443610398898</v>
      </c>
    </row>
    <row r="16" spans="2:17" s="16" customFormat="1" ht="15.75" customHeight="1" x14ac:dyDescent="0.2">
      <c r="B16" s="10" t="s">
        <v>29</v>
      </c>
      <c r="C16" s="296">
        <v>24215</v>
      </c>
      <c r="D16" s="388">
        <v>208</v>
      </c>
      <c r="E16" s="190">
        <f t="shared" si="0"/>
        <v>24007</v>
      </c>
      <c r="F16" s="352">
        <v>15970</v>
      </c>
      <c r="G16" s="191">
        <v>40</v>
      </c>
      <c r="H16" s="190">
        <f t="shared" si="1"/>
        <v>16010</v>
      </c>
      <c r="I16" s="352">
        <v>233820.78</v>
      </c>
      <c r="J16" s="191">
        <v>120.68</v>
      </c>
      <c r="K16" s="198">
        <f t="shared" si="2"/>
        <v>233941.46</v>
      </c>
      <c r="L16" s="11">
        <f t="shared" si="3"/>
        <v>0.66522264339567627</v>
      </c>
      <c r="M16" s="12">
        <f t="shared" si="4"/>
        <v>14.641251095804634</v>
      </c>
      <c r="N16" s="13">
        <f t="shared" si="6"/>
        <v>0.11328519971622807</v>
      </c>
      <c r="O16" s="550">
        <v>2233</v>
      </c>
      <c r="P16" s="14">
        <f t="shared" si="5"/>
        <v>130.12987012987014</v>
      </c>
      <c r="Q16" s="15">
        <f t="shared" si="7"/>
        <v>9.7273536342000479</v>
      </c>
    </row>
    <row r="17" spans="2:18" s="16" customFormat="1" ht="15.75" customHeight="1" x14ac:dyDescent="0.2">
      <c r="B17" s="10" t="s">
        <v>25</v>
      </c>
      <c r="C17" s="296">
        <v>49903</v>
      </c>
      <c r="D17" s="388">
        <v>267</v>
      </c>
      <c r="E17" s="190">
        <f t="shared" si="0"/>
        <v>49636</v>
      </c>
      <c r="F17" s="352">
        <v>49298</v>
      </c>
      <c r="G17" s="191">
        <v>340</v>
      </c>
      <c r="H17" s="190">
        <f t="shared" si="1"/>
        <v>49638</v>
      </c>
      <c r="I17" s="352">
        <v>842954.98</v>
      </c>
      <c r="J17" s="191">
        <v>1025.8499999999999</v>
      </c>
      <c r="K17" s="198">
        <f t="shared" si="2"/>
        <v>843980.83</v>
      </c>
      <c r="L17" s="11">
        <f t="shared" si="3"/>
        <v>0.99319042630348942</v>
      </c>
      <c r="M17" s="12">
        <f t="shared" si="4"/>
        <v>17.099171974522292</v>
      </c>
      <c r="N17" s="13">
        <f t="shared" si="6"/>
        <v>0.1323031139511669</v>
      </c>
      <c r="O17" s="550">
        <v>8067.6</v>
      </c>
      <c r="P17" s="14">
        <f t="shared" si="5"/>
        <v>74.22727948832366</v>
      </c>
      <c r="Q17" s="15">
        <f t="shared" si="7"/>
        <v>9.7132475415702331</v>
      </c>
    </row>
    <row r="18" spans="2:18" s="16" customFormat="1" ht="15.75" customHeight="1" x14ac:dyDescent="0.2">
      <c r="B18" s="10" t="s">
        <v>23</v>
      </c>
      <c r="C18" s="296">
        <v>30124</v>
      </c>
      <c r="D18" s="388">
        <v>228</v>
      </c>
      <c r="E18" s="190">
        <f t="shared" si="0"/>
        <v>29896</v>
      </c>
      <c r="F18" s="352">
        <v>25952</v>
      </c>
      <c r="G18" s="191">
        <v>820</v>
      </c>
      <c r="H18" s="190">
        <f t="shared" si="1"/>
        <v>26772</v>
      </c>
      <c r="I18" s="352">
        <v>422801.98</v>
      </c>
      <c r="J18" s="191">
        <v>2474.13</v>
      </c>
      <c r="K18" s="198">
        <f t="shared" si="2"/>
        <v>425276.11</v>
      </c>
      <c r="L18" s="11">
        <f t="shared" si="3"/>
        <v>0.86807599678886804</v>
      </c>
      <c r="M18" s="12">
        <f t="shared" si="4"/>
        <v>16.291691584463624</v>
      </c>
      <c r="N18" s="13">
        <f t="shared" si="6"/>
        <v>0.12605531609180598</v>
      </c>
      <c r="O18" s="550">
        <v>5148.5538461538463</v>
      </c>
      <c r="P18" s="14">
        <f t="shared" si="5"/>
        <v>70.211560527825583</v>
      </c>
      <c r="Q18" s="15">
        <f t="shared" si="7"/>
        <v>7.6694100725259648</v>
      </c>
    </row>
    <row r="19" spans="2:18" s="16" customFormat="1" ht="15.75" customHeight="1" x14ac:dyDescent="0.2">
      <c r="B19" s="10" t="s">
        <v>28</v>
      </c>
      <c r="C19" s="296">
        <v>67995</v>
      </c>
      <c r="D19" s="388">
        <v>314</v>
      </c>
      <c r="E19" s="190">
        <f t="shared" si="0"/>
        <v>67681</v>
      </c>
      <c r="F19" s="352">
        <v>45962</v>
      </c>
      <c r="G19" s="191">
        <v>12000</v>
      </c>
      <c r="H19" s="190">
        <f t="shared" si="1"/>
        <v>57962</v>
      </c>
      <c r="I19" s="352">
        <v>693027.21</v>
      </c>
      <c r="J19" s="191">
        <v>36206.910000000003</v>
      </c>
      <c r="K19" s="198">
        <f t="shared" si="2"/>
        <v>729234.12</v>
      </c>
      <c r="L19" s="11">
        <f t="shared" si="3"/>
        <v>0.67909753106484838</v>
      </c>
      <c r="M19" s="12">
        <f t="shared" si="4"/>
        <v>15.078264870980375</v>
      </c>
      <c r="N19" s="13">
        <f t="shared" si="6"/>
        <v>0.11666654960740727</v>
      </c>
      <c r="O19" s="550">
        <v>10048.984615384614</v>
      </c>
      <c r="P19" s="14">
        <f t="shared" si="5"/>
        <v>81.196263227513242</v>
      </c>
      <c r="Q19" s="15">
        <f t="shared" si="7"/>
        <v>6.7378452334582573</v>
      </c>
    </row>
    <row r="20" spans="2:18" s="16" customFormat="1" ht="15.75" customHeight="1" x14ac:dyDescent="0.2">
      <c r="B20" s="10" t="s">
        <v>33</v>
      </c>
      <c r="C20" s="296">
        <v>11028</v>
      </c>
      <c r="D20" s="388">
        <v>175</v>
      </c>
      <c r="E20" s="190">
        <f t="shared" si="0"/>
        <v>10853</v>
      </c>
      <c r="F20" s="352">
        <v>9298</v>
      </c>
      <c r="G20" s="191">
        <v>340</v>
      </c>
      <c r="H20" s="190">
        <f t="shared" si="1"/>
        <v>9638</v>
      </c>
      <c r="I20" s="352">
        <v>125287.08</v>
      </c>
      <c r="J20" s="191">
        <v>1025.8499999999999</v>
      </c>
      <c r="K20" s="198">
        <f t="shared" si="2"/>
        <v>126312.93000000001</v>
      </c>
      <c r="L20" s="11">
        <f t="shared" si="3"/>
        <v>0.85672164378512849</v>
      </c>
      <c r="M20" s="12">
        <f t="shared" si="4"/>
        <v>13.47462680146268</v>
      </c>
      <c r="N20" s="13">
        <f t="shared" si="6"/>
        <v>0.10425856221690931</v>
      </c>
      <c r="O20" s="550">
        <v>2605.292307692308</v>
      </c>
      <c r="P20" s="14">
        <f t="shared" si="5"/>
        <v>50.795068027210874</v>
      </c>
      <c r="Q20" s="15">
        <f t="shared" si="7"/>
        <v>4.501607067614886</v>
      </c>
      <c r="R20" s="16" t="s">
        <v>118</v>
      </c>
    </row>
    <row r="21" spans="2:18" s="16" customFormat="1" ht="15.75" customHeight="1" x14ac:dyDescent="0.2">
      <c r="B21" s="390" t="s">
        <v>157</v>
      </c>
      <c r="C21" s="576">
        <v>535</v>
      </c>
      <c r="D21" s="17"/>
      <c r="E21" s="193">
        <f t="shared" si="0"/>
        <v>535</v>
      </c>
      <c r="F21" s="355">
        <v>60</v>
      </c>
      <c r="G21" s="356">
        <v>0</v>
      </c>
      <c r="H21" s="193">
        <f t="shared" si="1"/>
        <v>60</v>
      </c>
      <c r="I21" s="355">
        <v>898.47</v>
      </c>
      <c r="J21" s="356">
        <v>0</v>
      </c>
      <c r="K21" s="205">
        <f t="shared" si="2"/>
        <v>898.47</v>
      </c>
      <c r="L21" s="358">
        <f t="shared" si="3"/>
        <v>0.11214953271028037</v>
      </c>
      <c r="M21" s="18">
        <f t="shared" si="4"/>
        <v>14.974500000000001</v>
      </c>
      <c r="N21" s="13">
        <f t="shared" si="6"/>
        <v>0.11586367941171009</v>
      </c>
      <c r="O21" s="552"/>
      <c r="P21" s="19"/>
      <c r="Q21" s="204"/>
    </row>
    <row r="22" spans="2:18" ht="15.75" customHeight="1" thickBot="1" x14ac:dyDescent="0.25">
      <c r="B22" s="577" t="s">
        <v>35</v>
      </c>
      <c r="C22" s="578">
        <f t="shared" ref="C22:E22" si="8">SUM(C6:C21)</f>
        <v>764179</v>
      </c>
      <c r="D22" s="578">
        <f t="shared" si="8"/>
        <v>3895</v>
      </c>
      <c r="E22" s="578">
        <f t="shared" si="8"/>
        <v>760284</v>
      </c>
      <c r="F22" s="578">
        <f>SUM(F6:F21)</f>
        <v>668468</v>
      </c>
      <c r="G22" s="578">
        <f t="shared" ref="G22:K22" si="9">SUM(G6:G21)</f>
        <v>25800</v>
      </c>
      <c r="H22" s="578">
        <f t="shared" si="9"/>
        <v>694268</v>
      </c>
      <c r="I22" s="578">
        <f t="shared" si="9"/>
        <v>10745966.149999999</v>
      </c>
      <c r="J22" s="578">
        <f t="shared" si="9"/>
        <v>77844.61</v>
      </c>
      <c r="K22" s="578">
        <f t="shared" si="9"/>
        <v>10823810.76</v>
      </c>
      <c r="L22" s="579">
        <f t="shared" ref="L22" si="10">F22/E22</f>
        <v>0.87923460180669333</v>
      </c>
      <c r="M22" s="580">
        <f t="shared" ref="M22" si="11">I22/F22</f>
        <v>16.075513188365036</v>
      </c>
      <c r="N22" s="581">
        <f>M22/129.2424</f>
        <v>0.12438265761363945</v>
      </c>
      <c r="O22" s="582">
        <f>SUM(O6:O21)</f>
        <v>89827.98484615385</v>
      </c>
      <c r="P22" s="583">
        <f t="shared" ref="P22" si="12">C22/O22*12</f>
        <v>102.08564753740703</v>
      </c>
      <c r="Q22" s="584">
        <f>(K22*12/O22)/129.2424</f>
        <v>11.187801838466481</v>
      </c>
    </row>
    <row r="23" spans="2:18" ht="17.25" customHeight="1" thickTop="1" thickBot="1" x14ac:dyDescent="0.25">
      <c r="B23" s="26" t="s">
        <v>36</v>
      </c>
      <c r="C23" s="27"/>
      <c r="D23" s="28">
        <f>D22/C22</f>
        <v>5.0969733531018259E-3</v>
      </c>
      <c r="E23" s="29">
        <f>E22/C22</f>
        <v>0.99490302664689823</v>
      </c>
      <c r="F23" s="30"/>
      <c r="G23" s="31"/>
      <c r="H23" s="30"/>
      <c r="I23" s="30"/>
      <c r="J23" s="30"/>
      <c r="K23" s="30"/>
      <c r="L23" s="32"/>
      <c r="M23" s="30"/>
      <c r="N23" s="33"/>
      <c r="O23" s="534"/>
      <c r="P23" s="34"/>
      <c r="Q23" s="35"/>
      <c r="R23" s="45"/>
    </row>
    <row r="24" spans="2:18" ht="21" customHeight="1" thickTop="1" x14ac:dyDescent="0.25">
      <c r="B24" s="623" t="s">
        <v>37</v>
      </c>
      <c r="C24" s="620"/>
      <c r="D24" s="620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0"/>
      <c r="P24" s="620"/>
      <c r="Q24" s="620"/>
    </row>
    <row r="25" spans="2:18" ht="15.75" customHeight="1" x14ac:dyDescent="0.2">
      <c r="B25" s="13" t="s">
        <v>62</v>
      </c>
      <c r="C25" s="296">
        <v>23302</v>
      </c>
      <c r="D25" s="388">
        <v>164</v>
      </c>
      <c r="E25" s="200">
        <f t="shared" ref="E25:E52" si="13">C25-D25</f>
        <v>23138</v>
      </c>
      <c r="F25" s="352">
        <v>25220</v>
      </c>
      <c r="G25" s="191">
        <v>1280</v>
      </c>
      <c r="H25" s="202">
        <f t="shared" ref="H25:H52" si="14">F25+G25</f>
        <v>26500</v>
      </c>
      <c r="I25" s="352">
        <v>895602.53999999992</v>
      </c>
      <c r="J25" s="191">
        <v>4413.79</v>
      </c>
      <c r="K25" s="200">
        <f t="shared" ref="K25:K52" si="15">I25+J25</f>
        <v>900016.33</v>
      </c>
      <c r="L25" s="36">
        <f t="shared" ref="L25:L52" si="16">F25/E25</f>
        <v>1.0899818480421817</v>
      </c>
      <c r="M25" s="20">
        <f t="shared" ref="M25:M52" si="17">I25/F25</f>
        <v>35.511599524187147</v>
      </c>
      <c r="N25" s="37">
        <f>M25/129.2424</f>
        <v>0.27476741010834793</v>
      </c>
      <c r="O25" s="533">
        <v>2605.292307692308</v>
      </c>
      <c r="P25" s="14">
        <f t="shared" ref="P25:P33" si="18">C25/O25*12</f>
        <v>107.32922335600907</v>
      </c>
      <c r="Q25" s="15">
        <f>(K25*12/O25)/129.2424</f>
        <v>32.075258424429002</v>
      </c>
    </row>
    <row r="26" spans="2:18" ht="15.75" customHeight="1" x14ac:dyDescent="0.2">
      <c r="B26" s="13" t="s">
        <v>52</v>
      </c>
      <c r="C26" s="296">
        <v>36260</v>
      </c>
      <c r="D26" s="388">
        <v>226</v>
      </c>
      <c r="E26" s="200">
        <f t="shared" si="13"/>
        <v>36034</v>
      </c>
      <c r="F26" s="352">
        <v>34062</v>
      </c>
      <c r="G26" s="191">
        <v>4480</v>
      </c>
      <c r="H26" s="202">
        <f t="shared" si="14"/>
        <v>38542</v>
      </c>
      <c r="I26" s="352">
        <v>1265101.3700000001</v>
      </c>
      <c r="J26" s="191">
        <v>15448.28</v>
      </c>
      <c r="K26" s="200">
        <f t="shared" si="15"/>
        <v>1280549.6500000001</v>
      </c>
      <c r="L26" s="36">
        <f t="shared" si="16"/>
        <v>0.94527390797580069</v>
      </c>
      <c r="M26" s="20">
        <f t="shared" si="17"/>
        <v>37.14113586988433</v>
      </c>
      <c r="N26" s="37">
        <f t="shared" ref="N26:N52" si="19">M26/129.2424</f>
        <v>0.28737578279174891</v>
      </c>
      <c r="O26" s="533">
        <v>4838.3999999999996</v>
      </c>
      <c r="P26" s="14">
        <f t="shared" si="18"/>
        <v>89.930555555555571</v>
      </c>
      <c r="Q26" s="15">
        <f t="shared" ref="Q26:Q52" si="20">(K26*12/O26)/129.2424</f>
        <v>24.573718793903598</v>
      </c>
    </row>
    <row r="27" spans="2:18" ht="15.75" customHeight="1" x14ac:dyDescent="0.2">
      <c r="B27" s="13" t="s">
        <v>49</v>
      </c>
      <c r="C27" s="296">
        <v>27719</v>
      </c>
      <c r="D27" s="388">
        <v>185</v>
      </c>
      <c r="E27" s="200">
        <f t="shared" si="13"/>
        <v>27534</v>
      </c>
      <c r="F27" s="352">
        <v>30550</v>
      </c>
      <c r="G27" s="191">
        <v>1460</v>
      </c>
      <c r="H27" s="202">
        <f t="shared" si="14"/>
        <v>32010</v>
      </c>
      <c r="I27" s="352">
        <v>1070894.2</v>
      </c>
      <c r="J27" s="191">
        <v>5034.49</v>
      </c>
      <c r="K27" s="200">
        <f t="shared" si="15"/>
        <v>1075928.69</v>
      </c>
      <c r="L27" s="36">
        <f t="shared" si="16"/>
        <v>1.1095372993389991</v>
      </c>
      <c r="M27" s="20">
        <f t="shared" si="17"/>
        <v>35.053819967266776</v>
      </c>
      <c r="N27" s="37">
        <f t="shared" si="19"/>
        <v>0.27122538708091753</v>
      </c>
      <c r="O27" s="533">
        <v>5024.4923076923069</v>
      </c>
      <c r="P27" s="14">
        <f t="shared" si="18"/>
        <v>66.20131540270431</v>
      </c>
      <c r="Q27" s="15">
        <f t="shared" si="20"/>
        <v>19.882341751802528</v>
      </c>
    </row>
    <row r="28" spans="2:18" ht="15.75" customHeight="1" x14ac:dyDescent="0.2">
      <c r="B28" s="13" t="s">
        <v>43</v>
      </c>
      <c r="C28" s="296">
        <v>16271</v>
      </c>
      <c r="D28" s="388">
        <v>123</v>
      </c>
      <c r="E28" s="200">
        <f t="shared" si="13"/>
        <v>16148</v>
      </c>
      <c r="F28" s="352">
        <v>15340</v>
      </c>
      <c r="G28" s="191">
        <v>4140</v>
      </c>
      <c r="H28" s="202">
        <f t="shared" si="14"/>
        <v>19480</v>
      </c>
      <c r="I28" s="352">
        <v>537077.37</v>
      </c>
      <c r="J28" s="191">
        <v>14793.12</v>
      </c>
      <c r="K28" s="200">
        <f t="shared" si="15"/>
        <v>551870.49</v>
      </c>
      <c r="L28" s="36">
        <f t="shared" si="16"/>
        <v>0.94996284369581374</v>
      </c>
      <c r="M28" s="20">
        <f t="shared" si="17"/>
        <v>35.011562581486309</v>
      </c>
      <c r="N28" s="37">
        <f t="shared" si="19"/>
        <v>0.27089842483183774</v>
      </c>
      <c r="O28" s="533">
        <v>2605.292307692308</v>
      </c>
      <c r="P28" s="14">
        <f t="shared" si="18"/>
        <v>74.944373582766431</v>
      </c>
      <c r="Q28" s="15">
        <f t="shared" si="20"/>
        <v>19.667852675035643</v>
      </c>
    </row>
    <row r="29" spans="2:18" ht="15.75" customHeight="1" x14ac:dyDescent="0.2">
      <c r="B29" s="13" t="s">
        <v>38</v>
      </c>
      <c r="C29" s="296">
        <v>17028</v>
      </c>
      <c r="D29" s="388">
        <v>108</v>
      </c>
      <c r="E29" s="200">
        <f t="shared" si="13"/>
        <v>16920</v>
      </c>
      <c r="F29" s="352">
        <v>15760</v>
      </c>
      <c r="G29" s="191">
        <v>520</v>
      </c>
      <c r="H29" s="202">
        <f t="shared" si="14"/>
        <v>16280</v>
      </c>
      <c r="I29" s="352">
        <v>651972.08000000007</v>
      </c>
      <c r="J29" s="191">
        <v>1793.11</v>
      </c>
      <c r="K29" s="200">
        <f t="shared" si="15"/>
        <v>653765.19000000006</v>
      </c>
      <c r="L29" s="36">
        <f t="shared" si="16"/>
        <v>0.9314420803782506</v>
      </c>
      <c r="M29" s="20">
        <f t="shared" si="17"/>
        <v>41.368786802030463</v>
      </c>
      <c r="N29" s="37">
        <f t="shared" si="19"/>
        <v>0.32008680434617792</v>
      </c>
      <c r="O29" s="533">
        <v>3287.6307692307691</v>
      </c>
      <c r="P29" s="14">
        <f t="shared" si="18"/>
        <v>62.152964959568735</v>
      </c>
      <c r="Q29" s="15">
        <f t="shared" si="20"/>
        <v>18.463540703402224</v>
      </c>
    </row>
    <row r="30" spans="2:18" ht="15.75" customHeight="1" x14ac:dyDescent="0.2">
      <c r="B30" s="13" t="s">
        <v>44</v>
      </c>
      <c r="C30" s="296">
        <v>11535</v>
      </c>
      <c r="D30" s="388">
        <v>158</v>
      </c>
      <c r="E30" s="200">
        <f t="shared" si="13"/>
        <v>11377</v>
      </c>
      <c r="F30" s="352">
        <v>11870</v>
      </c>
      <c r="G30" s="191">
        <v>1520</v>
      </c>
      <c r="H30" s="202">
        <f t="shared" si="14"/>
        <v>13390</v>
      </c>
      <c r="I30" s="352">
        <v>455997.70999999996</v>
      </c>
      <c r="J30" s="191">
        <v>5241.3900000000003</v>
      </c>
      <c r="K30" s="200">
        <f t="shared" si="15"/>
        <v>461239.1</v>
      </c>
      <c r="L30" s="36">
        <f t="shared" si="16"/>
        <v>1.0433330403445549</v>
      </c>
      <c r="M30" s="20">
        <f t="shared" si="17"/>
        <v>38.415982308340354</v>
      </c>
      <c r="N30" s="37">
        <f t="shared" si="19"/>
        <v>0.29723977818688258</v>
      </c>
      <c r="O30" s="533">
        <v>2357.1692307692306</v>
      </c>
      <c r="P30" s="14">
        <f t="shared" si="18"/>
        <v>58.72297932330828</v>
      </c>
      <c r="Q30" s="15">
        <f t="shared" si="20"/>
        <v>18.168186716004662</v>
      </c>
    </row>
    <row r="31" spans="2:18" ht="15.75" customHeight="1" x14ac:dyDescent="0.2">
      <c r="B31" s="13" t="s">
        <v>39</v>
      </c>
      <c r="C31" s="296">
        <v>31053</v>
      </c>
      <c r="D31" s="388">
        <v>161</v>
      </c>
      <c r="E31" s="200">
        <f t="shared" si="13"/>
        <v>30892</v>
      </c>
      <c r="F31" s="352">
        <v>28344</v>
      </c>
      <c r="G31" s="191">
        <v>420</v>
      </c>
      <c r="H31" s="202">
        <f t="shared" si="14"/>
        <v>28764</v>
      </c>
      <c r="I31" s="352">
        <v>1026627.3200000001</v>
      </c>
      <c r="J31" s="191">
        <v>1448.28</v>
      </c>
      <c r="K31" s="200">
        <f t="shared" si="15"/>
        <v>1028075.6000000001</v>
      </c>
      <c r="L31" s="36">
        <f t="shared" si="16"/>
        <v>0.91751909879580473</v>
      </c>
      <c r="M31" s="20">
        <f t="shared" si="17"/>
        <v>36.220269545582845</v>
      </c>
      <c r="N31" s="37">
        <f t="shared" si="19"/>
        <v>0.28025067273265464</v>
      </c>
      <c r="O31" s="533">
        <v>5520.7384615384617</v>
      </c>
      <c r="P31" s="14">
        <f t="shared" si="18"/>
        <v>67.497491974317811</v>
      </c>
      <c r="Q31" s="15">
        <f t="shared" si="20"/>
        <v>17.290362968774886</v>
      </c>
    </row>
    <row r="32" spans="2:18" ht="15.75" customHeight="1" x14ac:dyDescent="0.2">
      <c r="B32" s="13" t="s">
        <v>54</v>
      </c>
      <c r="C32" s="296">
        <v>22132</v>
      </c>
      <c r="D32" s="388">
        <v>160</v>
      </c>
      <c r="E32" s="200">
        <f t="shared" si="13"/>
        <v>21972</v>
      </c>
      <c r="F32" s="352">
        <v>22735</v>
      </c>
      <c r="G32" s="191">
        <v>2380</v>
      </c>
      <c r="H32" s="202">
        <f t="shared" si="14"/>
        <v>25115</v>
      </c>
      <c r="I32" s="352">
        <v>823643.37</v>
      </c>
      <c r="J32" s="191">
        <v>8206.9</v>
      </c>
      <c r="K32" s="200">
        <f t="shared" si="15"/>
        <v>831850.27</v>
      </c>
      <c r="L32" s="36">
        <f t="shared" si="16"/>
        <v>1.0347260149280904</v>
      </c>
      <c r="M32" s="20">
        <f t="shared" si="17"/>
        <v>36.227990763140532</v>
      </c>
      <c r="N32" s="37">
        <f t="shared" si="19"/>
        <v>0.28031041487267749</v>
      </c>
      <c r="O32" s="533">
        <v>4651.9846153846156</v>
      </c>
      <c r="P32" s="14">
        <f t="shared" si="18"/>
        <v>57.090472552657424</v>
      </c>
      <c r="Q32" s="15">
        <f t="shared" si="20"/>
        <v>16.602868340489756</v>
      </c>
    </row>
    <row r="33" spans="2:17" ht="15.75" customHeight="1" x14ac:dyDescent="0.2">
      <c r="B33" s="13" t="s">
        <v>58</v>
      </c>
      <c r="C33" s="296">
        <v>21923</v>
      </c>
      <c r="D33" s="388">
        <v>197</v>
      </c>
      <c r="E33" s="200">
        <f t="shared" si="13"/>
        <v>21726</v>
      </c>
      <c r="F33" s="352">
        <v>33518</v>
      </c>
      <c r="G33" s="191">
        <v>3440</v>
      </c>
      <c r="H33" s="202">
        <f t="shared" si="14"/>
        <v>36958</v>
      </c>
      <c r="I33" s="352">
        <v>1360354.92</v>
      </c>
      <c r="J33" s="191">
        <v>11862.07</v>
      </c>
      <c r="K33" s="200">
        <f t="shared" si="15"/>
        <v>1372216.99</v>
      </c>
      <c r="L33" s="36">
        <f t="shared" si="16"/>
        <v>1.542759826935469</v>
      </c>
      <c r="M33" s="20">
        <f t="shared" si="17"/>
        <v>40.585802255504504</v>
      </c>
      <c r="N33" s="37">
        <f t="shared" si="19"/>
        <v>0.31402854059894048</v>
      </c>
      <c r="O33" s="533">
        <v>7948.5538461538463</v>
      </c>
      <c r="P33" s="14">
        <f t="shared" si="18"/>
        <v>33.097341364466878</v>
      </c>
      <c r="Q33" s="15">
        <f t="shared" si="20"/>
        <v>16.029165148283308</v>
      </c>
    </row>
    <row r="34" spans="2:17" ht="15.75" customHeight="1" x14ac:dyDescent="0.2">
      <c r="B34" s="13" t="s">
        <v>46</v>
      </c>
      <c r="C34" s="296">
        <v>28713</v>
      </c>
      <c r="D34" s="388">
        <v>213</v>
      </c>
      <c r="E34" s="200">
        <f t="shared" si="13"/>
        <v>28500</v>
      </c>
      <c r="F34" s="352">
        <v>30470</v>
      </c>
      <c r="G34" s="191">
        <v>360</v>
      </c>
      <c r="H34" s="202">
        <f t="shared" si="14"/>
        <v>30830</v>
      </c>
      <c r="I34" s="352">
        <v>1227279.7899999998</v>
      </c>
      <c r="J34" s="191">
        <v>1241.3900000000001</v>
      </c>
      <c r="K34" s="200">
        <f t="shared" si="15"/>
        <v>1228521.1799999997</v>
      </c>
      <c r="L34" s="36">
        <f t="shared" si="16"/>
        <v>1.0691228070175438</v>
      </c>
      <c r="M34" s="20">
        <f t="shared" si="17"/>
        <v>40.278299638989161</v>
      </c>
      <c r="N34" s="37">
        <f t="shared" si="19"/>
        <v>0.31164927020071709</v>
      </c>
      <c r="O34" s="533">
        <v>7178.4</v>
      </c>
      <c r="P34" s="14">
        <f>C34/4838*12</f>
        <v>71.21868540719305</v>
      </c>
      <c r="Q34" s="15">
        <f t="shared" si="20"/>
        <v>15.89026812537915</v>
      </c>
    </row>
    <row r="35" spans="2:17" ht="15.75" customHeight="1" x14ac:dyDescent="0.2">
      <c r="B35" s="13" t="s">
        <v>45</v>
      </c>
      <c r="C35" s="296">
        <v>10505</v>
      </c>
      <c r="D35" s="388">
        <v>123</v>
      </c>
      <c r="E35" s="200">
        <f t="shared" si="13"/>
        <v>10382</v>
      </c>
      <c r="F35" s="352">
        <v>10480</v>
      </c>
      <c r="G35" s="191">
        <v>300</v>
      </c>
      <c r="H35" s="202">
        <f t="shared" si="14"/>
        <v>10780</v>
      </c>
      <c r="I35" s="352">
        <v>410325.21</v>
      </c>
      <c r="J35" s="191">
        <v>1034.49</v>
      </c>
      <c r="K35" s="200">
        <f t="shared" si="15"/>
        <v>411359.7</v>
      </c>
      <c r="L35" s="36">
        <f t="shared" si="16"/>
        <v>1.0094394143710268</v>
      </c>
      <c r="M35" s="20">
        <f t="shared" si="17"/>
        <v>39.153168893129774</v>
      </c>
      <c r="N35" s="37">
        <f t="shared" si="19"/>
        <v>0.30294368483663081</v>
      </c>
      <c r="O35" s="533">
        <v>2481</v>
      </c>
      <c r="P35" s="14">
        <f t="shared" ref="P35:P52" si="21">C35/O35*12</f>
        <v>50.810157194679569</v>
      </c>
      <c r="Q35" s="15">
        <f t="shared" si="20"/>
        <v>15.394699293094025</v>
      </c>
    </row>
    <row r="36" spans="2:17" ht="15.75" customHeight="1" x14ac:dyDescent="0.2">
      <c r="B36" s="13" t="s">
        <v>51</v>
      </c>
      <c r="C36" s="296">
        <v>36241</v>
      </c>
      <c r="D36" s="388">
        <v>201</v>
      </c>
      <c r="E36" s="200">
        <f t="shared" si="13"/>
        <v>36040</v>
      </c>
      <c r="F36" s="352">
        <v>35188</v>
      </c>
      <c r="G36" s="191">
        <v>2040</v>
      </c>
      <c r="H36" s="202">
        <f t="shared" si="14"/>
        <v>37228</v>
      </c>
      <c r="I36" s="352">
        <v>1248365.22</v>
      </c>
      <c r="J36" s="191">
        <v>7034.5</v>
      </c>
      <c r="K36" s="200">
        <f t="shared" si="15"/>
        <v>1255399.72</v>
      </c>
      <c r="L36" s="36">
        <f t="shared" si="16"/>
        <v>0.9763596004439512</v>
      </c>
      <c r="M36" s="20">
        <f t="shared" si="17"/>
        <v>35.477015459815846</v>
      </c>
      <c r="N36" s="37">
        <f t="shared" si="19"/>
        <v>0.27449981940768542</v>
      </c>
      <c r="O36" s="533">
        <v>8436.1846153846163</v>
      </c>
      <c r="P36" s="14">
        <f t="shared" si="21"/>
        <v>51.550792191876752</v>
      </c>
      <c r="Q36" s="15">
        <f t="shared" si="20"/>
        <v>13.816949941996381</v>
      </c>
    </row>
    <row r="37" spans="2:17" ht="15.75" customHeight="1" x14ac:dyDescent="0.2">
      <c r="B37" s="13" t="s">
        <v>59</v>
      </c>
      <c r="C37" s="296">
        <v>11267</v>
      </c>
      <c r="D37" s="388">
        <v>136</v>
      </c>
      <c r="E37" s="200">
        <f t="shared" si="13"/>
        <v>11131</v>
      </c>
      <c r="F37" s="352">
        <v>8140</v>
      </c>
      <c r="G37" s="191">
        <v>4100</v>
      </c>
      <c r="H37" s="202">
        <f t="shared" si="14"/>
        <v>12240</v>
      </c>
      <c r="I37" s="352">
        <v>352229.68</v>
      </c>
      <c r="J37" s="191">
        <v>14137.95</v>
      </c>
      <c r="K37" s="200">
        <f t="shared" si="15"/>
        <v>366367.63</v>
      </c>
      <c r="L37" s="36">
        <f t="shared" si="16"/>
        <v>0.73129098912945822</v>
      </c>
      <c r="M37" s="20">
        <f t="shared" si="17"/>
        <v>43.271459459459457</v>
      </c>
      <c r="N37" s="37">
        <f t="shared" si="19"/>
        <v>0.33480854161992857</v>
      </c>
      <c r="O37" s="533">
        <v>2481.2307692307691</v>
      </c>
      <c r="P37" s="14">
        <f t="shared" si="21"/>
        <v>54.490699404761905</v>
      </c>
      <c r="Q37" s="15">
        <f t="shared" si="20"/>
        <v>13.709643725159268</v>
      </c>
    </row>
    <row r="38" spans="2:17" ht="15.75" customHeight="1" x14ac:dyDescent="0.2">
      <c r="B38" s="13" t="s">
        <v>53</v>
      </c>
      <c r="C38" s="296">
        <v>26542</v>
      </c>
      <c r="D38" s="388">
        <v>197</v>
      </c>
      <c r="E38" s="200">
        <f t="shared" si="13"/>
        <v>26345</v>
      </c>
      <c r="F38" s="352">
        <v>28080</v>
      </c>
      <c r="G38" s="191">
        <v>1780</v>
      </c>
      <c r="H38" s="202">
        <f t="shared" si="14"/>
        <v>29860</v>
      </c>
      <c r="I38" s="352">
        <v>1010622.72</v>
      </c>
      <c r="J38" s="191">
        <v>6137.95</v>
      </c>
      <c r="K38" s="200">
        <f t="shared" si="15"/>
        <v>1016760.6699999999</v>
      </c>
      <c r="L38" s="36">
        <f t="shared" si="16"/>
        <v>1.065856898842285</v>
      </c>
      <c r="M38" s="20">
        <f t="shared" si="17"/>
        <v>35.990837606837609</v>
      </c>
      <c r="N38" s="37">
        <f t="shared" si="19"/>
        <v>0.27847546630856135</v>
      </c>
      <c r="O38" s="533">
        <v>7257.3692307692309</v>
      </c>
      <c r="P38" s="14">
        <f t="shared" si="21"/>
        <v>43.886977480714563</v>
      </c>
      <c r="Q38" s="15">
        <f t="shared" si="20"/>
        <v>13.008156445447622</v>
      </c>
    </row>
    <row r="39" spans="2:17" ht="15.75" customHeight="1" x14ac:dyDescent="0.2">
      <c r="B39" s="13" t="s">
        <v>65</v>
      </c>
      <c r="C39" s="296">
        <v>9901</v>
      </c>
      <c r="D39" s="388">
        <v>107</v>
      </c>
      <c r="E39" s="200">
        <f t="shared" si="13"/>
        <v>9794</v>
      </c>
      <c r="F39" s="352">
        <v>9700</v>
      </c>
      <c r="G39" s="353">
        <v>0</v>
      </c>
      <c r="H39" s="202">
        <f t="shared" si="14"/>
        <v>9700</v>
      </c>
      <c r="I39" s="352">
        <v>376477.35</v>
      </c>
      <c r="J39" s="191">
        <v>0</v>
      </c>
      <c r="K39" s="200">
        <f t="shared" si="15"/>
        <v>376477.35</v>
      </c>
      <c r="L39" s="36">
        <f t="shared" si="16"/>
        <v>0.99040228711455991</v>
      </c>
      <c r="M39" s="20">
        <f t="shared" si="17"/>
        <v>38.812097938144326</v>
      </c>
      <c r="N39" s="37">
        <f t="shared" si="19"/>
        <v>0.30030468281418732</v>
      </c>
      <c r="O39" s="533">
        <v>2740</v>
      </c>
      <c r="P39" s="14">
        <f t="shared" si="21"/>
        <v>43.362043795620437</v>
      </c>
      <c r="Q39" s="15">
        <f t="shared" si="20"/>
        <v>12.757469007142847</v>
      </c>
    </row>
    <row r="40" spans="2:17" ht="15.75" customHeight="1" x14ac:dyDescent="0.2">
      <c r="B40" s="13" t="s">
        <v>60</v>
      </c>
      <c r="C40" s="296">
        <v>10383</v>
      </c>
      <c r="D40" s="388">
        <v>165</v>
      </c>
      <c r="E40" s="200">
        <f t="shared" si="13"/>
        <v>10218</v>
      </c>
      <c r="F40" s="352">
        <v>9705</v>
      </c>
      <c r="G40" s="191">
        <v>600</v>
      </c>
      <c r="H40" s="202">
        <f t="shared" si="14"/>
        <v>10305</v>
      </c>
      <c r="I40" s="352">
        <v>351493.95999999996</v>
      </c>
      <c r="J40" s="191">
        <v>2068.98</v>
      </c>
      <c r="K40" s="200">
        <f t="shared" si="15"/>
        <v>353562.93999999994</v>
      </c>
      <c r="L40" s="36">
        <f t="shared" si="16"/>
        <v>0.94979448032883151</v>
      </c>
      <c r="M40" s="20">
        <f t="shared" si="17"/>
        <v>36.217821741370422</v>
      </c>
      <c r="N40" s="37">
        <f t="shared" si="19"/>
        <v>0.28023173309510208</v>
      </c>
      <c r="O40" s="533">
        <v>2605.292307692308</v>
      </c>
      <c r="P40" s="14">
        <f t="shared" si="21"/>
        <v>47.824192176870739</v>
      </c>
      <c r="Q40" s="15">
        <f t="shared" si="20"/>
        <v>12.600463226929323</v>
      </c>
    </row>
    <row r="41" spans="2:17" ht="15.75" customHeight="1" x14ac:dyDescent="0.2">
      <c r="B41" s="13" t="s">
        <v>55</v>
      </c>
      <c r="C41" s="296">
        <v>19004</v>
      </c>
      <c r="D41" s="388">
        <v>142</v>
      </c>
      <c r="E41" s="200">
        <f t="shared" si="13"/>
        <v>18862</v>
      </c>
      <c r="F41" s="352">
        <v>18390</v>
      </c>
      <c r="G41" s="191">
        <v>1540</v>
      </c>
      <c r="H41" s="202">
        <f t="shared" si="14"/>
        <v>19930</v>
      </c>
      <c r="I41" s="352">
        <v>659695.25</v>
      </c>
      <c r="J41" s="191">
        <v>5310.34</v>
      </c>
      <c r="K41" s="200">
        <f t="shared" si="15"/>
        <v>665005.59</v>
      </c>
      <c r="L41" s="36">
        <f t="shared" si="16"/>
        <v>0.97497614250874776</v>
      </c>
      <c r="M41" s="20">
        <f t="shared" si="17"/>
        <v>35.872498640565524</v>
      </c>
      <c r="N41" s="37">
        <f t="shared" si="19"/>
        <v>0.27755983052439076</v>
      </c>
      <c r="O41" s="533">
        <v>5086.5230769230766</v>
      </c>
      <c r="P41" s="14">
        <f t="shared" si="21"/>
        <v>44.833768873403024</v>
      </c>
      <c r="Q41" s="15">
        <f t="shared" si="20"/>
        <v>12.138932840976492</v>
      </c>
    </row>
    <row r="42" spans="2:17" ht="15.75" customHeight="1" x14ac:dyDescent="0.2">
      <c r="B42" s="13" t="s">
        <v>63</v>
      </c>
      <c r="C42" s="296">
        <v>11454</v>
      </c>
      <c r="D42" s="388">
        <v>108</v>
      </c>
      <c r="E42" s="200">
        <f t="shared" si="13"/>
        <v>11346</v>
      </c>
      <c r="F42" s="352">
        <v>8250</v>
      </c>
      <c r="G42" s="191">
        <v>2200</v>
      </c>
      <c r="H42" s="202">
        <f t="shared" si="14"/>
        <v>10450</v>
      </c>
      <c r="I42" s="352">
        <v>295295.63</v>
      </c>
      <c r="J42" s="191">
        <v>7586.22</v>
      </c>
      <c r="K42" s="200">
        <f t="shared" si="15"/>
        <v>302881.84999999998</v>
      </c>
      <c r="L42" s="36">
        <f t="shared" si="16"/>
        <v>0.72712850343733471</v>
      </c>
      <c r="M42" s="20">
        <f t="shared" si="17"/>
        <v>35.793409696969697</v>
      </c>
      <c r="N42" s="37">
        <f t="shared" si="19"/>
        <v>0.27694788782140922</v>
      </c>
      <c r="O42" s="533">
        <v>2481.2307692307691</v>
      </c>
      <c r="P42" s="14">
        <f t="shared" si="21"/>
        <v>55.395089285714292</v>
      </c>
      <c r="Q42" s="15">
        <f t="shared" si="20"/>
        <v>11.333976897241522</v>
      </c>
    </row>
    <row r="43" spans="2:17" ht="15.75" customHeight="1" x14ac:dyDescent="0.2">
      <c r="B43" s="13" t="s">
        <v>40</v>
      </c>
      <c r="C43" s="296">
        <v>7192</v>
      </c>
      <c r="D43" s="388">
        <v>105</v>
      </c>
      <c r="E43" s="200">
        <f t="shared" si="13"/>
        <v>7087</v>
      </c>
      <c r="F43" s="352">
        <v>7860</v>
      </c>
      <c r="G43" s="191">
        <v>380</v>
      </c>
      <c r="H43" s="202">
        <f t="shared" si="14"/>
        <v>8240</v>
      </c>
      <c r="I43" s="352">
        <v>298528.13</v>
      </c>
      <c r="J43" s="191">
        <v>1310.3499999999999</v>
      </c>
      <c r="K43" s="200">
        <f t="shared" si="15"/>
        <v>299838.48</v>
      </c>
      <c r="L43" s="36">
        <f t="shared" si="16"/>
        <v>1.1090729504726964</v>
      </c>
      <c r="M43" s="20">
        <f t="shared" si="17"/>
        <v>37.980678117048349</v>
      </c>
      <c r="N43" s="37">
        <f t="shared" si="19"/>
        <v>0.29387165602811732</v>
      </c>
      <c r="O43" s="533">
        <v>2481.2307692307691</v>
      </c>
      <c r="P43" s="14">
        <f t="shared" si="21"/>
        <v>34.782738095238102</v>
      </c>
      <c r="Q43" s="15">
        <f t="shared" si="20"/>
        <v>11.22009260450573</v>
      </c>
    </row>
    <row r="44" spans="2:17" ht="15.75" customHeight="1" x14ac:dyDescent="0.2">
      <c r="B44" s="13" t="s">
        <v>50</v>
      </c>
      <c r="C44" s="296">
        <v>7260</v>
      </c>
      <c r="D44" s="388">
        <v>89</v>
      </c>
      <c r="E44" s="200">
        <f t="shared" si="13"/>
        <v>7171</v>
      </c>
      <c r="F44" s="352">
        <v>8770</v>
      </c>
      <c r="G44" s="191">
        <v>1160</v>
      </c>
      <c r="H44" s="202">
        <f t="shared" si="14"/>
        <v>9930</v>
      </c>
      <c r="I44" s="352">
        <v>317126.71999999997</v>
      </c>
      <c r="J44" s="191">
        <v>4000</v>
      </c>
      <c r="K44" s="200">
        <f t="shared" si="15"/>
        <v>321126.71999999997</v>
      </c>
      <c r="L44" s="36">
        <f t="shared" si="16"/>
        <v>1.222981453074885</v>
      </c>
      <c r="M44" s="20">
        <f t="shared" si="17"/>
        <v>36.160401368301024</v>
      </c>
      <c r="N44" s="37">
        <f t="shared" si="19"/>
        <v>0.27978744876527378</v>
      </c>
      <c r="O44" s="533">
        <v>2667</v>
      </c>
      <c r="P44" s="14">
        <f t="shared" si="21"/>
        <v>32.665916760404954</v>
      </c>
      <c r="Q44" s="15">
        <f t="shared" si="20"/>
        <v>11.179687384298035</v>
      </c>
    </row>
    <row r="45" spans="2:17" ht="15.75" customHeight="1" x14ac:dyDescent="0.2">
      <c r="B45" s="13" t="s">
        <v>42</v>
      </c>
      <c r="C45" s="296">
        <v>7696</v>
      </c>
      <c r="D45" s="388">
        <v>116</v>
      </c>
      <c r="E45" s="200">
        <f t="shared" si="13"/>
        <v>7580</v>
      </c>
      <c r="F45" s="352">
        <v>6750</v>
      </c>
      <c r="G45" s="191">
        <v>240</v>
      </c>
      <c r="H45" s="202">
        <f t="shared" si="14"/>
        <v>6990</v>
      </c>
      <c r="I45" s="352">
        <v>274494.19</v>
      </c>
      <c r="J45" s="191">
        <v>827.59</v>
      </c>
      <c r="K45" s="200">
        <f t="shared" si="15"/>
        <v>275321.78000000003</v>
      </c>
      <c r="L45" s="36">
        <f t="shared" si="16"/>
        <v>0.89050131926121368</v>
      </c>
      <c r="M45" s="20">
        <f t="shared" si="17"/>
        <v>40.665805925925923</v>
      </c>
      <c r="N45" s="37">
        <f t="shared" si="19"/>
        <v>0.31464756090823076</v>
      </c>
      <c r="O45" s="533">
        <v>2357.1692307692306</v>
      </c>
      <c r="P45" s="14">
        <f t="shared" si="21"/>
        <v>39.179197994987476</v>
      </c>
      <c r="Q45" s="15">
        <f t="shared" si="20"/>
        <v>10.84491212046585</v>
      </c>
    </row>
    <row r="46" spans="2:17" ht="15.75" customHeight="1" x14ac:dyDescent="0.2">
      <c r="B46" s="13" t="s">
        <v>48</v>
      </c>
      <c r="C46" s="296">
        <v>5234</v>
      </c>
      <c r="D46" s="388">
        <v>0</v>
      </c>
      <c r="E46" s="200">
        <f t="shared" si="13"/>
        <v>5234</v>
      </c>
      <c r="F46" s="352">
        <v>5260</v>
      </c>
      <c r="G46" s="191">
        <v>460</v>
      </c>
      <c r="H46" s="202">
        <f t="shared" si="14"/>
        <v>5720</v>
      </c>
      <c r="I46" s="352">
        <v>191532.65</v>
      </c>
      <c r="J46" s="191">
        <v>1586.22</v>
      </c>
      <c r="K46" s="200">
        <f t="shared" si="15"/>
        <v>193118.87</v>
      </c>
      <c r="L46" s="36">
        <f t="shared" si="16"/>
        <v>1.0049675200611388</v>
      </c>
      <c r="M46" s="20">
        <f t="shared" si="17"/>
        <v>36.413051330798481</v>
      </c>
      <c r="N46" s="37">
        <f t="shared" si="19"/>
        <v>0.28174230230016217</v>
      </c>
      <c r="O46" s="533">
        <v>1736.8615384615382</v>
      </c>
      <c r="P46" s="14">
        <f t="shared" si="21"/>
        <v>36.16177721088436</v>
      </c>
      <c r="Q46" s="15">
        <f t="shared" si="20"/>
        <v>10.323708785179006</v>
      </c>
    </row>
    <row r="47" spans="2:17" ht="15.75" customHeight="1" x14ac:dyDescent="0.2">
      <c r="B47" s="13" t="s">
        <v>56</v>
      </c>
      <c r="C47" s="296">
        <v>8974</v>
      </c>
      <c r="D47" s="388">
        <v>130</v>
      </c>
      <c r="E47" s="200">
        <f t="shared" si="13"/>
        <v>8844</v>
      </c>
      <c r="F47" s="352">
        <v>7580</v>
      </c>
      <c r="G47" s="191">
        <v>360</v>
      </c>
      <c r="H47" s="202">
        <f t="shared" si="14"/>
        <v>7940</v>
      </c>
      <c r="I47" s="352">
        <v>273474.94</v>
      </c>
      <c r="J47" s="191">
        <v>1241.3800000000001</v>
      </c>
      <c r="K47" s="200">
        <f t="shared" si="15"/>
        <v>274716.32</v>
      </c>
      <c r="L47" s="36">
        <f t="shared" si="16"/>
        <v>0.85707824513794661</v>
      </c>
      <c r="M47" s="20">
        <f t="shared" si="17"/>
        <v>36.078488126649077</v>
      </c>
      <c r="N47" s="37">
        <f t="shared" si="19"/>
        <v>0.27915365334169806</v>
      </c>
      <c r="O47" s="533">
        <v>2481.2307692307691</v>
      </c>
      <c r="P47" s="14">
        <f t="shared" si="21"/>
        <v>43.401041666666671</v>
      </c>
      <c r="Q47" s="15">
        <f t="shared" si="20"/>
        <v>10.280009925240515</v>
      </c>
    </row>
    <row r="48" spans="2:17" ht="15.75" customHeight="1" x14ac:dyDescent="0.2">
      <c r="B48" s="13" t="s">
        <v>41</v>
      </c>
      <c r="C48" s="296">
        <v>9184</v>
      </c>
      <c r="D48" s="388">
        <v>130</v>
      </c>
      <c r="E48" s="200">
        <f t="shared" si="13"/>
        <v>9054</v>
      </c>
      <c r="F48" s="352">
        <v>7570</v>
      </c>
      <c r="G48" s="191">
        <v>460</v>
      </c>
      <c r="H48" s="202">
        <f t="shared" si="14"/>
        <v>8030</v>
      </c>
      <c r="I48" s="352">
        <v>289285.18</v>
      </c>
      <c r="J48" s="191">
        <v>1586.22</v>
      </c>
      <c r="K48" s="200">
        <f t="shared" si="15"/>
        <v>290871.39999999997</v>
      </c>
      <c r="L48" s="36">
        <f t="shared" si="16"/>
        <v>0.83609454384802295</v>
      </c>
      <c r="M48" s="20">
        <f t="shared" si="17"/>
        <v>38.214686922060764</v>
      </c>
      <c r="N48" s="37">
        <f t="shared" si="19"/>
        <v>0.29568227549210446</v>
      </c>
      <c r="O48" s="533">
        <v>3225.5999999999995</v>
      </c>
      <c r="P48" s="14">
        <f t="shared" si="21"/>
        <v>34.166666666666671</v>
      </c>
      <c r="Q48" s="15">
        <f t="shared" si="20"/>
        <v>8.3727233717049376</v>
      </c>
    </row>
    <row r="49" spans="1:18" ht="15.75" customHeight="1" x14ac:dyDescent="0.2">
      <c r="B49" s="13" t="s">
        <v>47</v>
      </c>
      <c r="C49" s="296">
        <v>25532</v>
      </c>
      <c r="D49" s="388">
        <v>228</v>
      </c>
      <c r="E49" s="200">
        <f t="shared" si="13"/>
        <v>25304</v>
      </c>
      <c r="F49" s="352">
        <v>11610</v>
      </c>
      <c r="G49" s="191">
        <v>2820</v>
      </c>
      <c r="H49" s="202">
        <f t="shared" si="14"/>
        <v>14430</v>
      </c>
      <c r="I49" s="352">
        <v>413445.63</v>
      </c>
      <c r="J49" s="191">
        <v>9724.14</v>
      </c>
      <c r="K49" s="200">
        <f t="shared" si="15"/>
        <v>423169.77</v>
      </c>
      <c r="L49" s="36">
        <f t="shared" si="16"/>
        <v>0.45882073980398358</v>
      </c>
      <c r="M49" s="20">
        <f t="shared" si="17"/>
        <v>35.611165374677</v>
      </c>
      <c r="N49" s="37">
        <f t="shared" si="19"/>
        <v>0.27553779080763741</v>
      </c>
      <c r="O49" s="533">
        <v>4962.461538461539</v>
      </c>
      <c r="P49" s="14">
        <f t="shared" si="21"/>
        <v>61.740327380952365</v>
      </c>
      <c r="Q49" s="15">
        <f t="shared" si="20"/>
        <v>7.9176028487527521</v>
      </c>
    </row>
    <row r="50" spans="1:18" ht="15.75" customHeight="1" x14ac:dyDescent="0.2">
      <c r="B50" s="13" t="s">
        <v>61</v>
      </c>
      <c r="C50" s="296">
        <v>9132</v>
      </c>
      <c r="D50" s="388">
        <v>79</v>
      </c>
      <c r="E50" s="200">
        <f t="shared" si="13"/>
        <v>9053</v>
      </c>
      <c r="F50" s="352">
        <v>5610</v>
      </c>
      <c r="G50" s="191">
        <v>320</v>
      </c>
      <c r="H50" s="202">
        <f t="shared" si="14"/>
        <v>5930</v>
      </c>
      <c r="I50" s="352">
        <v>201814.53</v>
      </c>
      <c r="J50" s="191">
        <v>1103.45</v>
      </c>
      <c r="K50" s="200">
        <f t="shared" si="15"/>
        <v>202917.98</v>
      </c>
      <c r="L50" s="36">
        <f t="shared" si="16"/>
        <v>0.61968408262454433</v>
      </c>
      <c r="M50" s="20">
        <f t="shared" si="17"/>
        <v>35.974069518716576</v>
      </c>
      <c r="N50" s="37">
        <f t="shared" si="19"/>
        <v>0.27834572492244475</v>
      </c>
      <c r="O50" s="533">
        <v>2481.2307692307695</v>
      </c>
      <c r="P50" s="14">
        <f t="shared" si="21"/>
        <v>44.165178571428562</v>
      </c>
      <c r="Q50" s="15">
        <f t="shared" si="20"/>
        <v>7.5932833127997501</v>
      </c>
    </row>
    <row r="51" spans="1:18" ht="15.75" customHeight="1" x14ac:dyDescent="0.2">
      <c r="B51" s="13" t="s">
        <v>57</v>
      </c>
      <c r="C51" s="296">
        <v>6015</v>
      </c>
      <c r="D51" s="388">
        <v>100</v>
      </c>
      <c r="E51" s="200">
        <f t="shared" si="13"/>
        <v>5915</v>
      </c>
      <c r="F51" s="352">
        <v>3430</v>
      </c>
      <c r="G51" s="191">
        <v>80</v>
      </c>
      <c r="H51" s="202">
        <f t="shared" si="14"/>
        <v>3510</v>
      </c>
      <c r="I51" s="352">
        <v>130344.54</v>
      </c>
      <c r="J51" s="191">
        <v>275.87</v>
      </c>
      <c r="K51" s="200">
        <f t="shared" si="15"/>
        <v>130620.40999999999</v>
      </c>
      <c r="L51" s="36">
        <f t="shared" si="16"/>
        <v>0.57988165680473369</v>
      </c>
      <c r="M51" s="20">
        <f t="shared" si="17"/>
        <v>38.001323615160345</v>
      </c>
      <c r="N51" s="37">
        <f t="shared" si="19"/>
        <v>0.294031398481925</v>
      </c>
      <c r="O51" s="533">
        <v>2481.2307692307691</v>
      </c>
      <c r="P51" s="14">
        <f t="shared" si="21"/>
        <v>29.090401785714292</v>
      </c>
      <c r="Q51" s="15">
        <f t="shared" si="20"/>
        <v>4.8878752861824353</v>
      </c>
    </row>
    <row r="52" spans="1:18" ht="15.75" customHeight="1" x14ac:dyDescent="0.2">
      <c r="B52" s="13" t="s">
        <v>66</v>
      </c>
      <c r="C52" s="296">
        <v>2098</v>
      </c>
      <c r="D52" s="388">
        <v>106</v>
      </c>
      <c r="E52" s="200">
        <f t="shared" si="13"/>
        <v>1992</v>
      </c>
      <c r="F52" s="352">
        <v>3110</v>
      </c>
      <c r="G52" s="191">
        <v>340</v>
      </c>
      <c r="H52" s="202">
        <f t="shared" si="14"/>
        <v>3450</v>
      </c>
      <c r="I52" s="352">
        <v>107864.29999999999</v>
      </c>
      <c r="J52" s="191">
        <v>1172.43</v>
      </c>
      <c r="K52" s="200">
        <f t="shared" si="15"/>
        <v>109036.72999999998</v>
      </c>
      <c r="L52" s="36">
        <f t="shared" si="16"/>
        <v>1.5612449799196788</v>
      </c>
      <c r="M52" s="20">
        <f t="shared" si="17"/>
        <v>34.683054662379419</v>
      </c>
      <c r="N52" s="37">
        <f t="shared" si="19"/>
        <v>0.26835662802903243</v>
      </c>
      <c r="O52" s="533">
        <v>2605.292307692308</v>
      </c>
      <c r="P52" s="14">
        <f t="shared" si="21"/>
        <v>9.6634070294784564</v>
      </c>
      <c r="Q52" s="15">
        <f t="shared" si="20"/>
        <v>3.8859087062394639</v>
      </c>
      <c r="R52" s="16" t="s">
        <v>118</v>
      </c>
    </row>
    <row r="53" spans="1:18" ht="15.75" customHeight="1" thickBot="1" x14ac:dyDescent="0.25">
      <c r="B53" s="490" t="s">
        <v>35</v>
      </c>
      <c r="C53" s="491">
        <f>SUM(C25:C52)</f>
        <v>459550</v>
      </c>
      <c r="D53" s="491">
        <f t="shared" ref="D53:K53" si="22">SUM(D25:D52)</f>
        <v>3957</v>
      </c>
      <c r="E53" s="491">
        <f t="shared" si="22"/>
        <v>455593</v>
      </c>
      <c r="F53" s="491">
        <f t="shared" si="22"/>
        <v>443352</v>
      </c>
      <c r="G53" s="491">
        <f t="shared" si="22"/>
        <v>39180</v>
      </c>
      <c r="H53" s="491">
        <f t="shared" si="22"/>
        <v>482532</v>
      </c>
      <c r="I53" s="491">
        <f t="shared" si="22"/>
        <v>16516966.500000004</v>
      </c>
      <c r="J53" s="491">
        <f t="shared" si="22"/>
        <v>135620.9</v>
      </c>
      <c r="K53" s="491">
        <f t="shared" si="22"/>
        <v>16652587.4</v>
      </c>
      <c r="L53" s="484">
        <f t="shared" ref="L53" si="23">F53/E53</f>
        <v>0.97313172063662079</v>
      </c>
      <c r="M53" s="483">
        <f t="shared" ref="M53" si="24">I53/F53</f>
        <v>37.25474679261626</v>
      </c>
      <c r="N53" s="492">
        <f>M53/129.2424</f>
        <v>0.28825483581716416</v>
      </c>
      <c r="O53" s="575">
        <f>SUM(O25:O52)</f>
        <v>107066.09230769229</v>
      </c>
      <c r="P53" s="493">
        <f>(C53/O53)*12</f>
        <v>51.506502956620906</v>
      </c>
      <c r="Q53" s="494">
        <f>(K53*12/O53)/129.2424</f>
        <v>14.44129040566399</v>
      </c>
    </row>
    <row r="54" spans="1:18" ht="17.25" customHeight="1" thickTop="1" thickBot="1" x14ac:dyDescent="0.25">
      <c r="B54" s="26" t="s">
        <v>36</v>
      </c>
      <c r="C54" s="42"/>
      <c r="D54" s="28">
        <f>D53/C53</f>
        <v>8.6105973234686106E-3</v>
      </c>
      <c r="E54" s="28">
        <f>E53/C53</f>
        <v>0.99138940267653142</v>
      </c>
      <c r="F54" s="30"/>
      <c r="G54" s="30"/>
      <c r="H54" s="30"/>
      <c r="I54" s="30"/>
      <c r="J54" s="30"/>
      <c r="K54" s="30"/>
      <c r="L54" s="32"/>
      <c r="M54" s="30"/>
      <c r="N54" s="43"/>
      <c r="O54" s="534"/>
      <c r="P54" s="34"/>
      <c r="Q54" s="34"/>
    </row>
    <row r="55" spans="1:18" ht="18.75" customHeight="1" thickTop="1" x14ac:dyDescent="0.2">
      <c r="M55" s="45"/>
      <c r="N55" s="46"/>
      <c r="O55" s="535"/>
    </row>
    <row r="56" spans="1:18" s="48" customFormat="1" ht="15" customHeight="1" thickBot="1" x14ac:dyDescent="0.25">
      <c r="B56" s="49" t="s">
        <v>68</v>
      </c>
      <c r="C56" s="52">
        <f t="shared" ref="C56:K56" si="25">C22+C53</f>
        <v>1223729</v>
      </c>
      <c r="D56" s="334">
        <f t="shared" si="25"/>
        <v>7852</v>
      </c>
      <c r="E56" s="23">
        <f t="shared" si="25"/>
        <v>1215877</v>
      </c>
      <c r="F56" s="52">
        <f t="shared" si="25"/>
        <v>1111820</v>
      </c>
      <c r="G56" s="52">
        <f t="shared" si="25"/>
        <v>64980</v>
      </c>
      <c r="H56" s="52">
        <f t="shared" si="25"/>
        <v>1176800</v>
      </c>
      <c r="I56" s="52">
        <f t="shared" si="25"/>
        <v>27262932.650000002</v>
      </c>
      <c r="J56" s="52">
        <f t="shared" si="25"/>
        <v>213465.51</v>
      </c>
      <c r="K56" s="52">
        <f t="shared" si="25"/>
        <v>27476398.16</v>
      </c>
      <c r="L56" s="471">
        <f>F56/(E56)</f>
        <v>0.91441815249404335</v>
      </c>
      <c r="M56" s="53">
        <f>I56/F56</f>
        <v>24.520994990196257</v>
      </c>
      <c r="N56" s="212">
        <f>M56/129.2424</f>
        <v>0.18972871898228644</v>
      </c>
      <c r="O56" s="536">
        <f>O53+O22</f>
        <v>196894.07715384616</v>
      </c>
      <c r="P56" s="477">
        <f>(C56/O56)*12</f>
        <v>74.581969210408744</v>
      </c>
      <c r="Q56" s="473">
        <f>(K56*12/O56)/129.2424</f>
        <v>12.956967840272673</v>
      </c>
      <c r="R56" s="556"/>
    </row>
    <row r="57" spans="1:18" ht="16.5" customHeight="1" thickTop="1" thickBot="1" x14ac:dyDescent="0.25">
      <c r="B57" s="26" t="s">
        <v>36</v>
      </c>
      <c r="C57" s="546"/>
      <c r="D57" s="547">
        <f>D56/C56</f>
        <v>6.4164533160528192E-3</v>
      </c>
      <c r="E57" s="547">
        <f>E56/C56</f>
        <v>0.99358354668394722</v>
      </c>
      <c r="G57" s="56"/>
      <c r="N57" s="46"/>
    </row>
    <row r="58" spans="1:18" ht="16.5" customHeight="1" thickTop="1" x14ac:dyDescent="0.2">
      <c r="G58" s="57"/>
      <c r="H58" s="45"/>
      <c r="O58" s="538"/>
    </row>
    <row r="59" spans="1:18" s="16" customFormat="1" ht="15" customHeight="1" x14ac:dyDescent="0.25">
      <c r="B59" s="48" t="s">
        <v>69</v>
      </c>
      <c r="C59" s="47"/>
      <c r="D59" s="47"/>
      <c r="E59" s="47"/>
      <c r="F59" s="47"/>
      <c r="G59" s="47"/>
      <c r="H59" s="47"/>
      <c r="I59" s="47"/>
      <c r="J59" s="47"/>
      <c r="K59" s="47"/>
      <c r="L59" s="38"/>
      <c r="M59" s="60"/>
      <c r="N59"/>
      <c r="O59" s="539"/>
      <c r="P59"/>
      <c r="Q59" s="61"/>
    </row>
    <row r="60" spans="1:18" ht="16.5" customHeight="1" x14ac:dyDescent="0.25">
      <c r="A60" s="16">
        <v>1</v>
      </c>
      <c r="B60" s="16" t="s">
        <v>70</v>
      </c>
      <c r="E60" s="16"/>
      <c r="N60"/>
      <c r="O60" s="540"/>
      <c r="P60"/>
      <c r="Q60" s="62"/>
    </row>
    <row r="61" spans="1:18" ht="16.5" customHeight="1" x14ac:dyDescent="0.25">
      <c r="A61" s="16">
        <v>2</v>
      </c>
      <c r="B61" s="16" t="s">
        <v>152</v>
      </c>
      <c r="C61" s="47"/>
      <c r="E61" s="16"/>
      <c r="N61"/>
      <c r="O61" s="540"/>
      <c r="P61"/>
    </row>
    <row r="62" spans="1:18" ht="16.5" customHeight="1" x14ac:dyDescent="0.2">
      <c r="A62" s="16">
        <v>3</v>
      </c>
      <c r="B62" s="16" t="s">
        <v>153</v>
      </c>
      <c r="C62" s="47"/>
      <c r="E62" s="16"/>
    </row>
    <row r="63" spans="1:18" ht="16.5" customHeight="1" x14ac:dyDescent="0.2">
      <c r="A63" s="16">
        <v>4</v>
      </c>
      <c r="B63" s="16" t="s">
        <v>154</v>
      </c>
      <c r="C63" s="47"/>
      <c r="E63" s="16"/>
    </row>
    <row r="64" spans="1:18" ht="16.5" customHeight="1" x14ac:dyDescent="0.2">
      <c r="A64" s="16">
        <v>5</v>
      </c>
      <c r="B64" s="16" t="s">
        <v>155</v>
      </c>
      <c r="C64" s="47"/>
      <c r="E64" s="16"/>
    </row>
    <row r="65" spans="1:5" s="1" customFormat="1" ht="16.5" customHeight="1" x14ac:dyDescent="0.2">
      <c r="A65" s="16">
        <v>6</v>
      </c>
      <c r="B65" s="16" t="s">
        <v>135</v>
      </c>
      <c r="C65" s="47"/>
      <c r="E65" s="16"/>
    </row>
    <row r="66" spans="1:5" s="1" customFormat="1" ht="16.5" customHeight="1" x14ac:dyDescent="0.2">
      <c r="A66" s="1">
        <v>7</v>
      </c>
      <c r="B66" s="16" t="s">
        <v>156</v>
      </c>
      <c r="C66" s="44"/>
    </row>
    <row r="67" spans="1:5" s="1" customFormat="1" ht="16.5" customHeight="1" x14ac:dyDescent="0.2">
      <c r="C67" s="44"/>
    </row>
    <row r="68" spans="1:5" s="1" customFormat="1" ht="16.5" customHeight="1" x14ac:dyDescent="0.2">
      <c r="B68" s="216" t="s">
        <v>108</v>
      </c>
      <c r="C68" s="217" t="s">
        <v>93</v>
      </c>
    </row>
    <row r="69" spans="1:5" s="1" customFormat="1" ht="16.5" customHeight="1" x14ac:dyDescent="0.2">
      <c r="B69" s="10" t="s">
        <v>103</v>
      </c>
      <c r="C69" s="14">
        <f>O22</f>
        <v>89827.98484615385</v>
      </c>
    </row>
    <row r="70" spans="1:5" s="1" customFormat="1" ht="16.5" customHeight="1" x14ac:dyDescent="0.2">
      <c r="B70" s="10" t="s">
        <v>106</v>
      </c>
      <c r="C70" s="14">
        <f>O53</f>
        <v>107066.09230769229</v>
      </c>
    </row>
    <row r="71" spans="1:5" s="1" customFormat="1" ht="16.5" customHeight="1" x14ac:dyDescent="0.2">
      <c r="B71" s="188" t="s">
        <v>67</v>
      </c>
      <c r="C71" s="213">
        <v>1479.876923076923</v>
      </c>
    </row>
    <row r="72" spans="1:5" s="1" customFormat="1" ht="16.5" customHeight="1" thickBot="1" x14ac:dyDescent="0.25">
      <c r="B72" s="189" t="s">
        <v>101</v>
      </c>
      <c r="C72" s="215">
        <f>SUM(C69:C71)</f>
        <v>198373.95407692308</v>
      </c>
    </row>
    <row r="73" spans="1:5" s="1" customFormat="1" ht="16.5" customHeight="1" thickTop="1" x14ac:dyDescent="0.2">
      <c r="C73" s="44"/>
    </row>
    <row r="74" spans="1:5" s="1" customFormat="1" ht="16.5" customHeight="1" x14ac:dyDescent="0.2">
      <c r="C74" s="44"/>
    </row>
    <row r="75" spans="1:5" s="1" customFormat="1" ht="16.5" customHeight="1" x14ac:dyDescent="0.2">
      <c r="C75" s="44"/>
    </row>
    <row r="76" spans="1:5" s="1" customFormat="1" ht="16.5" customHeight="1" x14ac:dyDescent="0.2">
      <c r="C76" s="44"/>
    </row>
    <row r="77" spans="1:5" s="1" customFormat="1" ht="16.5" customHeight="1" x14ac:dyDescent="0.2">
      <c r="C77" s="44"/>
    </row>
    <row r="78" spans="1:5" s="1" customFormat="1" ht="16.5" customHeight="1" x14ac:dyDescent="0.2">
      <c r="C78" s="44"/>
    </row>
    <row r="79" spans="1:5" s="1" customFormat="1" ht="16.5" customHeight="1" x14ac:dyDescent="0.2">
      <c r="C79" s="44"/>
    </row>
    <row r="80" spans="1:5" s="1" customFormat="1" ht="16.5" customHeight="1" x14ac:dyDescent="0.2">
      <c r="C80" s="44"/>
    </row>
    <row r="81" s="1" customFormat="1" ht="16.5" customHeight="1" x14ac:dyDescent="0.2"/>
    <row r="82" s="1" customFormat="1" ht="16.5" customHeight="1" x14ac:dyDescent="0.2"/>
    <row r="83" s="1" customFormat="1" ht="16.5" customHeight="1" x14ac:dyDescent="0.2"/>
    <row r="84" s="1" customFormat="1" ht="19.5" customHeight="1" x14ac:dyDescent="0.2"/>
    <row r="85" s="1" customFormat="1" ht="19.5" customHeight="1" x14ac:dyDescent="0.2"/>
    <row r="86" s="1" customFormat="1" ht="19.5" customHeight="1" x14ac:dyDescent="0.2"/>
    <row r="87" s="1" customFormat="1" ht="19.5" customHeight="1" x14ac:dyDescent="0.2"/>
    <row r="88" s="1" customFormat="1" ht="19.5" customHeight="1" x14ac:dyDescent="0.2"/>
    <row r="89" s="1" customFormat="1" ht="19.5" customHeight="1" x14ac:dyDescent="0.2"/>
    <row r="90" s="1" customFormat="1" ht="19.5" customHeight="1" x14ac:dyDescent="0.2"/>
    <row r="91" s="1" customFormat="1" ht="19.5" customHeight="1" x14ac:dyDescent="0.2"/>
    <row r="92" s="1" customFormat="1" ht="19.5" customHeight="1" x14ac:dyDescent="0.2"/>
    <row r="93" s="1" customFormat="1" ht="19.5" customHeight="1" x14ac:dyDescent="0.2"/>
    <row r="94" s="1" customFormat="1" ht="19.5" customHeight="1" x14ac:dyDescent="0.2"/>
    <row r="95" s="1" customFormat="1" ht="19.5" customHeight="1" x14ac:dyDescent="0.2"/>
    <row r="96" s="1" customFormat="1" ht="19.5" customHeight="1" x14ac:dyDescent="0.2"/>
    <row r="97" s="1" customFormat="1" ht="19.5" customHeight="1" x14ac:dyDescent="0.2"/>
    <row r="98" s="1" customFormat="1" ht="19.5" customHeight="1" x14ac:dyDescent="0.2"/>
    <row r="99" s="1" customFormat="1" ht="19.5" customHeight="1" x14ac:dyDescent="0.2"/>
    <row r="100" s="1" customFormat="1" ht="19.5" customHeight="1" x14ac:dyDescent="0.2"/>
    <row r="101" s="1" customFormat="1" ht="19.5" customHeight="1" x14ac:dyDescent="0.2"/>
    <row r="102" s="1" customFormat="1" ht="19.5" customHeight="1" x14ac:dyDescent="0.2"/>
    <row r="103" s="1" customFormat="1" ht="19.5" customHeight="1" x14ac:dyDescent="0.2"/>
    <row r="104" s="1" customFormat="1" ht="19.5" customHeight="1" x14ac:dyDescent="0.2"/>
    <row r="105" s="1" customFormat="1" ht="19.5" customHeight="1" x14ac:dyDescent="0.2"/>
    <row r="106" s="1" customFormat="1" ht="19.5" customHeight="1" x14ac:dyDescent="0.2"/>
    <row r="107" s="1" customFormat="1" ht="19.5" customHeight="1" x14ac:dyDescent="0.2"/>
    <row r="108" s="1" customFormat="1" ht="19.5" customHeight="1" x14ac:dyDescent="0.2"/>
    <row r="109" s="1" customFormat="1" ht="19.5" customHeight="1" x14ac:dyDescent="0.2"/>
    <row r="110" s="1" customFormat="1" ht="19.5" customHeight="1" x14ac:dyDescent="0.2"/>
    <row r="111" s="1" customFormat="1" ht="19.5" customHeight="1" x14ac:dyDescent="0.2"/>
    <row r="112" s="1" customFormat="1" ht="19.5" customHeight="1" x14ac:dyDescent="0.2"/>
    <row r="113" s="1" customFormat="1" ht="19.5" customHeight="1" x14ac:dyDescent="0.2"/>
    <row r="114" s="1" customFormat="1" ht="19.5" customHeight="1" x14ac:dyDescent="0.2"/>
    <row r="115" s="1" customFormat="1" ht="19.5" customHeight="1" x14ac:dyDescent="0.2"/>
    <row r="116" s="1" customFormat="1" ht="19.5" customHeight="1" x14ac:dyDescent="0.2"/>
  </sheetData>
  <mergeCells count="5">
    <mergeCell ref="B1:Q1"/>
    <mergeCell ref="B2:Q2"/>
    <mergeCell ref="B3:Q3"/>
    <mergeCell ref="B5:Q5"/>
    <mergeCell ref="B24:Q24"/>
  </mergeCells>
  <conditionalFormatting sqref="P53">
    <cfRule type="cellIs" dxfId="22" priority="6" operator="between">
      <formula>0</formula>
      <formula>79</formula>
    </cfRule>
  </conditionalFormatting>
  <conditionalFormatting sqref="P6:P21">
    <cfRule type="cellIs" dxfId="21" priority="2" operator="between">
      <formula>0</formula>
      <formula>140</formula>
    </cfRule>
  </conditionalFormatting>
  <conditionalFormatting sqref="P25:P52">
    <cfRule type="cellIs" dxfId="20" priority="1" operator="between">
      <formula>0</formula>
      <formula>79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-0.249977111117893"/>
  </sheetPr>
  <dimension ref="A1:S117"/>
  <sheetViews>
    <sheetView workbookViewId="0">
      <pane ySplit="4" topLeftCell="A38" activePane="bottomLeft" state="frozen"/>
      <selection pane="bottomLeft" sqref="A1:XFD1048576"/>
    </sheetView>
  </sheetViews>
  <sheetFormatPr defaultColWidth="9.140625" defaultRowHeight="12" x14ac:dyDescent="0.2"/>
  <cols>
    <col min="1" max="1" width="1.42578125" style="1" customWidth="1"/>
    <col min="2" max="2" width="30.28515625" style="1" customWidth="1"/>
    <col min="3" max="3" width="10.5703125" style="44" customWidth="1"/>
    <col min="4" max="4" width="8.28515625" style="1" customWidth="1"/>
    <col min="5" max="5" width="10.7109375" style="1" customWidth="1"/>
    <col min="6" max="6" width="9.7109375" style="44" customWidth="1"/>
    <col min="7" max="7" width="9" style="1" customWidth="1"/>
    <col min="8" max="8" width="10.140625" style="1" customWidth="1"/>
    <col min="9" max="9" width="11.5703125" style="45" customWidth="1"/>
    <col min="10" max="10" width="10.28515625" style="45" customWidth="1"/>
    <col min="11" max="11" width="11.42578125" style="45" customWidth="1"/>
    <col min="12" max="12" width="8.140625" style="1" customWidth="1"/>
    <col min="13" max="13" width="10.140625" style="1" customWidth="1"/>
    <col min="14" max="14" width="10.42578125" style="1" customWidth="1"/>
    <col min="15" max="15" width="9.42578125" style="537" customWidth="1"/>
    <col min="16" max="16" width="9.42578125" style="47" customWidth="1"/>
    <col min="17" max="17" width="8.5703125" style="16" customWidth="1"/>
    <col min="18" max="18" width="11.5703125" style="1" customWidth="1"/>
    <col min="19" max="19" width="10" style="1" bestFit="1" customWidth="1"/>
    <col min="20" max="16384" width="9.140625" style="1"/>
  </cols>
  <sheetData>
    <row r="1" spans="2:19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9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9" ht="15" x14ac:dyDescent="0.25">
      <c r="B3" s="622">
        <v>45930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9" ht="33.75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532" t="s">
        <v>151</v>
      </c>
      <c r="P4" s="455" t="s">
        <v>16</v>
      </c>
      <c r="Q4" s="456" t="s">
        <v>17</v>
      </c>
    </row>
    <row r="5" spans="2:19" ht="15" x14ac:dyDescent="0.25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9" s="16" customFormat="1" ht="14.25" customHeight="1" x14ac:dyDescent="0.2">
      <c r="B6" s="10" t="s">
        <v>19</v>
      </c>
      <c r="C6" s="296">
        <v>40361</v>
      </c>
      <c r="D6" s="388">
        <v>326</v>
      </c>
      <c r="E6" s="190">
        <f t="shared" ref="E6:E21" si="0">C6-D6</f>
        <v>40035</v>
      </c>
      <c r="F6" s="352">
        <v>37690</v>
      </c>
      <c r="G6" s="592">
        <v>1380</v>
      </c>
      <c r="H6" s="190">
        <f t="shared" ref="H6:H21" si="1">F6+G6</f>
        <v>39070</v>
      </c>
      <c r="I6" s="352">
        <v>651333.41</v>
      </c>
      <c r="J6" s="191">
        <v>4163.7700000000004</v>
      </c>
      <c r="K6" s="198">
        <f t="shared" ref="K6:K21" si="2">I6+J6</f>
        <v>655497.18000000005</v>
      </c>
      <c r="L6" s="11">
        <f t="shared" ref="L6:L21" si="3">F6/E6</f>
        <v>0.94142625202947416</v>
      </c>
      <c r="M6" s="12">
        <f t="shared" ref="M6:M21" si="4">I6/F6</f>
        <v>17.28133218360308</v>
      </c>
      <c r="N6" s="13">
        <f t="shared" ref="N6:N21" si="5">M6/129.2394</f>
        <v>0.13371566398175078</v>
      </c>
      <c r="O6" s="550">
        <v>3349.6615384615388</v>
      </c>
      <c r="P6" s="14">
        <f t="shared" ref="P6:P18" si="6">C6/O6*12</f>
        <v>144.59132495590828</v>
      </c>
      <c r="Q6" s="15">
        <f t="shared" ref="Q6:Q18" si="7">(K6*12/O6)/129.2394</f>
        <v>18.17005383156166</v>
      </c>
      <c r="S6" s="590"/>
    </row>
    <row r="7" spans="2:19" s="16" customFormat="1" ht="14.25" customHeight="1" x14ac:dyDescent="0.2">
      <c r="B7" s="10" t="s">
        <v>20</v>
      </c>
      <c r="C7" s="296">
        <v>149054</v>
      </c>
      <c r="D7" s="388">
        <v>614</v>
      </c>
      <c r="E7" s="190">
        <f t="shared" si="0"/>
        <v>148440</v>
      </c>
      <c r="F7" s="352">
        <v>136791</v>
      </c>
      <c r="G7" s="592">
        <v>4840</v>
      </c>
      <c r="H7" s="190">
        <f t="shared" si="1"/>
        <v>141631</v>
      </c>
      <c r="I7" s="352">
        <v>1847722.99</v>
      </c>
      <c r="J7" s="191">
        <v>15275.85</v>
      </c>
      <c r="K7" s="198">
        <f t="shared" si="2"/>
        <v>1862998.84</v>
      </c>
      <c r="L7" s="11">
        <f t="shared" si="3"/>
        <v>0.92152384801940179</v>
      </c>
      <c r="M7" s="12">
        <f t="shared" si="4"/>
        <v>13.507635663164974</v>
      </c>
      <c r="N7" s="13">
        <f t="shared" si="5"/>
        <v>0.10451639100123472</v>
      </c>
      <c r="O7" s="550">
        <v>10545</v>
      </c>
      <c r="P7" s="14">
        <f t="shared" si="6"/>
        <v>169.62048364153628</v>
      </c>
      <c r="Q7" s="15">
        <f t="shared" si="7"/>
        <v>16.404096420653214</v>
      </c>
      <c r="S7" s="590"/>
    </row>
    <row r="8" spans="2:19" s="16" customFormat="1" ht="14.25" customHeight="1" x14ac:dyDescent="0.2">
      <c r="B8" s="10" t="s">
        <v>21</v>
      </c>
      <c r="C8" s="296">
        <v>40705</v>
      </c>
      <c r="D8" s="388">
        <v>397</v>
      </c>
      <c r="E8" s="190">
        <f t="shared" si="0"/>
        <v>40308</v>
      </c>
      <c r="F8" s="352">
        <v>39320</v>
      </c>
      <c r="G8" s="592">
        <v>1120</v>
      </c>
      <c r="H8" s="190">
        <f t="shared" si="1"/>
        <v>40440</v>
      </c>
      <c r="I8" s="352">
        <v>770766.90999999992</v>
      </c>
      <c r="J8" s="191">
        <v>3379.27</v>
      </c>
      <c r="K8" s="198">
        <f t="shared" si="2"/>
        <v>774146.17999999993</v>
      </c>
      <c r="L8" s="11">
        <f t="shared" si="3"/>
        <v>0.9754887367272006</v>
      </c>
      <c r="M8" s="12">
        <f t="shared" si="4"/>
        <v>19.60241378433367</v>
      </c>
      <c r="N8" s="13">
        <f t="shared" si="5"/>
        <v>0.15167521502215014</v>
      </c>
      <c r="O8" s="551">
        <v>5768.8615384615377</v>
      </c>
      <c r="P8" s="14">
        <f t="shared" si="6"/>
        <v>84.67181899641578</v>
      </c>
      <c r="Q8" s="15">
        <f t="shared" si="7"/>
        <v>12.460032430786447</v>
      </c>
      <c r="S8" s="590"/>
    </row>
    <row r="9" spans="2:19" s="16" customFormat="1" ht="14.25" customHeight="1" x14ac:dyDescent="0.2">
      <c r="B9" s="10" t="s">
        <v>22</v>
      </c>
      <c r="C9" s="296">
        <v>38402</v>
      </c>
      <c r="D9" s="388">
        <v>315</v>
      </c>
      <c r="E9" s="190">
        <f t="shared" si="0"/>
        <v>38087</v>
      </c>
      <c r="F9" s="352">
        <v>32985</v>
      </c>
      <c r="G9" s="592">
        <v>2500</v>
      </c>
      <c r="H9" s="190">
        <f t="shared" si="1"/>
        <v>35485</v>
      </c>
      <c r="I9" s="352">
        <v>618738.04</v>
      </c>
      <c r="J9" s="191">
        <v>7646.53</v>
      </c>
      <c r="K9" s="198">
        <f t="shared" si="2"/>
        <v>626384.57000000007</v>
      </c>
      <c r="L9" s="11">
        <f t="shared" si="3"/>
        <v>0.86604353191377637</v>
      </c>
      <c r="M9" s="12">
        <f t="shared" si="4"/>
        <v>18.758164013945734</v>
      </c>
      <c r="N9" s="13">
        <f t="shared" si="5"/>
        <v>0.14514276616841099</v>
      </c>
      <c r="O9" s="550">
        <v>4962.4615384615381</v>
      </c>
      <c r="P9" s="14">
        <f t="shared" si="6"/>
        <v>92.861979166666671</v>
      </c>
      <c r="Q9" s="15">
        <f t="shared" si="7"/>
        <v>11.720070123578157</v>
      </c>
      <c r="S9" s="590"/>
    </row>
    <row r="10" spans="2:19" s="16" customFormat="1" ht="14.25" customHeight="1" x14ac:dyDescent="0.2">
      <c r="B10" s="10" t="s">
        <v>23</v>
      </c>
      <c r="C10" s="296">
        <v>39010</v>
      </c>
      <c r="D10" s="388">
        <v>472</v>
      </c>
      <c r="E10" s="190">
        <f t="shared" si="0"/>
        <v>38538</v>
      </c>
      <c r="F10" s="352">
        <v>32859</v>
      </c>
      <c r="G10" s="592">
        <v>3240</v>
      </c>
      <c r="H10" s="190">
        <f t="shared" si="1"/>
        <v>36099</v>
      </c>
      <c r="I10" s="352">
        <v>529277.22</v>
      </c>
      <c r="J10" s="191">
        <v>10060.32</v>
      </c>
      <c r="K10" s="198">
        <f t="shared" si="2"/>
        <v>539337.53999999992</v>
      </c>
      <c r="L10" s="11">
        <f t="shared" si="3"/>
        <v>0.85263895375992527</v>
      </c>
      <c r="M10" s="12">
        <f t="shared" si="4"/>
        <v>16.107526705012326</v>
      </c>
      <c r="N10" s="13">
        <f t="shared" si="5"/>
        <v>0.12463325197279101</v>
      </c>
      <c r="O10" s="550">
        <v>5148.5538461538463</v>
      </c>
      <c r="P10" s="14">
        <f t="shared" si="6"/>
        <v>90.922619047619037</v>
      </c>
      <c r="Q10" s="15">
        <f t="shared" si="7"/>
        <v>9.7266145021499355</v>
      </c>
      <c r="S10" s="590"/>
    </row>
    <row r="11" spans="2:19" s="16" customFormat="1" ht="14.25" customHeight="1" x14ac:dyDescent="0.2">
      <c r="B11" s="10" t="s">
        <v>24</v>
      </c>
      <c r="C11" s="296">
        <v>48016</v>
      </c>
      <c r="D11" s="388">
        <v>270</v>
      </c>
      <c r="E11" s="190">
        <f t="shared" si="0"/>
        <v>47746</v>
      </c>
      <c r="F11" s="352">
        <v>40490</v>
      </c>
      <c r="G11" s="592">
        <v>2240</v>
      </c>
      <c r="H11" s="190">
        <f t="shared" si="1"/>
        <v>42730</v>
      </c>
      <c r="I11" s="352">
        <v>635586.89999999991</v>
      </c>
      <c r="J11" s="191">
        <v>6758.6</v>
      </c>
      <c r="K11" s="198">
        <f t="shared" si="2"/>
        <v>642345.49999999988</v>
      </c>
      <c r="L11" s="11">
        <f t="shared" si="3"/>
        <v>0.8480291542747036</v>
      </c>
      <c r="M11" s="12">
        <f t="shared" si="4"/>
        <v>15.697379599901208</v>
      </c>
      <c r="N11" s="13">
        <f t="shared" si="5"/>
        <v>0.12145970655930938</v>
      </c>
      <c r="O11" s="550">
        <v>5492.6769230769232</v>
      </c>
      <c r="P11" s="14">
        <f t="shared" si="6"/>
        <v>104.90185533745631</v>
      </c>
      <c r="Q11" s="15">
        <f t="shared" si="7"/>
        <v>10.85852771483871</v>
      </c>
      <c r="S11" s="590"/>
    </row>
    <row r="12" spans="2:19" s="16" customFormat="1" ht="14.25" customHeight="1" x14ac:dyDescent="0.2">
      <c r="B12" s="10" t="s">
        <v>25</v>
      </c>
      <c r="C12" s="296">
        <v>92844</v>
      </c>
      <c r="D12" s="388">
        <v>447</v>
      </c>
      <c r="E12" s="190">
        <f t="shared" si="0"/>
        <v>92397</v>
      </c>
      <c r="F12" s="352">
        <v>87121</v>
      </c>
      <c r="G12" s="592">
        <v>4640</v>
      </c>
      <c r="H12" s="190">
        <f t="shared" si="1"/>
        <v>91761</v>
      </c>
      <c r="I12" s="352">
        <v>1407231.57</v>
      </c>
      <c r="J12" s="191">
        <v>21910.66</v>
      </c>
      <c r="K12" s="198">
        <f t="shared" si="2"/>
        <v>1429142.23</v>
      </c>
      <c r="L12" s="11">
        <f t="shared" si="3"/>
        <v>0.94289857895819129</v>
      </c>
      <c r="M12" s="12">
        <f t="shared" si="4"/>
        <v>16.152610392442696</v>
      </c>
      <c r="N12" s="13">
        <f t="shared" si="5"/>
        <v>0.1249820905423787</v>
      </c>
      <c r="O12" s="550">
        <v>8067.6</v>
      </c>
      <c r="P12" s="14">
        <f t="shared" si="6"/>
        <v>138.09906291834002</v>
      </c>
      <c r="Q12" s="15">
        <f t="shared" si="7"/>
        <v>16.448163262540362</v>
      </c>
      <c r="S12" s="590"/>
    </row>
    <row r="13" spans="2:19" s="16" customFormat="1" ht="14.25" customHeight="1" x14ac:dyDescent="0.2">
      <c r="B13" s="10" t="s">
        <v>26</v>
      </c>
      <c r="C13" s="296">
        <v>23126</v>
      </c>
      <c r="D13" s="388">
        <v>231</v>
      </c>
      <c r="E13" s="190">
        <f t="shared" si="0"/>
        <v>22895</v>
      </c>
      <c r="F13" s="352">
        <v>19180</v>
      </c>
      <c r="G13" s="592">
        <v>2580</v>
      </c>
      <c r="H13" s="190">
        <f t="shared" si="1"/>
        <v>21760</v>
      </c>
      <c r="I13" s="352">
        <v>288895.31</v>
      </c>
      <c r="J13" s="191">
        <v>8043.08</v>
      </c>
      <c r="K13" s="198">
        <f t="shared" si="2"/>
        <v>296938.39</v>
      </c>
      <c r="L13" s="11">
        <f t="shared" si="3"/>
        <v>0.83773749727014635</v>
      </c>
      <c r="M13" s="12">
        <f t="shared" si="4"/>
        <v>15.062320646506778</v>
      </c>
      <c r="N13" s="13">
        <f t="shared" si="5"/>
        <v>0.11654588806901595</v>
      </c>
      <c r="O13" s="550">
        <v>2419.1999999999998</v>
      </c>
      <c r="P13" s="14">
        <f t="shared" si="6"/>
        <v>114.7123015873016</v>
      </c>
      <c r="Q13" s="15">
        <f t="shared" si="7"/>
        <v>11.396746507300064</v>
      </c>
      <c r="S13" s="590"/>
    </row>
    <row r="14" spans="2:19" s="16" customFormat="1" ht="14.25" customHeight="1" x14ac:dyDescent="0.2">
      <c r="B14" s="10" t="s">
        <v>27</v>
      </c>
      <c r="C14" s="296">
        <v>123597</v>
      </c>
      <c r="D14" s="388">
        <v>616</v>
      </c>
      <c r="E14" s="190">
        <f t="shared" si="0"/>
        <v>122981</v>
      </c>
      <c r="F14" s="352">
        <v>115721</v>
      </c>
      <c r="G14" s="592">
        <v>3700</v>
      </c>
      <c r="H14" s="190">
        <f t="shared" si="1"/>
        <v>119421</v>
      </c>
      <c r="I14" s="352">
        <v>1982832.89</v>
      </c>
      <c r="J14" s="191">
        <v>11991.36</v>
      </c>
      <c r="K14" s="198">
        <f t="shared" si="2"/>
        <v>1994824.25</v>
      </c>
      <c r="L14" s="11">
        <f t="shared" si="3"/>
        <v>0.94096649075873506</v>
      </c>
      <c r="M14" s="12">
        <f t="shared" si="4"/>
        <v>17.134598646745189</v>
      </c>
      <c r="N14" s="13">
        <f t="shared" si="5"/>
        <v>0.13258030172490115</v>
      </c>
      <c r="O14" s="550">
        <v>8560</v>
      </c>
      <c r="P14" s="14">
        <f t="shared" si="6"/>
        <v>173.26682242990654</v>
      </c>
      <c r="Q14" s="15">
        <f t="shared" si="7"/>
        <v>21.638003530331648</v>
      </c>
      <c r="S14" s="590"/>
    </row>
    <row r="15" spans="2:19" s="16" customFormat="1" ht="14.25" customHeight="1" x14ac:dyDescent="0.2">
      <c r="B15" s="10" t="s">
        <v>28</v>
      </c>
      <c r="C15" s="296">
        <v>91619</v>
      </c>
      <c r="D15" s="388">
        <v>919</v>
      </c>
      <c r="E15" s="190">
        <f t="shared" si="0"/>
        <v>90700</v>
      </c>
      <c r="F15" s="352">
        <v>55240</v>
      </c>
      <c r="G15" s="592">
        <v>25520</v>
      </c>
      <c r="H15" s="190">
        <f t="shared" si="1"/>
        <v>80760</v>
      </c>
      <c r="I15" s="352">
        <v>822436.38000000012</v>
      </c>
      <c r="J15" s="191">
        <v>77982.789999999994</v>
      </c>
      <c r="K15" s="198">
        <f t="shared" si="2"/>
        <v>900419.17000000016</v>
      </c>
      <c r="L15" s="11">
        <f t="shared" si="3"/>
        <v>0.60904079382579934</v>
      </c>
      <c r="M15" s="12">
        <f t="shared" si="4"/>
        <v>14.888421071687185</v>
      </c>
      <c r="N15" s="13">
        <f t="shared" si="5"/>
        <v>0.11520032646149074</v>
      </c>
      <c r="O15" s="550">
        <v>10048.984615384614</v>
      </c>
      <c r="P15" s="14">
        <f t="shared" si="6"/>
        <v>109.4068746325691</v>
      </c>
      <c r="Q15" s="15">
        <f t="shared" si="7"/>
        <v>8.3197229467206757</v>
      </c>
      <c r="S15" s="590"/>
    </row>
    <row r="16" spans="2:19" s="16" customFormat="1" ht="14.25" customHeight="1" x14ac:dyDescent="0.2">
      <c r="B16" s="10" t="s">
        <v>29</v>
      </c>
      <c r="C16" s="296">
        <v>40930</v>
      </c>
      <c r="D16" s="388">
        <v>321</v>
      </c>
      <c r="E16" s="190">
        <f t="shared" si="0"/>
        <v>40609</v>
      </c>
      <c r="F16" s="352">
        <v>29447</v>
      </c>
      <c r="G16" s="592">
        <v>2060</v>
      </c>
      <c r="H16" s="190">
        <f t="shared" si="1"/>
        <v>31507</v>
      </c>
      <c r="I16" s="352">
        <v>439816.36999999994</v>
      </c>
      <c r="J16" s="191">
        <v>6215.5</v>
      </c>
      <c r="K16" s="198">
        <f t="shared" si="2"/>
        <v>446031.86999999994</v>
      </c>
      <c r="L16" s="11">
        <f t="shared" si="3"/>
        <v>0.72513482233002535</v>
      </c>
      <c r="M16" s="12">
        <f t="shared" si="4"/>
        <v>14.935863415628075</v>
      </c>
      <c r="N16" s="13">
        <f t="shared" si="5"/>
        <v>0.11556741532093213</v>
      </c>
      <c r="O16" s="550">
        <v>2233</v>
      </c>
      <c r="P16" s="14">
        <f t="shared" si="6"/>
        <v>219.95521719659652</v>
      </c>
      <c r="Q16" s="15">
        <f t="shared" si="7"/>
        <v>18.546564789903734</v>
      </c>
      <c r="S16" s="590"/>
    </row>
    <row r="17" spans="2:19" s="16" customFormat="1" ht="14.25" customHeight="1" x14ac:dyDescent="0.2">
      <c r="B17" s="10" t="s">
        <v>30</v>
      </c>
      <c r="C17" s="296">
        <v>159778</v>
      </c>
      <c r="D17" s="388">
        <v>414</v>
      </c>
      <c r="E17" s="190">
        <f t="shared" si="0"/>
        <v>159364</v>
      </c>
      <c r="F17" s="352">
        <v>142451</v>
      </c>
      <c r="G17" s="592">
        <v>1540</v>
      </c>
      <c r="H17" s="190">
        <f t="shared" si="1"/>
        <v>143991</v>
      </c>
      <c r="I17" s="352">
        <v>2250528.67</v>
      </c>
      <c r="J17" s="191">
        <v>5370.69</v>
      </c>
      <c r="K17" s="198">
        <f t="shared" si="2"/>
        <v>2255899.36</v>
      </c>
      <c r="L17" s="11">
        <f t="shared" si="3"/>
        <v>0.89387189076579399</v>
      </c>
      <c r="M17" s="12">
        <f t="shared" si="4"/>
        <v>15.798616155730741</v>
      </c>
      <c r="N17" s="13">
        <f t="shared" si="5"/>
        <v>0.12224303235492227</v>
      </c>
      <c r="O17" s="550">
        <v>10330.231</v>
      </c>
      <c r="P17" s="14">
        <f t="shared" si="6"/>
        <v>185.60436838246889</v>
      </c>
      <c r="Q17" s="15">
        <f t="shared" si="7"/>
        <v>20.276640478629147</v>
      </c>
      <c r="S17" s="590"/>
    </row>
    <row r="18" spans="2:19" s="16" customFormat="1" ht="14.25" customHeight="1" x14ac:dyDescent="0.2">
      <c r="B18" s="10" t="s">
        <v>32</v>
      </c>
      <c r="C18" s="296">
        <v>38640</v>
      </c>
      <c r="D18" s="388">
        <v>285</v>
      </c>
      <c r="E18" s="190">
        <f t="shared" si="0"/>
        <v>38355</v>
      </c>
      <c r="F18" s="352">
        <v>33766</v>
      </c>
      <c r="G18" s="592">
        <v>3280</v>
      </c>
      <c r="H18" s="190">
        <f t="shared" si="1"/>
        <v>37046</v>
      </c>
      <c r="I18" s="352">
        <v>863916.18</v>
      </c>
      <c r="J18" s="191">
        <v>9896.5400000000009</v>
      </c>
      <c r="K18" s="198">
        <f t="shared" si="2"/>
        <v>873812.72000000009</v>
      </c>
      <c r="L18" s="11">
        <f t="shared" si="3"/>
        <v>0.88035458219267371</v>
      </c>
      <c r="M18" s="12">
        <f t="shared" si="4"/>
        <v>25.585387075756678</v>
      </c>
      <c r="N18" s="13">
        <f t="shared" si="5"/>
        <v>0.19796894039864529</v>
      </c>
      <c r="O18" s="550">
        <v>4962.4615384615381</v>
      </c>
      <c r="P18" s="14">
        <f t="shared" si="6"/>
        <v>93.4375</v>
      </c>
      <c r="Q18" s="15">
        <f t="shared" si="7"/>
        <v>16.34961466767064</v>
      </c>
      <c r="S18" s="590"/>
    </row>
    <row r="19" spans="2:19" s="16" customFormat="1" ht="14.25" customHeight="1" x14ac:dyDescent="0.2">
      <c r="B19" s="388" t="s">
        <v>157</v>
      </c>
      <c r="C19" s="296">
        <v>1255</v>
      </c>
      <c r="D19" s="10">
        <v>13</v>
      </c>
      <c r="E19" s="190">
        <f t="shared" si="0"/>
        <v>1242</v>
      </c>
      <c r="F19" s="352">
        <v>1480</v>
      </c>
      <c r="G19" s="592">
        <v>40</v>
      </c>
      <c r="H19" s="190">
        <f t="shared" si="1"/>
        <v>1520</v>
      </c>
      <c r="I19" s="352">
        <v>20489.71</v>
      </c>
      <c r="J19" s="353">
        <v>120.69</v>
      </c>
      <c r="K19" s="198">
        <f t="shared" si="2"/>
        <v>20610.399999999998</v>
      </c>
      <c r="L19" s="11">
        <f t="shared" si="3"/>
        <v>1.1916264090177133</v>
      </c>
      <c r="M19" s="12">
        <f t="shared" si="4"/>
        <v>13.844398648648648</v>
      </c>
      <c r="N19" s="13">
        <f t="shared" si="5"/>
        <v>0.10712212103003146</v>
      </c>
      <c r="O19" s="550"/>
      <c r="P19" s="14"/>
      <c r="Q19" s="15"/>
      <c r="S19" s="591"/>
    </row>
    <row r="20" spans="2:19" s="16" customFormat="1" ht="14.25" customHeight="1" x14ac:dyDescent="0.2">
      <c r="B20" s="10" t="s">
        <v>33</v>
      </c>
      <c r="C20" s="296">
        <v>4253</v>
      </c>
      <c r="D20" s="388">
        <v>39</v>
      </c>
      <c r="E20" s="190">
        <f t="shared" si="0"/>
        <v>4214</v>
      </c>
      <c r="F20" s="352">
        <v>4840</v>
      </c>
      <c r="G20" s="592">
        <v>820</v>
      </c>
      <c r="H20" s="190">
        <f t="shared" si="1"/>
        <v>5660</v>
      </c>
      <c r="I20" s="352">
        <v>67823.170000000013</v>
      </c>
      <c r="J20" s="191">
        <v>2474.13</v>
      </c>
      <c r="K20" s="198">
        <f t="shared" si="2"/>
        <v>70297.300000000017</v>
      </c>
      <c r="L20" s="11">
        <f t="shared" si="3"/>
        <v>1.1485524442335073</v>
      </c>
      <c r="M20" s="12">
        <f t="shared" si="4"/>
        <v>14.013051652892564</v>
      </c>
      <c r="N20" s="13">
        <f t="shared" si="5"/>
        <v>0.10842708688598496</v>
      </c>
      <c r="O20" s="550">
        <v>2605.292307692308</v>
      </c>
      <c r="P20" s="14">
        <f>C20/O20*12</f>
        <v>19.589356575963716</v>
      </c>
      <c r="Q20" s="15">
        <f>(K20*12/O20)/129.2394</f>
        <v>2.5053505464837631</v>
      </c>
      <c r="R20" s="16" t="s">
        <v>118</v>
      </c>
      <c r="S20" s="590"/>
    </row>
    <row r="21" spans="2:19" s="16" customFormat="1" ht="14.25" customHeight="1" x14ac:dyDescent="0.2">
      <c r="B21" s="17" t="s">
        <v>34</v>
      </c>
      <c r="C21" s="576">
        <v>76739</v>
      </c>
      <c r="D21" s="390">
        <v>339</v>
      </c>
      <c r="E21" s="193">
        <f t="shared" si="0"/>
        <v>76400</v>
      </c>
      <c r="F21" s="355">
        <v>71369</v>
      </c>
      <c r="G21" s="593">
        <v>940</v>
      </c>
      <c r="H21" s="193">
        <f t="shared" si="1"/>
        <v>72309</v>
      </c>
      <c r="I21" s="355">
        <v>1163388.8799999999</v>
      </c>
      <c r="J21" s="541">
        <v>3068.95</v>
      </c>
      <c r="K21" s="205">
        <f t="shared" si="2"/>
        <v>1166457.8299999998</v>
      </c>
      <c r="L21" s="358">
        <f t="shared" si="3"/>
        <v>0.93414921465968581</v>
      </c>
      <c r="M21" s="18">
        <f t="shared" si="4"/>
        <v>16.301039386848629</v>
      </c>
      <c r="N21" s="195">
        <f t="shared" si="5"/>
        <v>0.12613057153506307</v>
      </c>
      <c r="O21" s="552">
        <v>5334</v>
      </c>
      <c r="P21" s="19">
        <f>C21/O21*12</f>
        <v>172.6411698537683</v>
      </c>
      <c r="Q21" s="204">
        <f>(K21*12/O21)/129.2394</f>
        <v>20.304969631849652</v>
      </c>
      <c r="S21" s="590"/>
    </row>
    <row r="22" spans="2:19" s="16" customFormat="1" ht="14.25" customHeight="1" x14ac:dyDescent="0.2">
      <c r="B22" s="249" t="s">
        <v>174</v>
      </c>
      <c r="C22" s="344">
        <v>213</v>
      </c>
      <c r="D22" s="594"/>
      <c r="E22" s="595"/>
      <c r="F22" s="596"/>
      <c r="G22" s="593"/>
      <c r="H22" s="595"/>
      <c r="I22" s="596"/>
      <c r="J22" s="597"/>
      <c r="K22" s="598"/>
      <c r="L22" s="264"/>
      <c r="M22" s="252"/>
      <c r="N22" s="343"/>
      <c r="O22" s="599"/>
      <c r="P22" s="253"/>
      <c r="Q22" s="600"/>
      <c r="S22" s="590"/>
    </row>
    <row r="23" spans="2:19" ht="15.75" customHeight="1" thickBot="1" x14ac:dyDescent="0.25">
      <c r="B23" s="577" t="s">
        <v>35</v>
      </c>
      <c r="C23" s="578">
        <f>SUM(C6:C22)</f>
        <v>1008542</v>
      </c>
      <c r="D23" s="578">
        <f t="shared" ref="D23:K23" si="8">SUM(D6:D22)</f>
        <v>6018</v>
      </c>
      <c r="E23" s="578">
        <f t="shared" si="8"/>
        <v>1002311</v>
      </c>
      <c r="F23" s="578">
        <f t="shared" si="8"/>
        <v>880750</v>
      </c>
      <c r="G23" s="578">
        <f t="shared" si="8"/>
        <v>60440</v>
      </c>
      <c r="H23" s="578">
        <f t="shared" si="8"/>
        <v>941190</v>
      </c>
      <c r="I23" s="578">
        <f t="shared" si="8"/>
        <v>14360784.599999998</v>
      </c>
      <c r="J23" s="578">
        <f t="shared" si="8"/>
        <v>194358.73</v>
      </c>
      <c r="K23" s="578">
        <f t="shared" si="8"/>
        <v>14555143.33</v>
      </c>
      <c r="L23" s="579">
        <f t="shared" ref="L23" si="9">F23/E23</f>
        <v>0.87871927974451047</v>
      </c>
      <c r="M23" s="580">
        <f t="shared" ref="M23" si="10">I23/F23</f>
        <v>16.305176951461821</v>
      </c>
      <c r="N23" s="581">
        <f t="shared" ref="N23" si="11">M23/129.2394</f>
        <v>0.12616258626596705</v>
      </c>
      <c r="O23" s="582">
        <f>SUM(O6:O21)</f>
        <v>89827.984846153835</v>
      </c>
      <c r="P23" s="583">
        <f t="shared" ref="P23" si="12">C23/O23*12</f>
        <v>134.72977291795712</v>
      </c>
      <c r="Q23" s="584">
        <f t="shared" ref="Q23" si="13">(K23*12/O23)/129.2394</f>
        <v>15.044963634391195</v>
      </c>
    </row>
    <row r="24" spans="2:19" ht="17.25" customHeight="1" thickTop="1" thickBot="1" x14ac:dyDescent="0.25">
      <c r="B24" s="26" t="s">
        <v>36</v>
      </c>
      <c r="C24" s="27"/>
      <c r="D24" s="28">
        <f>D23/C23</f>
        <v>5.9670296328759734E-3</v>
      </c>
      <c r="E24" s="29">
        <f>E23/C23</f>
        <v>0.9938217744030492</v>
      </c>
      <c r="F24" s="30"/>
      <c r="G24" s="31"/>
      <c r="H24" s="30"/>
      <c r="I24" s="30"/>
      <c r="J24" s="30"/>
      <c r="K24" s="30"/>
      <c r="L24" s="32"/>
      <c r="M24" s="30"/>
      <c r="N24" s="33"/>
      <c r="O24" s="534"/>
      <c r="P24" s="34"/>
      <c r="Q24" s="35"/>
      <c r="R24" s="45"/>
    </row>
    <row r="25" spans="2:19" ht="21" customHeight="1" thickTop="1" x14ac:dyDescent="0.25">
      <c r="B25" s="623" t="s">
        <v>37</v>
      </c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</row>
    <row r="26" spans="2:19" ht="15" customHeight="1" x14ac:dyDescent="0.2">
      <c r="B26" s="13" t="s">
        <v>38</v>
      </c>
      <c r="C26" s="296">
        <v>12727</v>
      </c>
      <c r="D26" s="352">
        <v>137</v>
      </c>
      <c r="E26" s="200">
        <f t="shared" ref="E26:E52" si="14">C26-D26</f>
        <v>12590</v>
      </c>
      <c r="F26" s="352">
        <v>10540</v>
      </c>
      <c r="G26" s="191">
        <v>500</v>
      </c>
      <c r="H26" s="202">
        <f t="shared" ref="H26:H52" si="15">F26+G26</f>
        <v>11040</v>
      </c>
      <c r="I26" s="352">
        <v>408429.78</v>
      </c>
      <c r="J26" s="191">
        <v>1724.15</v>
      </c>
      <c r="K26" s="200">
        <f t="shared" ref="K26:K52" si="16">I26+J26</f>
        <v>410153.93000000005</v>
      </c>
      <c r="L26" s="36">
        <f t="shared" ref="L26:L52" si="17">F26/E26</f>
        <v>0.83717235901509135</v>
      </c>
      <c r="M26" s="20">
        <f t="shared" ref="M26:M52" si="18">I26/F26</f>
        <v>38.750453510436436</v>
      </c>
      <c r="N26" s="37">
        <f t="shared" ref="N26:N52" si="19">M26/129.2394</f>
        <v>0.29983467511019424</v>
      </c>
      <c r="O26" s="533">
        <v>3287.6307692307691</v>
      </c>
      <c r="P26" s="14">
        <f t="shared" ref="P26:P33" si="20">C26/O26*12</f>
        <v>46.454121743036836</v>
      </c>
      <c r="Q26" s="15">
        <f t="shared" ref="Q26:Q52" si="21">(K26*12/O26)/129.2394</f>
        <v>11.583776078373349</v>
      </c>
      <c r="S26" s="590"/>
    </row>
    <row r="27" spans="2:19" ht="15" customHeight="1" x14ac:dyDescent="0.2">
      <c r="B27" s="13" t="s">
        <v>39</v>
      </c>
      <c r="C27" s="296">
        <v>31289</v>
      </c>
      <c r="D27" s="352">
        <v>175</v>
      </c>
      <c r="E27" s="200">
        <f t="shared" si="14"/>
        <v>31114</v>
      </c>
      <c r="F27" s="352">
        <v>33170</v>
      </c>
      <c r="G27" s="191">
        <v>660</v>
      </c>
      <c r="H27" s="202">
        <f t="shared" si="15"/>
        <v>33830</v>
      </c>
      <c r="I27" s="352">
        <v>1227407.6800000002</v>
      </c>
      <c r="J27" s="191">
        <v>2275.89</v>
      </c>
      <c r="K27" s="200">
        <f t="shared" si="16"/>
        <v>1229683.57</v>
      </c>
      <c r="L27" s="36">
        <f t="shared" si="17"/>
        <v>1.0660795783248698</v>
      </c>
      <c r="M27" s="20">
        <f t="shared" si="18"/>
        <v>37.003547784142299</v>
      </c>
      <c r="N27" s="37">
        <f t="shared" si="19"/>
        <v>0.28631785495864498</v>
      </c>
      <c r="O27" s="533">
        <v>5520.7384615384617</v>
      </c>
      <c r="P27" s="14">
        <f t="shared" si="20"/>
        <v>68.010466827180309</v>
      </c>
      <c r="Q27" s="15">
        <f t="shared" si="21"/>
        <v>20.681522646468476</v>
      </c>
      <c r="S27" s="590"/>
    </row>
    <row r="28" spans="2:19" ht="15" customHeight="1" x14ac:dyDescent="0.2">
      <c r="B28" s="13" t="s">
        <v>40</v>
      </c>
      <c r="C28" s="296">
        <v>7770</v>
      </c>
      <c r="D28" s="352">
        <v>71</v>
      </c>
      <c r="E28" s="200">
        <f t="shared" si="14"/>
        <v>7699</v>
      </c>
      <c r="F28" s="352">
        <v>7170</v>
      </c>
      <c r="G28" s="191">
        <v>380</v>
      </c>
      <c r="H28" s="202">
        <f t="shared" si="15"/>
        <v>7550</v>
      </c>
      <c r="I28" s="352">
        <v>280926.7</v>
      </c>
      <c r="J28" s="191">
        <v>1310.3499999999999</v>
      </c>
      <c r="K28" s="200">
        <f t="shared" si="16"/>
        <v>282237.05</v>
      </c>
      <c r="L28" s="36">
        <f t="shared" si="17"/>
        <v>0.93128977789323286</v>
      </c>
      <c r="M28" s="20">
        <f t="shared" si="18"/>
        <v>39.180850767085076</v>
      </c>
      <c r="N28" s="37">
        <f t="shared" si="19"/>
        <v>0.30316490766039672</v>
      </c>
      <c r="O28" s="533">
        <v>2481.2307692307691</v>
      </c>
      <c r="P28" s="14">
        <f t="shared" si="20"/>
        <v>37.578125</v>
      </c>
      <c r="Q28" s="15">
        <f t="shared" si="21"/>
        <v>10.56168423009473</v>
      </c>
      <c r="S28" s="590"/>
    </row>
    <row r="29" spans="2:19" ht="15" customHeight="1" x14ac:dyDescent="0.2">
      <c r="B29" s="13" t="s">
        <v>41</v>
      </c>
      <c r="C29" s="296">
        <v>21245</v>
      </c>
      <c r="D29" s="352">
        <v>180</v>
      </c>
      <c r="E29" s="200">
        <f t="shared" si="14"/>
        <v>21065</v>
      </c>
      <c r="F29" s="352">
        <v>16510</v>
      </c>
      <c r="G29" s="191">
        <v>860</v>
      </c>
      <c r="H29" s="202">
        <f t="shared" si="15"/>
        <v>17370</v>
      </c>
      <c r="I29" s="352">
        <v>594840.14</v>
      </c>
      <c r="J29" s="191">
        <v>2965.53</v>
      </c>
      <c r="K29" s="200">
        <f t="shared" si="16"/>
        <v>597805.67000000004</v>
      </c>
      <c r="L29" s="36">
        <f t="shared" si="17"/>
        <v>0.78376453833372894</v>
      </c>
      <c r="M29" s="20">
        <f t="shared" si="18"/>
        <v>36.029081768625076</v>
      </c>
      <c r="N29" s="37">
        <f t="shared" si="19"/>
        <v>0.27877784768905672</v>
      </c>
      <c r="O29" s="533">
        <v>3225.5999999999995</v>
      </c>
      <c r="P29" s="14">
        <f t="shared" si="20"/>
        <v>79.036458333333343</v>
      </c>
      <c r="Q29" s="15">
        <f t="shared" si="21"/>
        <v>17.208215351381501</v>
      </c>
      <c r="S29" s="590"/>
    </row>
    <row r="30" spans="2:19" ht="15" customHeight="1" x14ac:dyDescent="0.2">
      <c r="B30" s="13" t="s">
        <v>42</v>
      </c>
      <c r="C30" s="296">
        <v>18591</v>
      </c>
      <c r="D30" s="352">
        <v>242</v>
      </c>
      <c r="E30" s="200">
        <f t="shared" si="14"/>
        <v>18349</v>
      </c>
      <c r="F30" s="352">
        <v>17800</v>
      </c>
      <c r="G30" s="191">
        <v>740</v>
      </c>
      <c r="H30" s="202">
        <f t="shared" si="15"/>
        <v>18540</v>
      </c>
      <c r="I30" s="352">
        <v>691291.77</v>
      </c>
      <c r="J30" s="191">
        <v>2551.7199999999998</v>
      </c>
      <c r="K30" s="200">
        <f t="shared" si="16"/>
        <v>693843.49</v>
      </c>
      <c r="L30" s="36">
        <f t="shared" si="17"/>
        <v>0.97008011335767619</v>
      </c>
      <c r="M30" s="20">
        <f t="shared" si="18"/>
        <v>38.836616292134835</v>
      </c>
      <c r="N30" s="37">
        <f t="shared" si="19"/>
        <v>0.30050136639550196</v>
      </c>
      <c r="O30" s="533">
        <v>2357.1692307692306</v>
      </c>
      <c r="P30" s="14">
        <f t="shared" si="20"/>
        <v>94.644031954887225</v>
      </c>
      <c r="Q30" s="15">
        <f t="shared" si="21"/>
        <v>27.331097244177847</v>
      </c>
      <c r="S30" s="590"/>
    </row>
    <row r="31" spans="2:19" ht="15" customHeight="1" x14ac:dyDescent="0.2">
      <c r="B31" s="13" t="s">
        <v>43</v>
      </c>
      <c r="C31" s="296">
        <v>20526</v>
      </c>
      <c r="D31" s="352">
        <v>248</v>
      </c>
      <c r="E31" s="200">
        <f t="shared" si="14"/>
        <v>20278</v>
      </c>
      <c r="F31" s="352">
        <v>13910</v>
      </c>
      <c r="G31" s="191">
        <v>5060</v>
      </c>
      <c r="H31" s="202">
        <f t="shared" si="15"/>
        <v>18970</v>
      </c>
      <c r="I31" s="352">
        <v>473986.06</v>
      </c>
      <c r="J31" s="191">
        <v>17448.28</v>
      </c>
      <c r="K31" s="200">
        <f t="shared" si="16"/>
        <v>491434.33999999997</v>
      </c>
      <c r="L31" s="36">
        <f t="shared" si="17"/>
        <v>0.68596508531413358</v>
      </c>
      <c r="M31" s="20">
        <f t="shared" si="18"/>
        <v>34.075202012940331</v>
      </c>
      <c r="N31" s="37">
        <f t="shared" si="19"/>
        <v>0.26365954974210909</v>
      </c>
      <c r="O31" s="533">
        <v>2605.292307692308</v>
      </c>
      <c r="P31" s="14">
        <f t="shared" si="20"/>
        <v>94.542942176870739</v>
      </c>
      <c r="Q31" s="15">
        <f t="shared" si="21"/>
        <v>17.514403715077066</v>
      </c>
      <c r="S31" s="590"/>
    </row>
    <row r="32" spans="2:19" ht="15" customHeight="1" x14ac:dyDescent="0.2">
      <c r="B32" s="13" t="s">
        <v>44</v>
      </c>
      <c r="C32" s="296">
        <v>10391</v>
      </c>
      <c r="D32" s="352">
        <v>104</v>
      </c>
      <c r="E32" s="200">
        <f t="shared" si="14"/>
        <v>10287</v>
      </c>
      <c r="F32" s="352">
        <v>8070</v>
      </c>
      <c r="G32" s="191">
        <v>420</v>
      </c>
      <c r="H32" s="202">
        <f t="shared" si="15"/>
        <v>8490</v>
      </c>
      <c r="I32" s="352">
        <v>306558.60000000003</v>
      </c>
      <c r="J32" s="191">
        <v>1448.28</v>
      </c>
      <c r="K32" s="200">
        <f t="shared" si="16"/>
        <v>308006.88000000006</v>
      </c>
      <c r="L32" s="36">
        <f t="shared" si="17"/>
        <v>0.78448527267424906</v>
      </c>
      <c r="M32" s="20">
        <f t="shared" si="18"/>
        <v>37.987434944237926</v>
      </c>
      <c r="N32" s="37">
        <f t="shared" si="19"/>
        <v>0.29393075907376487</v>
      </c>
      <c r="O32" s="533">
        <v>2357.1692307692306</v>
      </c>
      <c r="P32" s="14">
        <f t="shared" si="20"/>
        <v>52.899044486215544</v>
      </c>
      <c r="Q32" s="15">
        <f t="shared" si="21"/>
        <v>12.132658316295249</v>
      </c>
      <c r="S32" s="590"/>
    </row>
    <row r="33" spans="2:19" ht="15" customHeight="1" x14ac:dyDescent="0.2">
      <c r="B33" s="13" t="s">
        <v>45</v>
      </c>
      <c r="C33" s="296">
        <v>13669</v>
      </c>
      <c r="D33" s="352">
        <v>101</v>
      </c>
      <c r="E33" s="200">
        <f t="shared" si="14"/>
        <v>13568</v>
      </c>
      <c r="F33" s="352">
        <v>9930</v>
      </c>
      <c r="G33" s="191">
        <v>220</v>
      </c>
      <c r="H33" s="202">
        <f t="shared" si="15"/>
        <v>10150</v>
      </c>
      <c r="I33" s="352">
        <v>391990.71</v>
      </c>
      <c r="J33" s="191">
        <v>758.63</v>
      </c>
      <c r="K33" s="200">
        <f t="shared" si="16"/>
        <v>392749.34</v>
      </c>
      <c r="L33" s="36">
        <f t="shared" si="17"/>
        <v>0.73186910377358494</v>
      </c>
      <c r="M33" s="20">
        <f t="shared" si="18"/>
        <v>39.47539879154079</v>
      </c>
      <c r="N33" s="37">
        <f t="shared" si="19"/>
        <v>0.30544399611527751</v>
      </c>
      <c r="O33" s="533">
        <v>2481</v>
      </c>
      <c r="P33" s="14">
        <f t="shared" si="20"/>
        <v>66.113663845223698</v>
      </c>
      <c r="Q33" s="15">
        <f t="shared" si="21"/>
        <v>14.698567548177827</v>
      </c>
      <c r="S33" s="591"/>
    </row>
    <row r="34" spans="2:19" ht="15" customHeight="1" x14ac:dyDescent="0.2">
      <c r="B34" s="13" t="s">
        <v>46</v>
      </c>
      <c r="C34" s="296">
        <v>22771</v>
      </c>
      <c r="D34" s="352">
        <v>150</v>
      </c>
      <c r="E34" s="200">
        <f t="shared" si="14"/>
        <v>22621</v>
      </c>
      <c r="F34" s="352">
        <v>20190</v>
      </c>
      <c r="G34" s="191">
        <v>640</v>
      </c>
      <c r="H34" s="202">
        <f t="shared" si="15"/>
        <v>20830</v>
      </c>
      <c r="I34" s="352">
        <v>813956.33000000007</v>
      </c>
      <c r="J34" s="191">
        <v>2206.9</v>
      </c>
      <c r="K34" s="200">
        <f t="shared" si="16"/>
        <v>816163.2300000001</v>
      </c>
      <c r="L34" s="36">
        <f t="shared" si="17"/>
        <v>0.89253348658326337</v>
      </c>
      <c r="M34" s="20">
        <f t="shared" si="18"/>
        <v>40.314825656265484</v>
      </c>
      <c r="N34" s="37">
        <f t="shared" si="19"/>
        <v>0.31193912735795343</v>
      </c>
      <c r="O34" s="533">
        <v>7178.4</v>
      </c>
      <c r="P34" s="14">
        <f>C34/4838*12</f>
        <v>56.480363786688713</v>
      </c>
      <c r="Q34" s="15">
        <f t="shared" si="21"/>
        <v>10.556882385993044</v>
      </c>
      <c r="S34" s="590"/>
    </row>
    <row r="35" spans="2:19" ht="15" customHeight="1" x14ac:dyDescent="0.2">
      <c r="B35" s="13" t="s">
        <v>47</v>
      </c>
      <c r="C35" s="296">
        <v>31489</v>
      </c>
      <c r="D35" s="352">
        <v>200</v>
      </c>
      <c r="E35" s="200">
        <f t="shared" si="14"/>
        <v>31289</v>
      </c>
      <c r="F35" s="352">
        <v>13310</v>
      </c>
      <c r="G35" s="191">
        <v>3340</v>
      </c>
      <c r="H35" s="202">
        <f t="shared" si="15"/>
        <v>16650</v>
      </c>
      <c r="I35" s="352">
        <v>469997.37999999995</v>
      </c>
      <c r="J35" s="191">
        <v>11517.25</v>
      </c>
      <c r="K35" s="200">
        <f t="shared" si="16"/>
        <v>481514.62999999995</v>
      </c>
      <c r="L35" s="36">
        <f t="shared" si="17"/>
        <v>0.42538911438524724</v>
      </c>
      <c r="M35" s="20">
        <f t="shared" si="18"/>
        <v>35.311598797896316</v>
      </c>
      <c r="N35" s="37">
        <f t="shared" si="19"/>
        <v>0.27322626689613477</v>
      </c>
      <c r="O35" s="533">
        <v>4962.461538461539</v>
      </c>
      <c r="P35" s="14">
        <f t="shared" ref="P35:P52" si="22">C35/O35*12</f>
        <v>76.145275297619037</v>
      </c>
      <c r="Q35" s="15">
        <f t="shared" si="21"/>
        <v>9.0094576070556602</v>
      </c>
      <c r="S35" s="590"/>
    </row>
    <row r="36" spans="2:19" ht="15" customHeight="1" x14ac:dyDescent="0.2">
      <c r="B36" s="13" t="s">
        <v>48</v>
      </c>
      <c r="C36" s="296">
        <v>4664</v>
      </c>
      <c r="D36" s="352">
        <v>18</v>
      </c>
      <c r="E36" s="200">
        <f t="shared" si="14"/>
        <v>4646</v>
      </c>
      <c r="F36" s="352">
        <v>3500</v>
      </c>
      <c r="G36" s="191">
        <v>460</v>
      </c>
      <c r="H36" s="202">
        <f t="shared" si="15"/>
        <v>3960</v>
      </c>
      <c r="I36" s="352">
        <v>128003.07</v>
      </c>
      <c r="J36" s="191">
        <v>1586.21</v>
      </c>
      <c r="K36" s="200">
        <f t="shared" si="16"/>
        <v>129589.28000000001</v>
      </c>
      <c r="L36" s="36">
        <f t="shared" si="17"/>
        <v>0.75333620318553596</v>
      </c>
      <c r="M36" s="20">
        <f t="shared" si="18"/>
        <v>36.572305714285719</v>
      </c>
      <c r="N36" s="37">
        <f t="shared" si="19"/>
        <v>0.28298108559994645</v>
      </c>
      <c r="O36" s="533">
        <v>1736.8615384615382</v>
      </c>
      <c r="P36" s="14">
        <f t="shared" si="22"/>
        <v>32.223639455782319</v>
      </c>
      <c r="Q36" s="15">
        <f t="shared" si="21"/>
        <v>6.9277178526011109</v>
      </c>
      <c r="S36" s="590"/>
    </row>
    <row r="37" spans="2:19" ht="15" customHeight="1" x14ac:dyDescent="0.2">
      <c r="B37" s="13" t="s">
        <v>49</v>
      </c>
      <c r="C37" s="296">
        <v>40885</v>
      </c>
      <c r="D37" s="352">
        <v>182</v>
      </c>
      <c r="E37" s="200">
        <f t="shared" si="14"/>
        <v>40703</v>
      </c>
      <c r="F37" s="352">
        <v>36320</v>
      </c>
      <c r="G37" s="191">
        <v>4580</v>
      </c>
      <c r="H37" s="202">
        <f t="shared" si="15"/>
        <v>40900</v>
      </c>
      <c r="I37" s="352">
        <v>1233937.05</v>
      </c>
      <c r="J37" s="191">
        <v>15793.1</v>
      </c>
      <c r="K37" s="200">
        <f t="shared" si="16"/>
        <v>1249730.1500000001</v>
      </c>
      <c r="L37" s="36">
        <f t="shared" si="17"/>
        <v>0.89231751959315042</v>
      </c>
      <c r="M37" s="20">
        <f t="shared" si="18"/>
        <v>33.97403772026432</v>
      </c>
      <c r="N37" s="37">
        <f t="shared" si="19"/>
        <v>0.26287678308831769</v>
      </c>
      <c r="O37" s="533">
        <v>5024.4923076923069</v>
      </c>
      <c r="P37" s="14">
        <f t="shared" si="22"/>
        <v>97.645686360964163</v>
      </c>
      <c r="Q37" s="15">
        <f t="shared" si="21"/>
        <v>23.094596278228217</v>
      </c>
      <c r="S37" s="590"/>
    </row>
    <row r="38" spans="2:19" ht="15" customHeight="1" x14ac:dyDescent="0.2">
      <c r="B38" s="13" t="s">
        <v>50</v>
      </c>
      <c r="C38" s="296">
        <v>14613</v>
      </c>
      <c r="D38" s="352">
        <v>172</v>
      </c>
      <c r="E38" s="200">
        <f t="shared" si="14"/>
        <v>14441</v>
      </c>
      <c r="F38" s="352">
        <v>13860</v>
      </c>
      <c r="G38" s="191">
        <v>2520</v>
      </c>
      <c r="H38" s="202">
        <f t="shared" si="15"/>
        <v>16380</v>
      </c>
      <c r="I38" s="352">
        <v>479987.83</v>
      </c>
      <c r="J38" s="191">
        <v>8689.66</v>
      </c>
      <c r="K38" s="200">
        <f t="shared" si="16"/>
        <v>488677.49</v>
      </c>
      <c r="L38" s="36">
        <f t="shared" si="17"/>
        <v>0.95976732913233154</v>
      </c>
      <c r="M38" s="20">
        <f t="shared" si="18"/>
        <v>34.631156565656568</v>
      </c>
      <c r="N38" s="37">
        <f t="shared" si="19"/>
        <v>0.26796129172416905</v>
      </c>
      <c r="O38" s="533">
        <v>2667</v>
      </c>
      <c r="P38" s="14">
        <f t="shared" si="22"/>
        <v>65.750281214848144</v>
      </c>
      <c r="Q38" s="15">
        <f t="shared" si="21"/>
        <v>17.013185284578206</v>
      </c>
      <c r="S38" s="590"/>
    </row>
    <row r="39" spans="2:19" ht="15" customHeight="1" x14ac:dyDescent="0.2">
      <c r="B39" s="13" t="s">
        <v>51</v>
      </c>
      <c r="C39" s="296">
        <v>52016</v>
      </c>
      <c r="D39" s="352">
        <v>213</v>
      </c>
      <c r="E39" s="200">
        <f t="shared" si="14"/>
        <v>51803</v>
      </c>
      <c r="F39" s="352">
        <v>49540</v>
      </c>
      <c r="G39" s="191">
        <v>2520</v>
      </c>
      <c r="H39" s="202">
        <f t="shared" si="15"/>
        <v>52060</v>
      </c>
      <c r="I39" s="352">
        <v>1692915.9</v>
      </c>
      <c r="J39" s="191">
        <v>8689.67</v>
      </c>
      <c r="K39" s="200">
        <f t="shared" si="16"/>
        <v>1701605.5699999998</v>
      </c>
      <c r="L39" s="36">
        <f t="shared" si="17"/>
        <v>0.95631527131633298</v>
      </c>
      <c r="M39" s="20">
        <f t="shared" si="18"/>
        <v>34.172706903512314</v>
      </c>
      <c r="N39" s="37">
        <f t="shared" si="19"/>
        <v>0.2644140014849366</v>
      </c>
      <c r="O39" s="533">
        <v>8436.1846153846163</v>
      </c>
      <c r="P39" s="14">
        <f t="shared" si="22"/>
        <v>73.989845938375339</v>
      </c>
      <c r="Q39" s="15">
        <f t="shared" si="21"/>
        <v>18.728333583116775</v>
      </c>
      <c r="S39" s="590"/>
    </row>
    <row r="40" spans="2:19" ht="15" customHeight="1" x14ac:dyDescent="0.2">
      <c r="B40" s="13" t="s">
        <v>52</v>
      </c>
      <c r="C40" s="296">
        <v>42891</v>
      </c>
      <c r="D40" s="352">
        <v>235</v>
      </c>
      <c r="E40" s="200">
        <f t="shared" si="14"/>
        <v>42656</v>
      </c>
      <c r="F40" s="352">
        <v>35630</v>
      </c>
      <c r="G40" s="191">
        <v>1420</v>
      </c>
      <c r="H40" s="202">
        <f t="shared" si="15"/>
        <v>37050</v>
      </c>
      <c r="I40" s="352">
        <v>1303842.47</v>
      </c>
      <c r="J40" s="191">
        <v>4896.5600000000004</v>
      </c>
      <c r="K40" s="200">
        <f t="shared" si="16"/>
        <v>1308739.03</v>
      </c>
      <c r="L40" s="36">
        <f t="shared" si="17"/>
        <v>0.83528694673668413</v>
      </c>
      <c r="M40" s="20">
        <f t="shared" si="18"/>
        <v>36.593950884086446</v>
      </c>
      <c r="N40" s="37">
        <f t="shared" si="19"/>
        <v>0.28314856679995765</v>
      </c>
      <c r="O40" s="533">
        <v>4838.3999999999996</v>
      </c>
      <c r="P40" s="14">
        <f t="shared" si="22"/>
        <v>106.3764880952381</v>
      </c>
      <c r="Q40" s="15">
        <f t="shared" si="21"/>
        <v>25.115255338186099</v>
      </c>
      <c r="S40" s="590"/>
    </row>
    <row r="41" spans="2:19" ht="15" customHeight="1" x14ac:dyDescent="0.2">
      <c r="B41" s="13" t="s">
        <v>53</v>
      </c>
      <c r="C41" s="296">
        <v>35027</v>
      </c>
      <c r="D41" s="352">
        <v>265</v>
      </c>
      <c r="E41" s="200">
        <f t="shared" si="14"/>
        <v>34762</v>
      </c>
      <c r="F41" s="352">
        <v>29300</v>
      </c>
      <c r="G41" s="191">
        <v>1780</v>
      </c>
      <c r="H41" s="202">
        <f t="shared" si="15"/>
        <v>31080</v>
      </c>
      <c r="I41" s="352">
        <v>1063439.9200000002</v>
      </c>
      <c r="J41" s="191">
        <v>6137.94</v>
      </c>
      <c r="K41" s="200">
        <f t="shared" si="16"/>
        <v>1069577.8600000001</v>
      </c>
      <c r="L41" s="36">
        <f t="shared" si="17"/>
        <v>0.84287440308382722</v>
      </c>
      <c r="M41" s="20">
        <f t="shared" si="18"/>
        <v>36.294877815699664</v>
      </c>
      <c r="N41" s="37">
        <f t="shared" si="19"/>
        <v>0.28083446546254215</v>
      </c>
      <c r="O41" s="533">
        <v>7257.3692307692309</v>
      </c>
      <c r="P41" s="14">
        <f t="shared" si="22"/>
        <v>57.916854804347409</v>
      </c>
      <c r="Q41" s="15">
        <f t="shared" si="21"/>
        <v>13.684202692199422</v>
      </c>
      <c r="S41" s="590"/>
    </row>
    <row r="42" spans="2:19" ht="15" customHeight="1" x14ac:dyDescent="0.2">
      <c r="B42" s="13" t="s">
        <v>54</v>
      </c>
      <c r="C42" s="296">
        <v>35342</v>
      </c>
      <c r="D42" s="352">
        <v>175</v>
      </c>
      <c r="E42" s="200">
        <f t="shared" si="14"/>
        <v>35167</v>
      </c>
      <c r="F42" s="352">
        <v>22545</v>
      </c>
      <c r="G42" s="191">
        <v>5940</v>
      </c>
      <c r="H42" s="202">
        <f t="shared" si="15"/>
        <v>28485</v>
      </c>
      <c r="I42" s="352">
        <v>816909.16</v>
      </c>
      <c r="J42" s="191">
        <v>20482.78</v>
      </c>
      <c r="K42" s="200">
        <f t="shared" si="16"/>
        <v>837391.94000000006</v>
      </c>
      <c r="L42" s="36">
        <f t="shared" si="17"/>
        <v>0.64108397076804957</v>
      </c>
      <c r="M42" s="20">
        <f t="shared" si="18"/>
        <v>36.234604568640499</v>
      </c>
      <c r="N42" s="37">
        <f t="shared" si="19"/>
        <v>0.28036809648327449</v>
      </c>
      <c r="O42" s="533">
        <v>4651.9846153846156</v>
      </c>
      <c r="P42" s="14">
        <f t="shared" si="22"/>
        <v>91.166251624616791</v>
      </c>
      <c r="Q42" s="15">
        <f t="shared" si="21"/>
        <v>16.71386228963781</v>
      </c>
      <c r="S42" s="590"/>
    </row>
    <row r="43" spans="2:19" ht="15" customHeight="1" x14ac:dyDescent="0.2">
      <c r="B43" s="13" t="s">
        <v>55</v>
      </c>
      <c r="C43" s="296">
        <v>22242</v>
      </c>
      <c r="D43" s="352">
        <v>190</v>
      </c>
      <c r="E43" s="200">
        <f t="shared" si="14"/>
        <v>22052</v>
      </c>
      <c r="F43" s="352">
        <v>16930</v>
      </c>
      <c r="G43" s="191">
        <v>880</v>
      </c>
      <c r="H43" s="202">
        <f t="shared" si="15"/>
        <v>17810</v>
      </c>
      <c r="I43" s="352">
        <v>602162.56000000006</v>
      </c>
      <c r="J43" s="191">
        <v>3034.49</v>
      </c>
      <c r="K43" s="200">
        <f t="shared" si="16"/>
        <v>605197.05000000005</v>
      </c>
      <c r="L43" s="36">
        <f t="shared" si="17"/>
        <v>0.76773081806638854</v>
      </c>
      <c r="M43" s="20">
        <f t="shared" si="18"/>
        <v>35.567782634376847</v>
      </c>
      <c r="N43" s="37">
        <f t="shared" si="19"/>
        <v>0.27520850943579783</v>
      </c>
      <c r="O43" s="533">
        <v>5086.5230769230766</v>
      </c>
      <c r="P43" s="14">
        <f t="shared" si="22"/>
        <v>52.472778745644604</v>
      </c>
      <c r="Q43" s="15">
        <f t="shared" si="21"/>
        <v>11.047451310330342</v>
      </c>
      <c r="S43" s="590"/>
    </row>
    <row r="44" spans="2:19" ht="15" customHeight="1" x14ac:dyDescent="0.2">
      <c r="B44" s="13" t="s">
        <v>56</v>
      </c>
      <c r="C44" s="296">
        <v>8970</v>
      </c>
      <c r="D44" s="352">
        <v>78</v>
      </c>
      <c r="E44" s="200">
        <f t="shared" si="14"/>
        <v>8892</v>
      </c>
      <c r="F44" s="352">
        <v>6390</v>
      </c>
      <c r="G44" s="191">
        <v>80</v>
      </c>
      <c r="H44" s="202">
        <f t="shared" si="15"/>
        <v>6470</v>
      </c>
      <c r="I44" s="352">
        <v>233501.96</v>
      </c>
      <c r="J44" s="191">
        <v>275.86</v>
      </c>
      <c r="K44" s="200">
        <f t="shared" si="16"/>
        <v>233777.81999999998</v>
      </c>
      <c r="L44" s="36">
        <f t="shared" si="17"/>
        <v>0.71862348178137647</v>
      </c>
      <c r="M44" s="20">
        <f t="shared" si="18"/>
        <v>36.541777777777774</v>
      </c>
      <c r="N44" s="37">
        <f t="shared" si="19"/>
        <v>0.28274487329543296</v>
      </c>
      <c r="O44" s="533">
        <v>2481.2307692307691</v>
      </c>
      <c r="P44" s="14">
        <f t="shared" si="22"/>
        <v>43.381696428571431</v>
      </c>
      <c r="Q44" s="15">
        <f t="shared" si="21"/>
        <v>8.7482756599104352</v>
      </c>
      <c r="S44" s="591"/>
    </row>
    <row r="45" spans="2:19" ht="15" customHeight="1" x14ac:dyDescent="0.2">
      <c r="B45" s="13" t="s">
        <v>57</v>
      </c>
      <c r="C45" s="296">
        <v>17136</v>
      </c>
      <c r="D45" s="352">
        <v>190</v>
      </c>
      <c r="E45" s="200">
        <f t="shared" si="14"/>
        <v>16946</v>
      </c>
      <c r="F45" s="352">
        <v>7470</v>
      </c>
      <c r="G45" s="191">
        <v>1880</v>
      </c>
      <c r="H45" s="202">
        <f t="shared" si="15"/>
        <v>9350</v>
      </c>
      <c r="I45" s="352">
        <v>267674.23</v>
      </c>
      <c r="J45" s="191">
        <v>6482.76</v>
      </c>
      <c r="K45" s="200">
        <f t="shared" si="16"/>
        <v>274156.99</v>
      </c>
      <c r="L45" s="36">
        <f t="shared" si="17"/>
        <v>0.44081199103033164</v>
      </c>
      <c r="M45" s="20">
        <f t="shared" si="18"/>
        <v>35.833230254350731</v>
      </c>
      <c r="N45" s="37">
        <f t="shared" si="19"/>
        <v>0.27726243122724753</v>
      </c>
      <c r="O45" s="533">
        <v>2481.2307692307691</v>
      </c>
      <c r="P45" s="14">
        <f t="shared" si="22"/>
        <v>82.875000000000014</v>
      </c>
      <c r="Q45" s="15">
        <f t="shared" si="21"/>
        <v>10.259317682966284</v>
      </c>
      <c r="S45" s="590"/>
    </row>
    <row r="46" spans="2:19" ht="15" customHeight="1" x14ac:dyDescent="0.2">
      <c r="B46" s="13" t="s">
        <v>58</v>
      </c>
      <c r="C46" s="296">
        <v>41132</v>
      </c>
      <c r="D46" s="352">
        <v>273</v>
      </c>
      <c r="E46" s="200">
        <f t="shared" si="14"/>
        <v>40859</v>
      </c>
      <c r="F46" s="352">
        <v>42920</v>
      </c>
      <c r="G46" s="191">
        <v>2160</v>
      </c>
      <c r="H46" s="202">
        <f t="shared" si="15"/>
        <v>45080</v>
      </c>
      <c r="I46" s="352">
        <v>1655658.1600000001</v>
      </c>
      <c r="J46" s="191">
        <v>7448.3</v>
      </c>
      <c r="K46" s="200">
        <f t="shared" si="16"/>
        <v>1663106.4600000002</v>
      </c>
      <c r="L46" s="36">
        <f t="shared" si="17"/>
        <v>1.0504417631366407</v>
      </c>
      <c r="M46" s="20">
        <f t="shared" si="18"/>
        <v>38.575446411929171</v>
      </c>
      <c r="N46" s="37">
        <f t="shared" si="19"/>
        <v>0.29848054395121904</v>
      </c>
      <c r="O46" s="533">
        <v>7948.5538461538463</v>
      </c>
      <c r="P46" s="14">
        <f t="shared" si="22"/>
        <v>62.097333622371558</v>
      </c>
      <c r="Q46" s="15">
        <f t="shared" si="21"/>
        <v>19.427559278688705</v>
      </c>
      <c r="S46" s="590"/>
    </row>
    <row r="47" spans="2:19" ht="15" customHeight="1" x14ac:dyDescent="0.2">
      <c r="B47" s="13" t="s">
        <v>59</v>
      </c>
      <c r="C47" s="296">
        <v>13956</v>
      </c>
      <c r="D47" s="352">
        <v>144</v>
      </c>
      <c r="E47" s="200">
        <f t="shared" si="14"/>
        <v>13812</v>
      </c>
      <c r="F47" s="352">
        <v>11120</v>
      </c>
      <c r="G47" s="191">
        <v>1480</v>
      </c>
      <c r="H47" s="202">
        <f t="shared" si="15"/>
        <v>12600</v>
      </c>
      <c r="I47" s="352">
        <v>435126.65</v>
      </c>
      <c r="J47" s="191">
        <v>5103.4399999999996</v>
      </c>
      <c r="K47" s="200">
        <f t="shared" si="16"/>
        <v>440230.09</v>
      </c>
      <c r="L47" s="36">
        <f t="shared" si="17"/>
        <v>0.80509701708659132</v>
      </c>
      <c r="M47" s="20">
        <f t="shared" si="18"/>
        <v>39.130094424460431</v>
      </c>
      <c r="N47" s="37">
        <f t="shared" si="19"/>
        <v>0.30277217647606253</v>
      </c>
      <c r="O47" s="533">
        <v>2481.2307692307691</v>
      </c>
      <c r="P47" s="14">
        <f t="shared" si="22"/>
        <v>67.495535714285722</v>
      </c>
      <c r="Q47" s="15">
        <f t="shared" si="21"/>
        <v>16.473993046505356</v>
      </c>
      <c r="S47" s="590"/>
    </row>
    <row r="48" spans="2:19" ht="15" customHeight="1" x14ac:dyDescent="0.2">
      <c r="B48" s="13" t="s">
        <v>60</v>
      </c>
      <c r="C48" s="296">
        <v>20571</v>
      </c>
      <c r="D48" s="352">
        <v>191</v>
      </c>
      <c r="E48" s="200">
        <f t="shared" si="14"/>
        <v>20380</v>
      </c>
      <c r="F48" s="352">
        <v>19145</v>
      </c>
      <c r="G48" s="191">
        <v>2120</v>
      </c>
      <c r="H48" s="202">
        <f t="shared" si="15"/>
        <v>21265</v>
      </c>
      <c r="I48" s="352">
        <v>670221.27</v>
      </c>
      <c r="J48" s="191">
        <v>7310.36</v>
      </c>
      <c r="K48" s="200">
        <f t="shared" si="16"/>
        <v>677531.63</v>
      </c>
      <c r="L48" s="36">
        <f t="shared" si="17"/>
        <v>0.93940137389597644</v>
      </c>
      <c r="M48" s="20">
        <f t="shared" si="18"/>
        <v>35.007640114912512</v>
      </c>
      <c r="N48" s="37">
        <f t="shared" si="19"/>
        <v>0.2708743627323596</v>
      </c>
      <c r="O48" s="533">
        <v>2605.292307692308</v>
      </c>
      <c r="P48" s="14">
        <f t="shared" si="22"/>
        <v>94.750212585034006</v>
      </c>
      <c r="Q48" s="15">
        <f t="shared" si="21"/>
        <v>24.146791405651918</v>
      </c>
      <c r="S48" s="590"/>
    </row>
    <row r="49" spans="1:19" ht="15" customHeight="1" x14ac:dyDescent="0.2">
      <c r="B49" s="13" t="s">
        <v>61</v>
      </c>
      <c r="C49" s="296">
        <v>16643</v>
      </c>
      <c r="D49" s="352">
        <v>97</v>
      </c>
      <c r="E49" s="200">
        <f t="shared" si="14"/>
        <v>16546</v>
      </c>
      <c r="F49" s="352">
        <v>9360</v>
      </c>
      <c r="G49" s="191"/>
      <c r="H49" s="202">
        <f t="shared" si="15"/>
        <v>9360</v>
      </c>
      <c r="I49" s="352">
        <v>341897.61000000004</v>
      </c>
      <c r="J49" s="191"/>
      <c r="K49" s="200">
        <f t="shared" si="16"/>
        <v>341897.61000000004</v>
      </c>
      <c r="L49" s="36">
        <f t="shared" si="17"/>
        <v>0.56569563640759091</v>
      </c>
      <c r="M49" s="20">
        <f t="shared" si="18"/>
        <v>36.527522435897438</v>
      </c>
      <c r="N49" s="37">
        <f t="shared" si="19"/>
        <v>0.28263457146889759</v>
      </c>
      <c r="O49" s="533">
        <v>2481.2307692307695</v>
      </c>
      <c r="P49" s="14">
        <f t="shared" si="22"/>
        <v>80.490699404761898</v>
      </c>
      <c r="Q49" s="15">
        <f t="shared" si="21"/>
        <v>12.794261404886701</v>
      </c>
    </row>
    <row r="50" spans="1:19" ht="15" customHeight="1" x14ac:dyDescent="0.2">
      <c r="B50" s="13" t="s">
        <v>62</v>
      </c>
      <c r="C50" s="296">
        <v>20895</v>
      </c>
      <c r="D50" s="352">
        <v>184</v>
      </c>
      <c r="E50" s="200">
        <f t="shared" si="14"/>
        <v>20711</v>
      </c>
      <c r="F50" s="352">
        <v>18480</v>
      </c>
      <c r="G50" s="191">
        <v>200</v>
      </c>
      <c r="H50" s="202">
        <f t="shared" si="15"/>
        <v>18680</v>
      </c>
      <c r="I50" s="352">
        <v>690402.25999999989</v>
      </c>
      <c r="J50" s="191">
        <v>689.66</v>
      </c>
      <c r="K50" s="200">
        <f t="shared" si="16"/>
        <v>691091.91999999993</v>
      </c>
      <c r="L50" s="36">
        <f t="shared" si="17"/>
        <v>0.89227946501858912</v>
      </c>
      <c r="M50" s="20">
        <f t="shared" si="18"/>
        <v>37.359429653679648</v>
      </c>
      <c r="N50" s="37">
        <f t="shared" si="19"/>
        <v>0.28907151885322629</v>
      </c>
      <c r="O50" s="533">
        <v>2605.292307692308</v>
      </c>
      <c r="P50" s="14">
        <f t="shared" si="22"/>
        <v>96.242559523809518</v>
      </c>
      <c r="Q50" s="15">
        <f t="shared" si="21"/>
        <v>24.630071417287894</v>
      </c>
      <c r="S50" s="591"/>
    </row>
    <row r="51" spans="1:19" ht="15" customHeight="1" x14ac:dyDescent="0.2">
      <c r="B51" s="13" t="s">
        <v>63</v>
      </c>
      <c r="C51" s="296">
        <v>17944</v>
      </c>
      <c r="D51" s="352">
        <v>259</v>
      </c>
      <c r="E51" s="200">
        <f t="shared" si="14"/>
        <v>17685</v>
      </c>
      <c r="F51" s="352">
        <v>12480</v>
      </c>
      <c r="G51" s="191">
        <v>1620</v>
      </c>
      <c r="H51" s="202">
        <f t="shared" si="15"/>
        <v>14100</v>
      </c>
      <c r="I51" s="352">
        <v>439466.76999999996</v>
      </c>
      <c r="J51" s="191">
        <v>5586.21</v>
      </c>
      <c r="K51" s="200">
        <f t="shared" si="16"/>
        <v>445052.98</v>
      </c>
      <c r="L51" s="36">
        <f t="shared" si="17"/>
        <v>0.70568278201865986</v>
      </c>
      <c r="M51" s="20">
        <f t="shared" si="18"/>
        <v>35.213683493589741</v>
      </c>
      <c r="N51" s="37">
        <f t="shared" si="19"/>
        <v>0.27246863954482725</v>
      </c>
      <c r="O51" s="533">
        <v>2481.2307692307691</v>
      </c>
      <c r="P51" s="14">
        <f t="shared" si="22"/>
        <v>86.782738095238102</v>
      </c>
      <c r="Q51" s="15">
        <f t="shared" si="21"/>
        <v>16.654471978156892</v>
      </c>
      <c r="S51" s="590"/>
    </row>
    <row r="52" spans="1:19" ht="15" customHeight="1" x14ac:dyDescent="0.2">
      <c r="B52" s="13" t="s">
        <v>65</v>
      </c>
      <c r="C52" s="296">
        <v>17005</v>
      </c>
      <c r="D52" s="352">
        <v>163</v>
      </c>
      <c r="E52" s="200">
        <f t="shared" si="14"/>
        <v>16842</v>
      </c>
      <c r="F52" s="352">
        <v>19020</v>
      </c>
      <c r="G52" s="353">
        <v>540</v>
      </c>
      <c r="H52" s="202">
        <f t="shared" si="15"/>
        <v>19560</v>
      </c>
      <c r="I52" s="352">
        <v>694893.15</v>
      </c>
      <c r="J52" s="191">
        <v>1862.08</v>
      </c>
      <c r="K52" s="200">
        <f t="shared" si="16"/>
        <v>696755.23</v>
      </c>
      <c r="L52" s="36">
        <f t="shared" si="17"/>
        <v>1.1293195582472391</v>
      </c>
      <c r="M52" s="20">
        <f t="shared" si="18"/>
        <v>36.534865930599373</v>
      </c>
      <c r="N52" s="37">
        <f t="shared" si="19"/>
        <v>0.28269139233545942</v>
      </c>
      <c r="O52" s="533">
        <v>2740</v>
      </c>
      <c r="P52" s="14">
        <f t="shared" si="22"/>
        <v>74.474452554744516</v>
      </c>
      <c r="Q52" s="15">
        <f t="shared" si="21"/>
        <v>23.611087324175813</v>
      </c>
      <c r="S52" s="590"/>
    </row>
    <row r="53" spans="1:19" ht="15" customHeight="1" x14ac:dyDescent="0.2">
      <c r="B53" s="13" t="s">
        <v>66</v>
      </c>
      <c r="C53" s="296"/>
      <c r="D53" s="352"/>
      <c r="E53" s="200"/>
      <c r="F53" s="352"/>
      <c r="G53" s="191"/>
      <c r="H53" s="202"/>
      <c r="I53" s="352"/>
      <c r="J53" s="191"/>
      <c r="K53" s="200"/>
      <c r="L53" s="36"/>
      <c r="M53" s="20"/>
      <c r="N53" s="37"/>
      <c r="O53" s="533"/>
      <c r="P53" s="14"/>
      <c r="Q53" s="15"/>
      <c r="R53" s="16" t="s">
        <v>118</v>
      </c>
    </row>
    <row r="54" spans="1:19" ht="15.75" customHeight="1" thickBot="1" x14ac:dyDescent="0.25">
      <c r="B54" s="490" t="s">
        <v>35</v>
      </c>
      <c r="C54" s="491">
        <f>SUM(C26:C53)</f>
        <v>612400</v>
      </c>
      <c r="D54" s="491">
        <f t="shared" ref="D54:K54" si="23">SUM(D26:D53)</f>
        <v>4637</v>
      </c>
      <c r="E54" s="491">
        <f t="shared" si="23"/>
        <v>607763</v>
      </c>
      <c r="F54" s="491">
        <f t="shared" si="23"/>
        <v>504610</v>
      </c>
      <c r="G54" s="491">
        <f t="shared" si="23"/>
        <v>43000</v>
      </c>
      <c r="H54" s="491">
        <f t="shared" si="23"/>
        <v>547610</v>
      </c>
      <c r="I54" s="491">
        <f t="shared" si="23"/>
        <v>18409425.170000002</v>
      </c>
      <c r="J54" s="491">
        <f t="shared" si="23"/>
        <v>148276.05999999997</v>
      </c>
      <c r="K54" s="491">
        <f t="shared" si="23"/>
        <v>18557701.230000004</v>
      </c>
      <c r="L54" s="484">
        <f t="shared" ref="L54" si="24">F54/E54</f>
        <v>0.8302743010021999</v>
      </c>
      <c r="M54" s="483">
        <f t="shared" ref="M54" si="25">I54/F54</f>
        <v>36.482481857275921</v>
      </c>
      <c r="N54" s="492">
        <f t="shared" ref="N54" si="26">M54/129.2394</f>
        <v>0.28228606645710153</v>
      </c>
      <c r="O54" s="575">
        <f>SUM(O26:O53)</f>
        <v>104460.79999999999</v>
      </c>
      <c r="P54" s="493">
        <f>(C54/O54)*12</f>
        <v>70.349834579095699</v>
      </c>
      <c r="Q54" s="494">
        <f t="shared" ref="Q54" si="27">(K54*12/O54)/129.2394</f>
        <v>16.49518322421055</v>
      </c>
    </row>
    <row r="55" spans="1:19" ht="17.25" customHeight="1" thickTop="1" thickBot="1" x14ac:dyDescent="0.25">
      <c r="B55" s="26" t="s">
        <v>36</v>
      </c>
      <c r="C55" s="42"/>
      <c r="D55" s="28">
        <f>D54/C54</f>
        <v>7.5718484650555192E-3</v>
      </c>
      <c r="E55" s="28">
        <f>E54/C54</f>
        <v>0.99242815153494446</v>
      </c>
      <c r="F55" s="30"/>
      <c r="G55" s="30"/>
      <c r="H55" s="30"/>
      <c r="I55" s="30"/>
      <c r="J55" s="30"/>
      <c r="K55" s="30"/>
      <c r="L55" s="32"/>
      <c r="M55" s="30"/>
      <c r="N55" s="43"/>
      <c r="O55" s="534"/>
      <c r="P55" s="34"/>
      <c r="Q55" s="34"/>
    </row>
    <row r="56" spans="1:19" ht="18.75" customHeight="1" thickTop="1" x14ac:dyDescent="0.2">
      <c r="I56" s="44"/>
      <c r="M56" s="45"/>
      <c r="N56" s="46"/>
      <c r="O56" s="535"/>
    </row>
    <row r="57" spans="1:19" s="48" customFormat="1" ht="15" customHeight="1" thickBot="1" x14ac:dyDescent="0.25">
      <c r="B57" s="49" t="s">
        <v>68</v>
      </c>
      <c r="C57" s="52">
        <f t="shared" ref="C57:K57" si="28">C23+C54</f>
        <v>1620942</v>
      </c>
      <c r="D57" s="334">
        <f t="shared" si="28"/>
        <v>10655</v>
      </c>
      <c r="E57" s="23">
        <f t="shared" si="28"/>
        <v>1610074</v>
      </c>
      <c r="F57" s="52">
        <f t="shared" si="28"/>
        <v>1385360</v>
      </c>
      <c r="G57" s="52">
        <f t="shared" si="28"/>
        <v>103440</v>
      </c>
      <c r="H57" s="52">
        <f t="shared" si="28"/>
        <v>1488800</v>
      </c>
      <c r="I57" s="52">
        <f t="shared" si="28"/>
        <v>32770209.77</v>
      </c>
      <c r="J57" s="52">
        <f t="shared" si="28"/>
        <v>342634.79</v>
      </c>
      <c r="K57" s="52">
        <f t="shared" si="28"/>
        <v>33112844.560000002</v>
      </c>
      <c r="L57" s="471">
        <f>F57/(E57)</f>
        <v>0.86043250186016296</v>
      </c>
      <c r="M57" s="53">
        <f>I57/F57</f>
        <v>23.654652776173702</v>
      </c>
      <c r="N57" s="212">
        <f>M57/129.2394</f>
        <v>0.18302973223470323</v>
      </c>
      <c r="O57" s="536">
        <f>O54+O23</f>
        <v>194288.78484615381</v>
      </c>
      <c r="P57" s="477">
        <f>(C57/O57)*12</f>
        <v>100.11542362263667</v>
      </c>
      <c r="Q57" s="473">
        <f>(K57*12/O57)/129.2394</f>
        <v>15.824684906764992</v>
      </c>
      <c r="R57" s="556"/>
    </row>
    <row r="58" spans="1:19" ht="16.5" customHeight="1" thickTop="1" thickBot="1" x14ac:dyDescent="0.25">
      <c r="B58" s="26" t="s">
        <v>36</v>
      </c>
      <c r="C58" s="546"/>
      <c r="D58" s="547">
        <f>D57/C57</f>
        <v>6.5733382193810756E-3</v>
      </c>
      <c r="E58" s="547">
        <f>E57/C57</f>
        <v>0.99329525670875329</v>
      </c>
      <c r="G58" s="56"/>
      <c r="N58" s="46"/>
    </row>
    <row r="59" spans="1:19" ht="16.5" customHeight="1" thickTop="1" x14ac:dyDescent="0.2">
      <c r="G59" s="57"/>
      <c r="H59" s="45"/>
      <c r="O59" s="538"/>
    </row>
    <row r="60" spans="1:19" s="16" customFormat="1" ht="15" customHeight="1" x14ac:dyDescent="0.25">
      <c r="B60" s="48" t="s">
        <v>69</v>
      </c>
      <c r="C60" s="47"/>
      <c r="D60" s="47"/>
      <c r="E60" s="47"/>
      <c r="F60" s="47"/>
      <c r="G60" s="47"/>
      <c r="H60" s="47"/>
      <c r="I60" s="47"/>
      <c r="J60" s="47"/>
      <c r="K60" s="47"/>
      <c r="L60" s="38"/>
      <c r="M60" s="60"/>
      <c r="N60"/>
      <c r="O60" s="539"/>
      <c r="P60"/>
      <c r="Q60" s="61"/>
    </row>
    <row r="61" spans="1:19" ht="16.5" customHeight="1" x14ac:dyDescent="0.25">
      <c r="A61" s="16">
        <v>1</v>
      </c>
      <c r="B61" s="16" t="s">
        <v>70</v>
      </c>
      <c r="E61" s="16"/>
      <c r="N61"/>
      <c r="O61" s="540"/>
      <c r="P61"/>
      <c r="Q61" s="62"/>
    </row>
    <row r="62" spans="1:19" ht="16.5" customHeight="1" x14ac:dyDescent="0.25">
      <c r="A62" s="16">
        <v>2</v>
      </c>
      <c r="B62" s="16" t="s">
        <v>152</v>
      </c>
      <c r="C62" s="47"/>
      <c r="E62" s="16"/>
      <c r="N62"/>
      <c r="O62" s="540"/>
      <c r="P62"/>
    </row>
    <row r="63" spans="1:19" ht="16.5" customHeight="1" x14ac:dyDescent="0.2">
      <c r="A63" s="16">
        <v>3</v>
      </c>
      <c r="B63" s="16" t="s">
        <v>153</v>
      </c>
      <c r="C63" s="47"/>
      <c r="E63" s="16"/>
    </row>
    <row r="64" spans="1:19" ht="16.5" customHeight="1" x14ac:dyDescent="0.2">
      <c r="A64" s="16">
        <v>4</v>
      </c>
      <c r="B64" s="16" t="s">
        <v>154</v>
      </c>
      <c r="C64" s="47"/>
      <c r="E64" s="16"/>
    </row>
    <row r="65" spans="1:17" ht="16.5" customHeight="1" x14ac:dyDescent="0.2">
      <c r="A65" s="16">
        <v>5</v>
      </c>
      <c r="B65" s="16" t="s">
        <v>155</v>
      </c>
      <c r="C65" s="47"/>
      <c r="E65" s="16"/>
    </row>
    <row r="66" spans="1:17" x14ac:dyDescent="0.2">
      <c r="A66" s="16">
        <v>6</v>
      </c>
      <c r="B66" s="16" t="s">
        <v>135</v>
      </c>
      <c r="C66" s="47"/>
      <c r="E66" s="16"/>
      <c r="F66" s="1"/>
      <c r="I66" s="1"/>
      <c r="J66" s="1"/>
      <c r="K66" s="1"/>
      <c r="O66" s="1"/>
      <c r="P66" s="1"/>
      <c r="Q66" s="1"/>
    </row>
    <row r="67" spans="1:17" x14ac:dyDescent="0.2">
      <c r="A67" s="1">
        <v>7</v>
      </c>
      <c r="B67" s="16" t="s">
        <v>156</v>
      </c>
      <c r="F67" s="1"/>
      <c r="I67" s="1"/>
      <c r="J67" s="1"/>
      <c r="K67" s="1"/>
      <c r="O67" s="1"/>
      <c r="P67" s="1"/>
      <c r="Q67" s="1"/>
    </row>
    <row r="68" spans="1:17" x14ac:dyDescent="0.2">
      <c r="F68" s="1"/>
      <c r="I68" s="1"/>
      <c r="J68" s="1"/>
      <c r="K68" s="1"/>
      <c r="O68" s="1"/>
      <c r="P68" s="1"/>
      <c r="Q68" s="1"/>
    </row>
    <row r="69" spans="1:17" x14ac:dyDescent="0.2">
      <c r="B69" s="216" t="s">
        <v>108</v>
      </c>
      <c r="C69" s="217" t="s">
        <v>93</v>
      </c>
      <c r="F69" s="1"/>
      <c r="I69" s="1"/>
      <c r="J69" s="1"/>
      <c r="K69" s="1"/>
      <c r="O69" s="1"/>
      <c r="P69" s="1"/>
      <c r="Q69" s="1"/>
    </row>
    <row r="70" spans="1:17" x14ac:dyDescent="0.2">
      <c r="B70" s="10" t="s">
        <v>103</v>
      </c>
      <c r="C70" s="14">
        <f>O23</f>
        <v>89827.984846153835</v>
      </c>
      <c r="F70" s="1"/>
      <c r="I70" s="1"/>
      <c r="J70" s="1"/>
      <c r="K70" s="1"/>
      <c r="O70" s="1"/>
      <c r="P70" s="1"/>
      <c r="Q70" s="1"/>
    </row>
    <row r="71" spans="1:17" x14ac:dyDescent="0.2">
      <c r="B71" s="10" t="s">
        <v>106</v>
      </c>
      <c r="C71" s="14">
        <f>O54</f>
        <v>104460.79999999999</v>
      </c>
      <c r="F71" s="1"/>
      <c r="I71" s="1"/>
      <c r="J71" s="1"/>
      <c r="K71" s="1"/>
      <c r="O71" s="1"/>
      <c r="P71" s="1"/>
      <c r="Q71" s="1"/>
    </row>
    <row r="72" spans="1:17" x14ac:dyDescent="0.2">
      <c r="B72" s="188" t="s">
        <v>67</v>
      </c>
      <c r="C72" s="213">
        <v>1479.876923076923</v>
      </c>
      <c r="F72" s="1"/>
      <c r="I72" s="1"/>
      <c r="J72" s="1"/>
      <c r="K72" s="1"/>
      <c r="O72" s="1"/>
      <c r="P72" s="1"/>
      <c r="Q72" s="1"/>
    </row>
    <row r="73" spans="1:17" ht="12.75" thickBot="1" x14ac:dyDescent="0.25">
      <c r="B73" s="189" t="s">
        <v>101</v>
      </c>
      <c r="C73" s="215">
        <f>SUM(C70:C72)</f>
        <v>195768.66176923073</v>
      </c>
      <c r="F73" s="1"/>
      <c r="I73" s="1"/>
      <c r="J73" s="1"/>
      <c r="K73" s="1"/>
      <c r="O73" s="1"/>
      <c r="P73" s="1"/>
      <c r="Q73" s="1"/>
    </row>
    <row r="74" spans="1:17" ht="12.75" thickTop="1" x14ac:dyDescent="0.2">
      <c r="F74" s="1"/>
      <c r="I74" s="1"/>
      <c r="J74" s="1"/>
      <c r="K74" s="1"/>
      <c r="O74" s="1"/>
      <c r="P74" s="1"/>
      <c r="Q74" s="1"/>
    </row>
    <row r="75" spans="1:17" x14ac:dyDescent="0.2">
      <c r="F75" s="1"/>
      <c r="I75" s="1"/>
      <c r="J75" s="1"/>
      <c r="K75" s="1"/>
      <c r="O75" s="1"/>
      <c r="P75" s="1"/>
      <c r="Q75" s="1"/>
    </row>
    <row r="76" spans="1:17" x14ac:dyDescent="0.2">
      <c r="F76" s="1"/>
      <c r="I76" s="1"/>
      <c r="J76" s="1"/>
      <c r="K76" s="1"/>
      <c r="O76" s="1"/>
      <c r="P76" s="1"/>
      <c r="Q76" s="1"/>
    </row>
    <row r="77" spans="1:17" x14ac:dyDescent="0.2">
      <c r="F77" s="1"/>
      <c r="I77" s="1"/>
      <c r="J77" s="1"/>
      <c r="K77" s="1"/>
      <c r="O77" s="1"/>
      <c r="P77" s="1"/>
      <c r="Q77" s="1"/>
    </row>
    <row r="78" spans="1:17" x14ac:dyDescent="0.2">
      <c r="F78" s="1"/>
      <c r="I78" s="1"/>
      <c r="J78" s="1"/>
      <c r="K78" s="1"/>
      <c r="O78" s="1"/>
      <c r="P78" s="1"/>
      <c r="Q78" s="1"/>
    </row>
    <row r="79" spans="1:17" x14ac:dyDescent="0.2">
      <c r="F79" s="1"/>
      <c r="I79" s="1"/>
      <c r="J79" s="1"/>
      <c r="K79" s="1"/>
      <c r="O79" s="1"/>
      <c r="P79" s="1"/>
      <c r="Q79" s="1"/>
    </row>
    <row r="80" spans="1:17" x14ac:dyDescent="0.2">
      <c r="F80" s="1"/>
      <c r="I80" s="1"/>
      <c r="J80" s="1"/>
      <c r="K80" s="1"/>
      <c r="O80" s="1"/>
      <c r="P80" s="1"/>
      <c r="Q80" s="1"/>
    </row>
    <row r="81" spans="3:17" x14ac:dyDescent="0.2">
      <c r="F81" s="1"/>
      <c r="I81" s="1"/>
      <c r="J81" s="1"/>
      <c r="K81" s="1"/>
      <c r="O81" s="1"/>
      <c r="P81" s="1"/>
      <c r="Q81" s="1"/>
    </row>
    <row r="82" spans="3:17" x14ac:dyDescent="0.2">
      <c r="C82" s="1"/>
      <c r="F82" s="1"/>
      <c r="I82" s="1"/>
      <c r="J82" s="1"/>
      <c r="K82" s="1"/>
      <c r="O82" s="1"/>
      <c r="P82" s="1"/>
      <c r="Q82" s="1"/>
    </row>
    <row r="83" spans="3:17" x14ac:dyDescent="0.2">
      <c r="C83" s="1"/>
      <c r="F83" s="1"/>
      <c r="I83" s="1"/>
      <c r="J83" s="1"/>
      <c r="K83" s="1"/>
      <c r="O83" s="1"/>
      <c r="P83" s="1"/>
      <c r="Q83" s="1"/>
    </row>
    <row r="84" spans="3:17" x14ac:dyDescent="0.2">
      <c r="C84" s="1"/>
      <c r="F84" s="1"/>
      <c r="I84" s="1"/>
      <c r="J84" s="1"/>
      <c r="K84" s="1"/>
      <c r="O84" s="1"/>
      <c r="P84" s="1"/>
      <c r="Q84" s="1"/>
    </row>
    <row r="85" spans="3:17" x14ac:dyDescent="0.2">
      <c r="C85" s="1"/>
      <c r="F85" s="1"/>
      <c r="I85" s="1"/>
      <c r="J85" s="1"/>
      <c r="K85" s="1"/>
      <c r="O85" s="1"/>
      <c r="P85" s="1"/>
      <c r="Q85" s="1"/>
    </row>
    <row r="86" spans="3:17" x14ac:dyDescent="0.2">
      <c r="C86" s="1"/>
      <c r="F86" s="1"/>
      <c r="I86" s="1"/>
      <c r="J86" s="1"/>
      <c r="K86" s="1"/>
      <c r="O86" s="1"/>
      <c r="P86" s="1"/>
      <c r="Q86" s="1"/>
    </row>
    <row r="87" spans="3:17" x14ac:dyDescent="0.2">
      <c r="C87" s="1"/>
      <c r="F87" s="1"/>
      <c r="I87" s="1"/>
      <c r="J87" s="1"/>
      <c r="K87" s="1"/>
      <c r="O87" s="1"/>
      <c r="P87" s="1"/>
      <c r="Q87" s="1"/>
    </row>
    <row r="88" spans="3:17" x14ac:dyDescent="0.2">
      <c r="C88" s="1"/>
      <c r="F88" s="1"/>
      <c r="I88" s="1"/>
      <c r="J88" s="1"/>
      <c r="K88" s="1"/>
      <c r="O88" s="1"/>
      <c r="P88" s="1"/>
      <c r="Q88" s="1"/>
    </row>
    <row r="89" spans="3:17" x14ac:dyDescent="0.2">
      <c r="C89" s="1"/>
      <c r="F89" s="1"/>
      <c r="I89" s="1"/>
      <c r="J89" s="1"/>
      <c r="K89" s="1"/>
      <c r="O89" s="1"/>
      <c r="P89" s="1"/>
      <c r="Q89" s="1"/>
    </row>
    <row r="90" spans="3:17" x14ac:dyDescent="0.2">
      <c r="C90" s="1"/>
      <c r="F90" s="1"/>
      <c r="I90" s="1"/>
      <c r="J90" s="1"/>
      <c r="K90" s="1"/>
      <c r="O90" s="1"/>
      <c r="P90" s="1"/>
      <c r="Q90" s="1"/>
    </row>
    <row r="91" spans="3:17" x14ac:dyDescent="0.2">
      <c r="C91" s="1"/>
      <c r="F91" s="1"/>
      <c r="I91" s="1"/>
      <c r="J91" s="1"/>
      <c r="K91" s="1"/>
      <c r="O91" s="1"/>
      <c r="P91" s="1"/>
      <c r="Q91" s="1"/>
    </row>
    <row r="92" spans="3:17" x14ac:dyDescent="0.2">
      <c r="C92" s="1"/>
      <c r="F92" s="1"/>
      <c r="I92" s="1"/>
      <c r="J92" s="1"/>
      <c r="K92" s="1"/>
      <c r="O92" s="1"/>
      <c r="P92" s="1"/>
      <c r="Q92" s="1"/>
    </row>
    <row r="93" spans="3:17" x14ac:dyDescent="0.2">
      <c r="C93" s="1"/>
      <c r="F93" s="1"/>
      <c r="I93" s="1"/>
      <c r="J93" s="1"/>
      <c r="K93" s="1"/>
      <c r="O93" s="1"/>
      <c r="P93" s="1"/>
      <c r="Q93" s="1"/>
    </row>
    <row r="94" spans="3:17" x14ac:dyDescent="0.2">
      <c r="C94" s="1"/>
      <c r="F94" s="1"/>
      <c r="I94" s="1"/>
      <c r="J94" s="1"/>
      <c r="K94" s="1"/>
      <c r="O94" s="1"/>
      <c r="P94" s="1"/>
      <c r="Q94" s="1"/>
    </row>
    <row r="95" spans="3:17" x14ac:dyDescent="0.2">
      <c r="C95" s="1"/>
      <c r="F95" s="1"/>
      <c r="I95" s="1"/>
      <c r="J95" s="1"/>
      <c r="K95" s="1"/>
      <c r="O95" s="1"/>
      <c r="P95" s="1"/>
      <c r="Q95" s="1"/>
    </row>
    <row r="96" spans="3:17" x14ac:dyDescent="0.2">
      <c r="C96" s="1"/>
      <c r="F96" s="1"/>
      <c r="I96" s="1"/>
      <c r="J96" s="1"/>
      <c r="K96" s="1"/>
      <c r="O96" s="1"/>
      <c r="P96" s="1"/>
      <c r="Q96" s="1"/>
    </row>
    <row r="97" spans="3:17" x14ac:dyDescent="0.2">
      <c r="C97" s="1"/>
      <c r="F97" s="1"/>
      <c r="I97" s="1"/>
      <c r="J97" s="1"/>
      <c r="K97" s="1"/>
      <c r="O97" s="1"/>
      <c r="P97" s="1"/>
      <c r="Q97" s="1"/>
    </row>
    <row r="98" spans="3:17" x14ac:dyDescent="0.2">
      <c r="C98" s="1"/>
      <c r="F98" s="1"/>
      <c r="I98" s="1"/>
      <c r="J98" s="1"/>
      <c r="K98" s="1"/>
      <c r="O98" s="1"/>
      <c r="P98" s="1"/>
      <c r="Q98" s="1"/>
    </row>
    <row r="99" spans="3:17" x14ac:dyDescent="0.2">
      <c r="C99" s="1"/>
      <c r="F99" s="1"/>
      <c r="I99" s="1"/>
      <c r="J99" s="1"/>
      <c r="K99" s="1"/>
      <c r="O99" s="1"/>
      <c r="P99" s="1"/>
      <c r="Q99" s="1"/>
    </row>
    <row r="100" spans="3:17" x14ac:dyDescent="0.2">
      <c r="C100" s="1"/>
      <c r="F100" s="1"/>
      <c r="I100" s="1"/>
      <c r="J100" s="1"/>
      <c r="K100" s="1"/>
      <c r="O100" s="1"/>
      <c r="P100" s="1"/>
      <c r="Q100" s="1"/>
    </row>
    <row r="101" spans="3:17" x14ac:dyDescent="0.2">
      <c r="C101" s="1"/>
      <c r="F101" s="1"/>
      <c r="I101" s="1"/>
      <c r="J101" s="1"/>
      <c r="K101" s="1"/>
      <c r="O101" s="1"/>
      <c r="P101" s="1"/>
      <c r="Q101" s="1"/>
    </row>
    <row r="102" spans="3:17" x14ac:dyDescent="0.2">
      <c r="C102" s="1"/>
      <c r="F102" s="1"/>
      <c r="I102" s="1"/>
      <c r="J102" s="1"/>
      <c r="K102" s="1"/>
      <c r="O102" s="1"/>
      <c r="P102" s="1"/>
      <c r="Q102" s="1"/>
    </row>
    <row r="103" spans="3:17" x14ac:dyDescent="0.2">
      <c r="C103" s="1"/>
      <c r="F103" s="1"/>
      <c r="I103" s="1"/>
      <c r="J103" s="1"/>
      <c r="K103" s="1"/>
      <c r="O103" s="1"/>
      <c r="P103" s="1"/>
      <c r="Q103" s="1"/>
    </row>
    <row r="104" spans="3:17" x14ac:dyDescent="0.2">
      <c r="C104" s="1"/>
      <c r="F104" s="1"/>
      <c r="I104" s="1"/>
      <c r="J104" s="1"/>
      <c r="K104" s="1"/>
      <c r="O104" s="1"/>
      <c r="P104" s="1"/>
      <c r="Q104" s="1"/>
    </row>
    <row r="105" spans="3:17" x14ac:dyDescent="0.2">
      <c r="C105" s="1"/>
      <c r="F105" s="1"/>
      <c r="I105" s="1"/>
      <c r="J105" s="1"/>
      <c r="K105" s="1"/>
      <c r="O105" s="1"/>
      <c r="P105" s="1"/>
      <c r="Q105" s="1"/>
    </row>
    <row r="106" spans="3:17" x14ac:dyDescent="0.2">
      <c r="C106" s="1"/>
      <c r="F106" s="1"/>
      <c r="I106" s="1"/>
      <c r="J106" s="1"/>
      <c r="K106" s="1"/>
      <c r="O106" s="1"/>
      <c r="P106" s="1"/>
      <c r="Q106" s="1"/>
    </row>
    <row r="107" spans="3:17" x14ac:dyDescent="0.2">
      <c r="C107" s="1"/>
      <c r="F107" s="1"/>
      <c r="I107" s="1"/>
      <c r="J107" s="1"/>
      <c r="K107" s="1"/>
      <c r="O107" s="1"/>
      <c r="P107" s="1"/>
      <c r="Q107" s="1"/>
    </row>
    <row r="108" spans="3:17" x14ac:dyDescent="0.2">
      <c r="C108" s="1"/>
      <c r="F108" s="1"/>
      <c r="I108" s="1"/>
      <c r="J108" s="1"/>
      <c r="K108" s="1"/>
      <c r="O108" s="1"/>
      <c r="P108" s="1"/>
      <c r="Q108" s="1"/>
    </row>
    <row r="109" spans="3:17" x14ac:dyDescent="0.2">
      <c r="C109" s="1"/>
      <c r="F109" s="1"/>
      <c r="I109" s="1"/>
      <c r="J109" s="1"/>
      <c r="K109" s="1"/>
      <c r="O109" s="1"/>
      <c r="P109" s="1"/>
      <c r="Q109" s="1"/>
    </row>
    <row r="110" spans="3:17" x14ac:dyDescent="0.2">
      <c r="C110" s="1"/>
      <c r="F110" s="1"/>
      <c r="I110" s="1"/>
      <c r="J110" s="1"/>
      <c r="K110" s="1"/>
      <c r="O110" s="1"/>
      <c r="P110" s="1"/>
      <c r="Q110" s="1"/>
    </row>
    <row r="111" spans="3:17" x14ac:dyDescent="0.2">
      <c r="C111" s="1"/>
      <c r="F111" s="1"/>
      <c r="I111" s="1"/>
      <c r="J111" s="1"/>
      <c r="K111" s="1"/>
      <c r="O111" s="1"/>
      <c r="P111" s="1"/>
      <c r="Q111" s="1"/>
    </row>
    <row r="112" spans="3:17" x14ac:dyDescent="0.2">
      <c r="C112" s="1"/>
      <c r="F112" s="1"/>
      <c r="I112" s="1"/>
      <c r="J112" s="1"/>
      <c r="K112" s="1"/>
      <c r="O112" s="1"/>
      <c r="P112" s="1"/>
      <c r="Q112" s="1"/>
    </row>
    <row r="113" spans="3:17" x14ac:dyDescent="0.2">
      <c r="C113" s="1"/>
      <c r="F113" s="1"/>
      <c r="I113" s="1"/>
      <c r="J113" s="1"/>
      <c r="K113" s="1"/>
      <c r="O113" s="1"/>
      <c r="P113" s="1"/>
      <c r="Q113" s="1"/>
    </row>
    <row r="114" spans="3:17" x14ac:dyDescent="0.2">
      <c r="C114" s="1"/>
      <c r="F114" s="1"/>
      <c r="I114" s="1"/>
      <c r="J114" s="1"/>
      <c r="K114" s="1"/>
      <c r="O114" s="1"/>
      <c r="P114" s="1"/>
      <c r="Q114" s="1"/>
    </row>
    <row r="115" spans="3:17" x14ac:dyDescent="0.2">
      <c r="C115" s="1"/>
      <c r="F115" s="1"/>
      <c r="I115" s="1"/>
      <c r="J115" s="1"/>
      <c r="K115" s="1"/>
      <c r="O115" s="1"/>
      <c r="P115" s="1"/>
      <c r="Q115" s="1"/>
    </row>
    <row r="116" spans="3:17" x14ac:dyDescent="0.2">
      <c r="C116" s="1"/>
      <c r="F116" s="1"/>
      <c r="I116" s="1"/>
      <c r="J116" s="1"/>
      <c r="K116" s="1"/>
      <c r="O116" s="1"/>
      <c r="P116" s="1"/>
      <c r="Q116" s="1"/>
    </row>
    <row r="117" spans="3:17" x14ac:dyDescent="0.2">
      <c r="C117" s="1"/>
      <c r="F117" s="1"/>
      <c r="I117" s="1"/>
      <c r="J117" s="1"/>
      <c r="K117" s="1"/>
      <c r="O117" s="1"/>
      <c r="P117" s="1"/>
      <c r="Q117" s="1"/>
    </row>
  </sheetData>
  <mergeCells count="5">
    <mergeCell ref="B1:Q1"/>
    <mergeCell ref="B2:Q2"/>
    <mergeCell ref="B3:Q3"/>
    <mergeCell ref="B5:Q5"/>
    <mergeCell ref="B25:Q25"/>
  </mergeCells>
  <conditionalFormatting sqref="P54">
    <cfRule type="cellIs" dxfId="19" priority="5" operator="between">
      <formula>0</formula>
      <formula>79</formula>
    </cfRule>
  </conditionalFormatting>
  <conditionalFormatting sqref="P6:P22">
    <cfRule type="cellIs" dxfId="18" priority="2" operator="between">
      <formula>0</formula>
      <formula>140</formula>
    </cfRule>
  </conditionalFormatting>
  <conditionalFormatting sqref="P26:P53">
    <cfRule type="cellIs" dxfId="17" priority="1" operator="between">
      <formula>0</formula>
      <formula>79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8"/>
  <sheetViews>
    <sheetView topLeftCell="A8" workbookViewId="0">
      <selection sqref="A1:Q28"/>
    </sheetView>
  </sheetViews>
  <sheetFormatPr defaultRowHeight="15" x14ac:dyDescent="0.25"/>
  <cols>
    <col min="1" max="1" width="15.85546875" customWidth="1"/>
  </cols>
  <sheetData>
    <row r="1" spans="1:17" x14ac:dyDescent="0.25">
      <c r="A1" s="13" t="s">
        <v>38</v>
      </c>
      <c r="B1" s="352">
        <v>14578</v>
      </c>
      <c r="C1" s="391">
        <v>178</v>
      </c>
      <c r="D1" s="200">
        <f t="shared" ref="D1:D28" si="0">B1-C1</f>
        <v>14400</v>
      </c>
      <c r="E1" s="352">
        <v>11750</v>
      </c>
      <c r="F1" s="191">
        <v>980</v>
      </c>
      <c r="G1" s="202">
        <f t="shared" ref="G1:G28" si="1">E1+F1</f>
        <v>12730</v>
      </c>
      <c r="H1" s="352">
        <v>535106.21</v>
      </c>
      <c r="I1" s="191">
        <v>3275.87</v>
      </c>
      <c r="J1" s="200">
        <f t="shared" ref="J1:J28" si="2">H1+I1</f>
        <v>538382.07999999996</v>
      </c>
      <c r="K1" s="36">
        <f t="shared" ref="K1:K28" si="3">E1/D1</f>
        <v>0.81597222222222221</v>
      </c>
      <c r="L1" s="20">
        <f t="shared" ref="L1:L28" si="4">H1/E1</f>
        <v>45.540954042553189</v>
      </c>
      <c r="M1" s="37">
        <f t="shared" ref="M1:M28" si="5">L1/129.2394</f>
        <v>0.35237670588499476</v>
      </c>
      <c r="N1" s="533">
        <v>3287.6307692307691</v>
      </c>
      <c r="O1" s="14">
        <f t="shared" ref="O1:O8" si="6">B1/N1*12</f>
        <v>53.210354896675653</v>
      </c>
      <c r="P1" s="15">
        <f t="shared" ref="P1:P28" si="7">(J1*12/N1)/129.2394</f>
        <v>15.205260764730172</v>
      </c>
      <c r="Q1" s="1"/>
    </row>
    <row r="2" spans="1:17" x14ac:dyDescent="0.25">
      <c r="A2" s="13" t="s">
        <v>39</v>
      </c>
      <c r="B2" s="352">
        <v>37369</v>
      </c>
      <c r="C2" s="391">
        <v>363</v>
      </c>
      <c r="D2" s="200">
        <f t="shared" si="0"/>
        <v>37006</v>
      </c>
      <c r="E2" s="352">
        <v>36660</v>
      </c>
      <c r="F2" s="191">
        <v>2160</v>
      </c>
      <c r="G2" s="202">
        <f t="shared" si="1"/>
        <v>38820</v>
      </c>
      <c r="H2" s="352">
        <v>1274395.1900000002</v>
      </c>
      <c r="I2" s="191">
        <v>7086.22</v>
      </c>
      <c r="J2" s="200">
        <f t="shared" si="2"/>
        <v>1281481.4100000001</v>
      </c>
      <c r="K2" s="36">
        <f t="shared" si="3"/>
        <v>0.99065016483813439</v>
      </c>
      <c r="L2" s="20">
        <f t="shared" si="4"/>
        <v>34.762552918712501</v>
      </c>
      <c r="M2" s="37">
        <f t="shared" si="5"/>
        <v>0.2689779813177135</v>
      </c>
      <c r="N2" s="533">
        <v>5520.7384615384617</v>
      </c>
      <c r="O2" s="14">
        <f t="shared" si="6"/>
        <v>81.226090155163178</v>
      </c>
      <c r="P2" s="15">
        <f t="shared" si="7"/>
        <v>21.552688389536957</v>
      </c>
      <c r="Q2" s="1"/>
    </row>
    <row r="3" spans="1:17" x14ac:dyDescent="0.25">
      <c r="A3" s="13" t="s">
        <v>40</v>
      </c>
      <c r="B3" s="352">
        <v>10721</v>
      </c>
      <c r="C3" s="391">
        <v>132</v>
      </c>
      <c r="D3" s="200">
        <f t="shared" si="0"/>
        <v>10589</v>
      </c>
      <c r="E3" s="352">
        <v>9210</v>
      </c>
      <c r="F3" s="354">
        <v>0</v>
      </c>
      <c r="G3" s="202">
        <f t="shared" si="1"/>
        <v>9210</v>
      </c>
      <c r="H3" s="352">
        <v>345689</v>
      </c>
      <c r="I3" s="354">
        <v>0</v>
      </c>
      <c r="J3" s="200">
        <f t="shared" si="2"/>
        <v>345689</v>
      </c>
      <c r="K3" s="36">
        <f t="shared" si="3"/>
        <v>0.869770516573803</v>
      </c>
      <c r="L3" s="20">
        <f t="shared" si="4"/>
        <v>37.534093376764389</v>
      </c>
      <c r="M3" s="37">
        <f t="shared" si="5"/>
        <v>0.29042299311792219</v>
      </c>
      <c r="N3" s="533">
        <v>2481.2307692307691</v>
      </c>
      <c r="O3" s="14">
        <f t="shared" si="6"/>
        <v>51.850074404761912</v>
      </c>
      <c r="P3" s="15">
        <f t="shared" si="7"/>
        <v>12.936140240330664</v>
      </c>
      <c r="Q3" s="1"/>
    </row>
    <row r="4" spans="1:17" x14ac:dyDescent="0.25">
      <c r="A4" s="13" t="s">
        <v>41</v>
      </c>
      <c r="B4" s="352">
        <v>19529</v>
      </c>
      <c r="C4" s="391">
        <v>266</v>
      </c>
      <c r="D4" s="200">
        <f t="shared" si="0"/>
        <v>19263</v>
      </c>
      <c r="E4" s="352">
        <v>19810</v>
      </c>
      <c r="F4" s="191">
        <v>680</v>
      </c>
      <c r="G4" s="202">
        <f t="shared" si="1"/>
        <v>20490</v>
      </c>
      <c r="H4" s="352">
        <v>779613.2</v>
      </c>
      <c r="I4" s="191">
        <v>2189.66</v>
      </c>
      <c r="J4" s="200">
        <f t="shared" si="2"/>
        <v>781802.86</v>
      </c>
      <c r="K4" s="36">
        <f t="shared" si="3"/>
        <v>1.0283964076208274</v>
      </c>
      <c r="L4" s="20">
        <f t="shared" si="4"/>
        <v>39.354528016153452</v>
      </c>
      <c r="M4" s="37">
        <f t="shared" si="5"/>
        <v>0.30450874900497416</v>
      </c>
      <c r="N4" s="533">
        <v>3225.5999999999995</v>
      </c>
      <c r="O4" s="14">
        <f t="shared" si="6"/>
        <v>72.652529761904773</v>
      </c>
      <c r="P4" s="15">
        <f t="shared" si="7"/>
        <v>22.504691160266109</v>
      </c>
      <c r="Q4" s="1"/>
    </row>
    <row r="5" spans="1:17" x14ac:dyDescent="0.25">
      <c r="A5" s="13" t="s">
        <v>42</v>
      </c>
      <c r="B5" s="553">
        <v>13463</v>
      </c>
      <c r="C5" s="391">
        <v>233</v>
      </c>
      <c r="D5" s="200">
        <f t="shared" si="0"/>
        <v>13230</v>
      </c>
      <c r="E5" s="352">
        <v>9500</v>
      </c>
      <c r="F5" s="191">
        <v>10200</v>
      </c>
      <c r="G5" s="202">
        <f t="shared" si="1"/>
        <v>19700</v>
      </c>
      <c r="H5" s="352">
        <v>350548.37</v>
      </c>
      <c r="I5" s="191">
        <v>34810.370000000003</v>
      </c>
      <c r="J5" s="200">
        <f t="shared" si="2"/>
        <v>385358.74</v>
      </c>
      <c r="K5" s="36">
        <f t="shared" si="3"/>
        <v>0.7180650037792895</v>
      </c>
      <c r="L5" s="20">
        <f t="shared" si="4"/>
        <v>36.899828421052632</v>
      </c>
      <c r="M5" s="37">
        <f t="shared" si="5"/>
        <v>0.2855153182470101</v>
      </c>
      <c r="N5" s="533">
        <v>2357.1692307692306</v>
      </c>
      <c r="O5" s="14">
        <f t="shared" si="6"/>
        <v>68.538142230576454</v>
      </c>
      <c r="P5" s="15">
        <f t="shared" si="7"/>
        <v>15.179615213848656</v>
      </c>
      <c r="Q5" s="1"/>
    </row>
    <row r="6" spans="1:17" x14ac:dyDescent="0.25">
      <c r="A6" s="13" t="s">
        <v>43</v>
      </c>
      <c r="B6" s="352">
        <v>23277</v>
      </c>
      <c r="C6" s="391">
        <v>198</v>
      </c>
      <c r="D6" s="200">
        <f t="shared" si="0"/>
        <v>23079</v>
      </c>
      <c r="E6" s="352">
        <v>15040</v>
      </c>
      <c r="F6" s="191">
        <v>2660</v>
      </c>
      <c r="G6" s="202">
        <f t="shared" si="1"/>
        <v>17700</v>
      </c>
      <c r="H6" s="352">
        <v>516987.33</v>
      </c>
      <c r="I6" s="191">
        <v>8448.2800000000007</v>
      </c>
      <c r="J6" s="200">
        <f t="shared" si="2"/>
        <v>525435.61</v>
      </c>
      <c r="K6" s="36">
        <f t="shared" si="3"/>
        <v>0.65167468261189831</v>
      </c>
      <c r="L6" s="20">
        <f t="shared" si="4"/>
        <v>34.374157579787237</v>
      </c>
      <c r="M6" s="37">
        <f t="shared" si="5"/>
        <v>0.26597274190213849</v>
      </c>
      <c r="N6" s="533">
        <v>2605.292307692308</v>
      </c>
      <c r="O6" s="14">
        <f t="shared" si="6"/>
        <v>107.21407312925169</v>
      </c>
      <c r="P6" s="15">
        <f t="shared" si="7"/>
        <v>18.726187103281763</v>
      </c>
      <c r="Q6" s="1"/>
    </row>
    <row r="7" spans="1:17" x14ac:dyDescent="0.25">
      <c r="A7" s="13" t="s">
        <v>44</v>
      </c>
      <c r="B7" s="352">
        <v>16505</v>
      </c>
      <c r="C7" s="391">
        <v>185</v>
      </c>
      <c r="D7" s="200">
        <f t="shared" si="0"/>
        <v>16320</v>
      </c>
      <c r="E7" s="352">
        <v>14640</v>
      </c>
      <c r="F7" s="191">
        <v>440</v>
      </c>
      <c r="G7" s="202">
        <f t="shared" si="1"/>
        <v>15080</v>
      </c>
      <c r="H7" s="352">
        <v>574581.11</v>
      </c>
      <c r="I7" s="191">
        <v>1517.24</v>
      </c>
      <c r="J7" s="200">
        <f t="shared" si="2"/>
        <v>576098.35</v>
      </c>
      <c r="K7" s="36">
        <f t="shared" si="3"/>
        <v>0.8970588235294118</v>
      </c>
      <c r="L7" s="20">
        <f t="shared" si="4"/>
        <v>39.247343579234972</v>
      </c>
      <c r="M7" s="37">
        <f t="shared" si="5"/>
        <v>0.30367940101265539</v>
      </c>
      <c r="N7" s="533">
        <v>2357.1692307692306</v>
      </c>
      <c r="O7" s="14">
        <f t="shared" si="6"/>
        <v>84.024514411027582</v>
      </c>
      <c r="P7" s="15">
        <f t="shared" si="7"/>
        <v>22.69301399089354</v>
      </c>
      <c r="Q7" s="1"/>
    </row>
    <row r="8" spans="1:17" x14ac:dyDescent="0.25">
      <c r="A8" s="13" t="s">
        <v>45</v>
      </c>
      <c r="B8" s="352">
        <v>16342</v>
      </c>
      <c r="C8" s="391">
        <v>169</v>
      </c>
      <c r="D8" s="200">
        <f t="shared" si="0"/>
        <v>16173</v>
      </c>
      <c r="E8" s="352">
        <v>15520</v>
      </c>
      <c r="F8" s="191">
        <v>100</v>
      </c>
      <c r="G8" s="202">
        <f t="shared" si="1"/>
        <v>15620</v>
      </c>
      <c r="H8" s="352">
        <v>592683.75</v>
      </c>
      <c r="I8" s="191">
        <v>344.83</v>
      </c>
      <c r="J8" s="200">
        <f t="shared" si="2"/>
        <v>593028.57999999996</v>
      </c>
      <c r="K8" s="36">
        <f t="shared" si="3"/>
        <v>0.95962406479935691</v>
      </c>
      <c r="L8" s="20">
        <f t="shared" si="4"/>
        <v>38.188385953608247</v>
      </c>
      <c r="M8" s="37">
        <f t="shared" si="5"/>
        <v>0.29548563327907934</v>
      </c>
      <c r="N8" s="533">
        <v>2481</v>
      </c>
      <c r="O8" s="14">
        <f t="shared" si="6"/>
        <v>79.042321644498188</v>
      </c>
      <c r="P8" s="15">
        <f t="shared" si="7"/>
        <v>22.193979093968633</v>
      </c>
      <c r="Q8" s="1"/>
    </row>
    <row r="9" spans="1:17" x14ac:dyDescent="0.25">
      <c r="A9" s="13" t="s">
        <v>46</v>
      </c>
      <c r="B9" s="352">
        <v>32044</v>
      </c>
      <c r="C9" s="391">
        <v>251</v>
      </c>
      <c r="D9" s="200">
        <f t="shared" si="0"/>
        <v>31793</v>
      </c>
      <c r="E9" s="352">
        <v>29490</v>
      </c>
      <c r="F9" s="191">
        <v>1300</v>
      </c>
      <c r="G9" s="202">
        <f t="shared" si="1"/>
        <v>30790</v>
      </c>
      <c r="H9" s="352">
        <v>1143279.1299999999</v>
      </c>
      <c r="I9" s="191">
        <v>4310.3599999999997</v>
      </c>
      <c r="J9" s="200">
        <f t="shared" si="2"/>
        <v>1147589.49</v>
      </c>
      <c r="K9" s="36">
        <f t="shared" si="3"/>
        <v>0.92756267102821377</v>
      </c>
      <c r="L9" s="20">
        <f t="shared" si="4"/>
        <v>38.76836656493726</v>
      </c>
      <c r="M9" s="37">
        <f t="shared" si="5"/>
        <v>0.29997327877518204</v>
      </c>
      <c r="N9" s="533">
        <v>7178.4</v>
      </c>
      <c r="O9" s="14">
        <f>B9/4838*12</f>
        <v>79.480777180653163</v>
      </c>
      <c r="P9" s="15">
        <f t="shared" si="7"/>
        <v>14.843804312688452</v>
      </c>
      <c r="Q9" s="1"/>
    </row>
    <row r="10" spans="1:17" x14ac:dyDescent="0.25">
      <c r="A10" s="13" t="s">
        <v>47</v>
      </c>
      <c r="B10" s="352">
        <v>42730</v>
      </c>
      <c r="C10" s="391">
        <v>405</v>
      </c>
      <c r="D10" s="200">
        <f t="shared" si="0"/>
        <v>42325</v>
      </c>
      <c r="E10" s="352">
        <v>15560</v>
      </c>
      <c r="F10" s="191">
        <v>17280</v>
      </c>
      <c r="G10" s="202">
        <f t="shared" si="1"/>
        <v>32840</v>
      </c>
      <c r="H10" s="352">
        <v>532133.37</v>
      </c>
      <c r="I10" s="191">
        <v>58551.74</v>
      </c>
      <c r="J10" s="200">
        <f t="shared" si="2"/>
        <v>590685.11</v>
      </c>
      <c r="K10" s="36">
        <f t="shared" si="3"/>
        <v>0.3676314235085647</v>
      </c>
      <c r="L10" s="20">
        <f t="shared" si="4"/>
        <v>34.198802699228793</v>
      </c>
      <c r="M10" s="37">
        <f t="shared" si="5"/>
        <v>0.26461591975224891</v>
      </c>
      <c r="N10" s="533">
        <v>4962.461538461539</v>
      </c>
      <c r="O10" s="14">
        <f t="shared" ref="O10:O28" si="8">B10/N10*12</f>
        <v>103.32775297619047</v>
      </c>
      <c r="P10" s="15">
        <f t="shared" si="7"/>
        <v>11.052109585256028</v>
      </c>
      <c r="Q10" s="1"/>
    </row>
    <row r="11" spans="1:17" x14ac:dyDescent="0.25">
      <c r="A11" s="13" t="s">
        <v>48</v>
      </c>
      <c r="B11" s="352">
        <v>6815</v>
      </c>
      <c r="C11" s="391">
        <v>94</v>
      </c>
      <c r="D11" s="200">
        <f t="shared" si="0"/>
        <v>6721</v>
      </c>
      <c r="E11" s="352">
        <v>5290</v>
      </c>
      <c r="F11" s="191">
        <v>120</v>
      </c>
      <c r="G11" s="202">
        <f t="shared" si="1"/>
        <v>5410</v>
      </c>
      <c r="H11" s="352">
        <v>192876.11</v>
      </c>
      <c r="I11" s="191">
        <v>431.05</v>
      </c>
      <c r="J11" s="200">
        <f t="shared" si="2"/>
        <v>193307.15999999997</v>
      </c>
      <c r="K11" s="36">
        <f t="shared" si="3"/>
        <v>0.78708525517036154</v>
      </c>
      <c r="L11" s="20">
        <f t="shared" si="4"/>
        <v>36.460512287334588</v>
      </c>
      <c r="M11" s="37">
        <f t="shared" si="5"/>
        <v>0.28211607518554399</v>
      </c>
      <c r="N11" s="533">
        <v>1736.8615384615382</v>
      </c>
      <c r="O11" s="14">
        <f t="shared" si="8"/>
        <v>47.084927721088441</v>
      </c>
      <c r="P11" s="15">
        <f t="shared" si="7"/>
        <v>10.334014228396201</v>
      </c>
      <c r="Q11" s="1"/>
    </row>
    <row r="12" spans="1:17" x14ac:dyDescent="0.25">
      <c r="A12" s="13" t="s">
        <v>49</v>
      </c>
      <c r="B12" s="352">
        <v>39372</v>
      </c>
      <c r="C12" s="391">
        <v>254</v>
      </c>
      <c r="D12" s="200">
        <f t="shared" si="0"/>
        <v>39118</v>
      </c>
      <c r="E12" s="352">
        <v>35880</v>
      </c>
      <c r="F12" s="191">
        <v>3080</v>
      </c>
      <c r="G12" s="202">
        <f t="shared" si="1"/>
        <v>38960</v>
      </c>
      <c r="H12" s="352">
        <v>1279764.71</v>
      </c>
      <c r="I12" s="191">
        <v>9931.02</v>
      </c>
      <c r="J12" s="200">
        <f t="shared" si="2"/>
        <v>1289695.73</v>
      </c>
      <c r="K12" s="36">
        <f t="shared" si="3"/>
        <v>0.9172248069942226</v>
      </c>
      <c r="L12" s="20">
        <f t="shared" si="4"/>
        <v>35.667912764771458</v>
      </c>
      <c r="M12" s="37">
        <f t="shared" si="5"/>
        <v>0.27598327417777752</v>
      </c>
      <c r="N12" s="533">
        <v>5024.4923076923069</v>
      </c>
      <c r="O12" s="14">
        <f t="shared" si="8"/>
        <v>94.032186948853621</v>
      </c>
      <c r="P12" s="15">
        <f t="shared" si="7"/>
        <v>23.833146864628993</v>
      </c>
      <c r="Q12" s="1"/>
    </row>
    <row r="13" spans="1:17" x14ac:dyDescent="0.25">
      <c r="A13" s="13" t="s">
        <v>50</v>
      </c>
      <c r="B13" s="352">
        <v>11315</v>
      </c>
      <c r="C13" s="391">
        <v>236</v>
      </c>
      <c r="D13" s="200">
        <f t="shared" si="0"/>
        <v>11079</v>
      </c>
      <c r="E13" s="352">
        <v>11280</v>
      </c>
      <c r="F13" s="191">
        <v>2640</v>
      </c>
      <c r="G13" s="202">
        <f t="shared" si="1"/>
        <v>13920</v>
      </c>
      <c r="H13" s="352">
        <v>401075.13</v>
      </c>
      <c r="I13" s="191">
        <v>8353.4500000000007</v>
      </c>
      <c r="J13" s="200">
        <f t="shared" si="2"/>
        <v>409428.58</v>
      </c>
      <c r="K13" s="36">
        <f t="shared" si="3"/>
        <v>1.0181424316274033</v>
      </c>
      <c r="L13" s="20">
        <f t="shared" si="4"/>
        <v>35.556305851063833</v>
      </c>
      <c r="M13" s="37">
        <f t="shared" si="5"/>
        <v>0.27511970692423393</v>
      </c>
      <c r="N13" s="533">
        <v>2667</v>
      </c>
      <c r="O13" s="14">
        <f t="shared" si="8"/>
        <v>50.911136107986501</v>
      </c>
      <c r="P13" s="15">
        <f t="shared" si="7"/>
        <v>14.254154191431555</v>
      </c>
      <c r="Q13" s="1"/>
    </row>
    <row r="14" spans="1:17" x14ac:dyDescent="0.25">
      <c r="A14" s="13" t="s">
        <v>51</v>
      </c>
      <c r="B14" s="549">
        <v>56467</v>
      </c>
      <c r="C14" s="391">
        <v>271</v>
      </c>
      <c r="D14" s="200">
        <f t="shared" si="0"/>
        <v>56196</v>
      </c>
      <c r="E14" s="352">
        <v>40260</v>
      </c>
      <c r="F14" s="191">
        <v>9300</v>
      </c>
      <c r="G14" s="202">
        <f t="shared" si="1"/>
        <v>49560</v>
      </c>
      <c r="H14" s="352">
        <v>1364321.94</v>
      </c>
      <c r="I14" s="191">
        <v>30293.1</v>
      </c>
      <c r="J14" s="200">
        <f t="shared" si="2"/>
        <v>1394615.04</v>
      </c>
      <c r="K14" s="36">
        <f t="shared" si="3"/>
        <v>0.71642109758701689</v>
      </c>
      <c r="L14" s="20">
        <f t="shared" si="4"/>
        <v>33.887777943368107</v>
      </c>
      <c r="M14" s="37">
        <f t="shared" si="5"/>
        <v>0.26220934129505485</v>
      </c>
      <c r="N14" s="533">
        <v>8436.1846153846163</v>
      </c>
      <c r="O14" s="14">
        <f t="shared" si="8"/>
        <v>80.321144082633054</v>
      </c>
      <c r="P14" s="15">
        <f t="shared" si="7"/>
        <v>15.349512336840641</v>
      </c>
      <c r="Q14" s="1"/>
    </row>
    <row r="15" spans="1:17" x14ac:dyDescent="0.25">
      <c r="A15" s="13" t="s">
        <v>52</v>
      </c>
      <c r="B15" s="549">
        <v>44618</v>
      </c>
      <c r="C15" s="391">
        <v>306</v>
      </c>
      <c r="D15" s="200">
        <f t="shared" si="0"/>
        <v>44312</v>
      </c>
      <c r="E15" s="352">
        <v>32770</v>
      </c>
      <c r="F15" s="191">
        <v>6180</v>
      </c>
      <c r="G15" s="202">
        <f t="shared" si="1"/>
        <v>38950</v>
      </c>
      <c r="H15" s="352">
        <v>1165811.68</v>
      </c>
      <c r="I15" s="191">
        <v>19827.57</v>
      </c>
      <c r="J15" s="200">
        <f t="shared" si="2"/>
        <v>1185639.25</v>
      </c>
      <c r="K15" s="36">
        <f t="shared" si="3"/>
        <v>0.73952879581151831</v>
      </c>
      <c r="L15" s="20">
        <f t="shared" si="4"/>
        <v>35.575577662496187</v>
      </c>
      <c r="M15" s="37">
        <f t="shared" si="5"/>
        <v>0.2752688240776125</v>
      </c>
      <c r="N15" s="533">
        <v>4838.3999999999996</v>
      </c>
      <c r="O15" s="14">
        <f t="shared" si="8"/>
        <v>110.65972222222223</v>
      </c>
      <c r="P15" s="15">
        <f t="shared" si="7"/>
        <v>22.752918511741385</v>
      </c>
      <c r="Q15" s="1"/>
    </row>
    <row r="16" spans="1:17" x14ac:dyDescent="0.25">
      <c r="A16" s="13" t="s">
        <v>53</v>
      </c>
      <c r="B16" s="553">
        <v>51445</v>
      </c>
      <c r="C16" s="391">
        <v>372</v>
      </c>
      <c r="D16" s="200">
        <f t="shared" si="0"/>
        <v>51073</v>
      </c>
      <c r="E16" s="352">
        <v>49010</v>
      </c>
      <c r="F16" s="191">
        <v>4740</v>
      </c>
      <c r="G16" s="202">
        <f t="shared" si="1"/>
        <v>53750</v>
      </c>
      <c r="H16" s="352">
        <v>1756038.02</v>
      </c>
      <c r="I16" s="191">
        <v>14999.99</v>
      </c>
      <c r="J16" s="200">
        <f t="shared" si="2"/>
        <v>1771038.01</v>
      </c>
      <c r="K16" s="36">
        <f t="shared" si="3"/>
        <v>0.95960683727213991</v>
      </c>
      <c r="L16" s="20">
        <f t="shared" si="4"/>
        <v>35.830198326872065</v>
      </c>
      <c r="M16" s="37">
        <f t="shared" si="5"/>
        <v>0.27723897145044057</v>
      </c>
      <c r="N16" s="533">
        <v>7257.3692307692309</v>
      </c>
      <c r="O16" s="14">
        <f t="shared" si="8"/>
        <v>85.063882017005525</v>
      </c>
      <c r="P16" s="15">
        <f t="shared" si="7"/>
        <v>22.658699296963302</v>
      </c>
      <c r="Q16" s="1"/>
    </row>
    <row r="17" spans="1:17" x14ac:dyDescent="0.25">
      <c r="A17" s="13" t="s">
        <v>54</v>
      </c>
      <c r="B17" s="352">
        <v>34556</v>
      </c>
      <c r="C17" s="391">
        <v>369</v>
      </c>
      <c r="D17" s="200">
        <f t="shared" si="0"/>
        <v>34187</v>
      </c>
      <c r="E17" s="352">
        <v>19090</v>
      </c>
      <c r="F17" s="191">
        <v>10520</v>
      </c>
      <c r="G17" s="202">
        <f t="shared" si="1"/>
        <v>29610</v>
      </c>
      <c r="H17" s="352">
        <v>688401.38</v>
      </c>
      <c r="I17" s="191">
        <v>34827.57</v>
      </c>
      <c r="J17" s="200">
        <f t="shared" si="2"/>
        <v>723228.95</v>
      </c>
      <c r="K17" s="36">
        <f t="shared" si="3"/>
        <v>0.55839939158159535</v>
      </c>
      <c r="L17" s="20">
        <f t="shared" si="4"/>
        <v>36.060837087480358</v>
      </c>
      <c r="M17" s="37">
        <f t="shared" si="5"/>
        <v>0.27902355696080577</v>
      </c>
      <c r="N17" s="533">
        <v>4651.9846153846156</v>
      </c>
      <c r="O17" s="14">
        <f t="shared" si="8"/>
        <v>89.138729872114126</v>
      </c>
      <c r="P17" s="15">
        <f t="shared" si="7"/>
        <v>14.435234561941622</v>
      </c>
      <c r="Q17" s="1"/>
    </row>
    <row r="18" spans="1:17" x14ac:dyDescent="0.25">
      <c r="A18" s="13" t="s">
        <v>55</v>
      </c>
      <c r="B18" s="352">
        <v>31648</v>
      </c>
      <c r="C18" s="391">
        <v>381</v>
      </c>
      <c r="D18" s="200">
        <f t="shared" si="0"/>
        <v>31267</v>
      </c>
      <c r="E18" s="352">
        <v>23520</v>
      </c>
      <c r="F18" s="191">
        <v>2880</v>
      </c>
      <c r="G18" s="202">
        <f t="shared" si="1"/>
        <v>26400</v>
      </c>
      <c r="H18" s="352">
        <v>862213.30999999994</v>
      </c>
      <c r="I18" s="191">
        <v>9543.09</v>
      </c>
      <c r="J18" s="200">
        <f t="shared" si="2"/>
        <v>871756.39999999991</v>
      </c>
      <c r="K18" s="36">
        <f t="shared" si="3"/>
        <v>0.75223078645217001</v>
      </c>
      <c r="L18" s="20">
        <f t="shared" si="4"/>
        <v>36.658729166666667</v>
      </c>
      <c r="M18" s="37">
        <f t="shared" si="5"/>
        <v>0.28364979384511746</v>
      </c>
      <c r="N18" s="533">
        <v>5086.5230769230766</v>
      </c>
      <c r="O18" s="14">
        <f t="shared" si="8"/>
        <v>74.663182346109181</v>
      </c>
      <c r="P18" s="15">
        <f t="shared" si="7"/>
        <v>15.913306886523749</v>
      </c>
      <c r="Q18" s="1"/>
    </row>
    <row r="19" spans="1:17" x14ac:dyDescent="0.25">
      <c r="A19" s="13" t="s">
        <v>56</v>
      </c>
      <c r="B19" s="352">
        <v>13508</v>
      </c>
      <c r="C19" s="391">
        <v>198</v>
      </c>
      <c r="D19" s="200">
        <f t="shared" si="0"/>
        <v>13310</v>
      </c>
      <c r="E19" s="352">
        <v>12530</v>
      </c>
      <c r="F19" s="191">
        <v>740</v>
      </c>
      <c r="G19" s="202">
        <f t="shared" si="1"/>
        <v>13270</v>
      </c>
      <c r="H19" s="352">
        <v>444494.5</v>
      </c>
      <c r="I19" s="191">
        <v>2293.11</v>
      </c>
      <c r="J19" s="200">
        <f t="shared" si="2"/>
        <v>446787.61</v>
      </c>
      <c r="K19" s="36">
        <f t="shared" si="3"/>
        <v>0.94139744552967697</v>
      </c>
      <c r="L19" s="20">
        <f t="shared" si="4"/>
        <v>35.474421388667196</v>
      </c>
      <c r="M19" s="37">
        <f t="shared" si="5"/>
        <v>0.27448611947027918</v>
      </c>
      <c r="N19" s="533">
        <v>2481.2307692307691</v>
      </c>
      <c r="O19" s="14">
        <f t="shared" si="8"/>
        <v>65.328869047619051</v>
      </c>
      <c r="P19" s="15">
        <f t="shared" si="7"/>
        <v>16.719384130250493</v>
      </c>
      <c r="Q19" s="1"/>
    </row>
    <row r="20" spans="1:17" x14ac:dyDescent="0.25">
      <c r="A20" s="13" t="s">
        <v>57</v>
      </c>
      <c r="B20" s="553">
        <v>14842</v>
      </c>
      <c r="C20" s="391">
        <v>178</v>
      </c>
      <c r="D20" s="200">
        <f t="shared" si="0"/>
        <v>14664</v>
      </c>
      <c r="E20" s="352">
        <v>8470</v>
      </c>
      <c r="F20" s="191">
        <v>20</v>
      </c>
      <c r="G20" s="202">
        <f t="shared" si="1"/>
        <v>8490</v>
      </c>
      <c r="H20" s="352">
        <v>302256.90000000002</v>
      </c>
      <c r="I20" s="191">
        <v>68.97</v>
      </c>
      <c r="J20" s="200">
        <f t="shared" si="2"/>
        <v>302325.87</v>
      </c>
      <c r="K20" s="36">
        <f t="shared" si="3"/>
        <v>0.57760501909438078</v>
      </c>
      <c r="L20" s="20">
        <f t="shared" si="4"/>
        <v>35.685584415584415</v>
      </c>
      <c r="M20" s="37">
        <f t="shared" si="5"/>
        <v>0.27612000996278546</v>
      </c>
      <c r="N20" s="533">
        <v>2481.2307692307691</v>
      </c>
      <c r="O20" s="14">
        <f t="shared" si="8"/>
        <v>71.780505952380963</v>
      </c>
      <c r="P20" s="15">
        <f t="shared" si="7"/>
        <v>11.313434481860797</v>
      </c>
      <c r="Q20" s="1"/>
    </row>
    <row r="21" spans="1:17" x14ac:dyDescent="0.25">
      <c r="A21" s="13" t="s">
        <v>58</v>
      </c>
      <c r="B21" s="352">
        <v>29610</v>
      </c>
      <c r="C21" s="391">
        <v>300</v>
      </c>
      <c r="D21" s="200">
        <f t="shared" si="0"/>
        <v>29310</v>
      </c>
      <c r="E21" s="352">
        <v>38060</v>
      </c>
      <c r="F21" s="191">
        <v>740</v>
      </c>
      <c r="G21" s="202">
        <f t="shared" si="1"/>
        <v>38800</v>
      </c>
      <c r="H21" s="352">
        <v>1497015.17</v>
      </c>
      <c r="I21" s="191">
        <v>2448.29</v>
      </c>
      <c r="J21" s="200">
        <f t="shared" si="2"/>
        <v>1499463.46</v>
      </c>
      <c r="K21" s="36">
        <f t="shared" si="3"/>
        <v>1.298532923916752</v>
      </c>
      <c r="L21" s="20">
        <f t="shared" si="4"/>
        <v>39.333031266421436</v>
      </c>
      <c r="M21" s="37">
        <f t="shared" si="5"/>
        <v>0.30434241621689234</v>
      </c>
      <c r="N21" s="533">
        <v>7948.5538461538463</v>
      </c>
      <c r="O21" s="14">
        <f t="shared" si="8"/>
        <v>44.702471276826358</v>
      </c>
      <c r="P21" s="15">
        <f t="shared" si="7"/>
        <v>17.515965427359152</v>
      </c>
      <c r="Q21" s="1"/>
    </row>
    <row r="22" spans="1:17" x14ac:dyDescent="0.25">
      <c r="A22" s="13" t="s">
        <v>59</v>
      </c>
      <c r="B22" s="352">
        <v>17524</v>
      </c>
      <c r="C22" s="391">
        <v>193</v>
      </c>
      <c r="D22" s="200">
        <f t="shared" si="0"/>
        <v>17331</v>
      </c>
      <c r="E22" s="352">
        <v>11690</v>
      </c>
      <c r="F22" s="191">
        <v>2460</v>
      </c>
      <c r="G22" s="202">
        <f t="shared" si="1"/>
        <v>14150</v>
      </c>
      <c r="H22" s="352">
        <v>539817.05999999994</v>
      </c>
      <c r="I22" s="191">
        <v>7965.54</v>
      </c>
      <c r="J22" s="200">
        <f t="shared" si="2"/>
        <v>547782.6</v>
      </c>
      <c r="K22" s="36">
        <f t="shared" si="3"/>
        <v>0.67451387686803987</v>
      </c>
      <c r="L22" s="20">
        <f t="shared" si="4"/>
        <v>46.177678357570571</v>
      </c>
      <c r="M22" s="37">
        <f t="shared" si="5"/>
        <v>0.35730341024154072</v>
      </c>
      <c r="N22" s="533">
        <v>2481.2307692307691</v>
      </c>
      <c r="O22" s="14">
        <f t="shared" si="8"/>
        <v>84.751488095238102</v>
      </c>
      <c r="P22" s="15">
        <f t="shared" si="7"/>
        <v>20.498750422527053</v>
      </c>
      <c r="Q22" s="1"/>
    </row>
    <row r="23" spans="1:17" x14ac:dyDescent="0.25">
      <c r="A23" s="13" t="s">
        <v>60</v>
      </c>
      <c r="B23" s="352">
        <v>18061</v>
      </c>
      <c r="C23" s="391">
        <v>217</v>
      </c>
      <c r="D23" s="200">
        <f t="shared" si="0"/>
        <v>17844</v>
      </c>
      <c r="E23" s="352">
        <v>16760</v>
      </c>
      <c r="F23" s="191">
        <v>1180</v>
      </c>
      <c r="G23" s="202">
        <f t="shared" si="1"/>
        <v>17940</v>
      </c>
      <c r="H23" s="352">
        <v>600218.11</v>
      </c>
      <c r="I23" s="191">
        <v>3965.52</v>
      </c>
      <c r="J23" s="200">
        <f t="shared" si="2"/>
        <v>604183.63</v>
      </c>
      <c r="K23" s="36">
        <f t="shared" si="3"/>
        <v>0.93925128894866616</v>
      </c>
      <c r="L23" s="20">
        <f t="shared" si="4"/>
        <v>35.812536396181386</v>
      </c>
      <c r="M23" s="37">
        <f t="shared" si="5"/>
        <v>0.27710231087564158</v>
      </c>
      <c r="N23" s="533">
        <v>2605.292307692308</v>
      </c>
      <c r="O23" s="14">
        <f t="shared" si="8"/>
        <v>83.189129818594097</v>
      </c>
      <c r="P23" s="15">
        <f t="shared" si="7"/>
        <v>21.532715873825072</v>
      </c>
      <c r="Q23" s="1"/>
    </row>
    <row r="24" spans="1:17" x14ac:dyDescent="0.25">
      <c r="A24" s="13" t="s">
        <v>61</v>
      </c>
      <c r="B24" s="352">
        <v>20981</v>
      </c>
      <c r="C24" s="391">
        <v>139</v>
      </c>
      <c r="D24" s="200">
        <f t="shared" si="0"/>
        <v>20842</v>
      </c>
      <c r="E24" s="352">
        <v>8700</v>
      </c>
      <c r="F24" s="191">
        <v>6100</v>
      </c>
      <c r="G24" s="202">
        <f t="shared" si="1"/>
        <v>14800</v>
      </c>
      <c r="H24" s="352">
        <v>321201.64999999997</v>
      </c>
      <c r="I24" s="191">
        <v>19844.84</v>
      </c>
      <c r="J24" s="200">
        <f t="shared" si="2"/>
        <v>341046.49</v>
      </c>
      <c r="K24" s="36">
        <f t="shared" si="3"/>
        <v>0.41742635063813455</v>
      </c>
      <c r="L24" s="20">
        <f t="shared" si="4"/>
        <v>36.919729885057464</v>
      </c>
      <c r="M24" s="37">
        <f t="shared" si="5"/>
        <v>0.28566930738658231</v>
      </c>
      <c r="N24" s="533">
        <v>2481.2307692307695</v>
      </c>
      <c r="O24" s="14">
        <f t="shared" si="8"/>
        <v>101.47061011904761</v>
      </c>
      <c r="P24" s="15">
        <f t="shared" si="7"/>
        <v>12.762411367189953</v>
      </c>
      <c r="Q24" s="1"/>
    </row>
    <row r="25" spans="1:17" x14ac:dyDescent="0.25">
      <c r="A25" s="13" t="s">
        <v>62</v>
      </c>
      <c r="B25" s="549">
        <v>21197</v>
      </c>
      <c r="C25" s="391">
        <v>177</v>
      </c>
      <c r="D25" s="200">
        <f t="shared" si="0"/>
        <v>21020</v>
      </c>
      <c r="E25" s="352">
        <v>13410</v>
      </c>
      <c r="F25" s="191">
        <v>2160</v>
      </c>
      <c r="G25" s="202">
        <f t="shared" si="1"/>
        <v>15570</v>
      </c>
      <c r="H25" s="352">
        <v>460157.93000000005</v>
      </c>
      <c r="I25" s="191">
        <v>6879.3</v>
      </c>
      <c r="J25" s="200">
        <f t="shared" si="2"/>
        <v>467037.23000000004</v>
      </c>
      <c r="K25" s="36">
        <f t="shared" si="3"/>
        <v>0.6379638439581351</v>
      </c>
      <c r="L25" s="20">
        <f t="shared" si="4"/>
        <v>34.314536167039527</v>
      </c>
      <c r="M25" s="37">
        <f t="shared" si="5"/>
        <v>0.26551141654201066</v>
      </c>
      <c r="N25" s="533">
        <v>2605.292307692308</v>
      </c>
      <c r="O25" s="14">
        <f t="shared" si="8"/>
        <v>97.633574263038525</v>
      </c>
      <c r="P25" s="15">
        <f t="shared" si="7"/>
        <v>16.64490641047043</v>
      </c>
      <c r="Q25" s="1"/>
    </row>
    <row r="26" spans="1:17" x14ac:dyDescent="0.25">
      <c r="A26" s="13" t="s">
        <v>63</v>
      </c>
      <c r="B26" s="553">
        <v>17281</v>
      </c>
      <c r="C26" s="391">
        <v>130</v>
      </c>
      <c r="D26" s="200">
        <f t="shared" si="0"/>
        <v>17151</v>
      </c>
      <c r="E26" s="352">
        <v>10570</v>
      </c>
      <c r="F26" s="191">
        <v>6840</v>
      </c>
      <c r="G26" s="202">
        <f t="shared" si="1"/>
        <v>17410</v>
      </c>
      <c r="H26" s="352">
        <v>378204.49</v>
      </c>
      <c r="I26" s="191">
        <v>22603.47</v>
      </c>
      <c r="J26" s="200">
        <f t="shared" si="2"/>
        <v>400807.95999999996</v>
      </c>
      <c r="K26" s="36">
        <f t="shared" si="3"/>
        <v>0.61629059530056551</v>
      </c>
      <c r="L26" s="20">
        <f t="shared" si="4"/>
        <v>35.780935666982025</v>
      </c>
      <c r="M26" s="37">
        <f t="shared" si="5"/>
        <v>0.27685779775348718</v>
      </c>
      <c r="N26" s="533">
        <v>2481.2307692307691</v>
      </c>
      <c r="O26" s="14">
        <f t="shared" si="8"/>
        <v>83.57626488095238</v>
      </c>
      <c r="P26" s="15">
        <f t="shared" si="7"/>
        <v>14.998764727835836</v>
      </c>
      <c r="Q26" s="1"/>
    </row>
    <row r="27" spans="1:17" x14ac:dyDescent="0.25">
      <c r="A27" s="13" t="s">
        <v>65</v>
      </c>
      <c r="B27" s="352">
        <v>16057</v>
      </c>
      <c r="C27" s="391">
        <v>194</v>
      </c>
      <c r="D27" s="200">
        <f t="shared" si="0"/>
        <v>15863</v>
      </c>
      <c r="E27" s="352">
        <v>15040</v>
      </c>
      <c r="F27" s="191">
        <v>3240</v>
      </c>
      <c r="G27" s="202">
        <f t="shared" si="1"/>
        <v>18280</v>
      </c>
      <c r="H27" s="352">
        <v>519772.83000000007</v>
      </c>
      <c r="I27" s="191">
        <v>11172.42</v>
      </c>
      <c r="J27" s="200">
        <f t="shared" si="2"/>
        <v>530945.25000000012</v>
      </c>
      <c r="K27" s="36">
        <f t="shared" si="3"/>
        <v>0.94811826262371557</v>
      </c>
      <c r="L27" s="20">
        <f t="shared" si="4"/>
        <v>34.559363696808518</v>
      </c>
      <c r="M27" s="37">
        <f t="shared" si="5"/>
        <v>0.2674057887672685</v>
      </c>
      <c r="N27" s="533">
        <v>2740</v>
      </c>
      <c r="O27" s="14">
        <f t="shared" si="8"/>
        <v>70.322627737226284</v>
      </c>
      <c r="P27" s="15">
        <f t="shared" si="7"/>
        <v>17.992250538408392</v>
      </c>
      <c r="Q27" s="1"/>
    </row>
    <row r="28" spans="1:17" x14ac:dyDescent="0.25">
      <c r="A28" s="195" t="s">
        <v>66</v>
      </c>
      <c r="B28" s="548">
        <v>10075</v>
      </c>
      <c r="C28" s="393">
        <v>133</v>
      </c>
      <c r="D28" s="359">
        <f t="shared" si="0"/>
        <v>9942</v>
      </c>
      <c r="E28" s="355">
        <v>8230</v>
      </c>
      <c r="F28" s="541">
        <v>800</v>
      </c>
      <c r="G28" s="357">
        <f t="shared" si="1"/>
        <v>9030</v>
      </c>
      <c r="H28" s="355">
        <v>270784.82</v>
      </c>
      <c r="I28" s="541">
        <v>2603.46</v>
      </c>
      <c r="J28" s="359">
        <f t="shared" si="2"/>
        <v>273388.28000000003</v>
      </c>
      <c r="K28" s="360">
        <f t="shared" si="3"/>
        <v>0.82780124723395698</v>
      </c>
      <c r="L28" s="244">
        <f t="shared" si="4"/>
        <v>32.902165249088704</v>
      </c>
      <c r="M28" s="542">
        <f t="shared" si="5"/>
        <v>0.25458308572377081</v>
      </c>
      <c r="N28" s="543">
        <v>2605.292307692308</v>
      </c>
      <c r="O28" s="19">
        <f t="shared" si="8"/>
        <v>46.405541383219955</v>
      </c>
      <c r="P28" s="204">
        <f t="shared" si="7"/>
        <v>9.7433824158290001</v>
      </c>
      <c r="Q28" s="16" t="s">
        <v>118</v>
      </c>
    </row>
  </sheetData>
  <sortState ref="A1:Q28">
    <sortCondition ref="A1:A28"/>
  </sortState>
  <conditionalFormatting sqref="O1:O28">
    <cfRule type="cellIs" dxfId="16" priority="1" operator="between">
      <formula>0</formula>
      <formula>79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S107"/>
  <sheetViews>
    <sheetView workbookViewId="0">
      <pane ySplit="4" topLeftCell="A5" activePane="bottomLeft" state="frozen"/>
      <selection pane="bottomLeft" activeCell="S47" sqref="S47"/>
    </sheetView>
  </sheetViews>
  <sheetFormatPr defaultColWidth="9.140625" defaultRowHeight="12" x14ac:dyDescent="0.2"/>
  <cols>
    <col min="1" max="1" width="2" style="1" customWidth="1"/>
    <col min="2" max="2" width="31.42578125" style="1" customWidth="1"/>
    <col min="3" max="3" width="10.5703125" style="44" customWidth="1"/>
    <col min="4" max="4" width="8.7109375" style="1" customWidth="1"/>
    <col min="5" max="5" width="10.140625" style="1" customWidth="1"/>
    <col min="6" max="6" width="10" style="44" customWidth="1"/>
    <col min="7" max="7" width="9.28515625" style="1" customWidth="1"/>
    <col min="8" max="8" width="9.85546875" style="1" customWidth="1"/>
    <col min="9" max="9" width="11.7109375" style="45" customWidth="1"/>
    <col min="10" max="10" width="10" style="45" customWidth="1"/>
    <col min="11" max="11" width="11.140625" style="45" customWidth="1"/>
    <col min="12" max="12" width="7.7109375" style="1" customWidth="1"/>
    <col min="13" max="13" width="8.85546875" style="1" customWidth="1"/>
    <col min="14" max="14" width="9.7109375" style="1" customWidth="1"/>
    <col min="15" max="15" width="9.5703125" style="1" customWidth="1"/>
    <col min="16" max="16" width="9.7109375" style="47" customWidth="1"/>
    <col min="17" max="17" width="9.85546875" style="16" customWidth="1"/>
    <col min="18" max="16384" width="9.140625" style="1"/>
  </cols>
  <sheetData>
    <row r="1" spans="2:19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9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9" ht="15" x14ac:dyDescent="0.25">
      <c r="B3" s="622">
        <v>45869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9" ht="33" customHeight="1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7" t="s">
        <v>15</v>
      </c>
      <c r="P4" s="8" t="s">
        <v>16</v>
      </c>
      <c r="Q4" s="9" t="s">
        <v>17</v>
      </c>
    </row>
    <row r="5" spans="2:19" ht="16.5" customHeight="1" thickBot="1" x14ac:dyDescent="0.3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9" s="16" customFormat="1" ht="15.75" customHeight="1" x14ac:dyDescent="0.2">
      <c r="B6" s="240" t="s">
        <v>27</v>
      </c>
      <c r="C6" s="229">
        <f>'July 2025- Prodn &amp; Sales'!C8</f>
        <v>124454</v>
      </c>
      <c r="D6" s="229">
        <f>'July 2025- Prodn &amp; Sales'!D8</f>
        <v>610</v>
      </c>
      <c r="E6" s="229">
        <f>'July 2025- Prodn &amp; Sales'!E8</f>
        <v>123844</v>
      </c>
      <c r="F6" s="229">
        <f>'July 2025- Prodn &amp; Sales'!F8</f>
        <v>113794</v>
      </c>
      <c r="G6" s="229">
        <f>'July 2025- Prodn &amp; Sales'!G8</f>
        <v>14740</v>
      </c>
      <c r="H6" s="229">
        <f>'July 2025- Prodn &amp; Sales'!H8</f>
        <v>128534</v>
      </c>
      <c r="I6" s="229">
        <f>'July 2025- Prodn &amp; Sales'!I8</f>
        <v>1948934.37</v>
      </c>
      <c r="J6" s="229">
        <f>'July 2025- Prodn &amp; Sales'!J8</f>
        <v>45560.37</v>
      </c>
      <c r="K6" s="229">
        <f>'July 2025- Prodn &amp; Sales'!K8</f>
        <v>1994494.7400000002</v>
      </c>
      <c r="L6" s="626">
        <f>(F6+F7)/(E6+E7)</f>
        <v>0.920621305091602</v>
      </c>
      <c r="M6" s="230">
        <f t="shared" ref="M6:M12" si="0">I6/F6</f>
        <v>17.126864070161872</v>
      </c>
      <c r="N6" s="231">
        <f t="shared" ref="N6:N21" si="1">M6/129.2394</f>
        <v>0.13252045483159064</v>
      </c>
      <c r="O6" s="564">
        <f>'July 2025- Prodn &amp; Sales'!O8</f>
        <v>8560</v>
      </c>
      <c r="P6" s="566">
        <f t="shared" ref="P6:P12" si="2">C6/O6*12</f>
        <v>174.46822429906541</v>
      </c>
      <c r="Q6" s="628">
        <f>(K6+K7)*12/(O6+O7)/129.2394</f>
        <v>20.885454447750671</v>
      </c>
    </row>
    <row r="7" spans="2:19" s="16" customFormat="1" ht="15.75" customHeight="1" thickBot="1" x14ac:dyDescent="0.25">
      <c r="B7" s="241" t="s">
        <v>34</v>
      </c>
      <c r="C7" s="242">
        <f>'July 2025- Prodn &amp; Sales'!C9</f>
        <v>81725</v>
      </c>
      <c r="D7" s="242">
        <f>'July 2025- Prodn &amp; Sales'!D9</f>
        <v>388</v>
      </c>
      <c r="E7" s="242">
        <f>'July 2025- Prodn &amp; Sales'!E9</f>
        <v>81337</v>
      </c>
      <c r="F7" s="242">
        <f>'July 2025- Prodn &amp; Sales'!F9</f>
        <v>75100</v>
      </c>
      <c r="G7" s="242">
        <f>'July 2025- Prodn &amp; Sales'!G9</f>
        <v>3020</v>
      </c>
      <c r="H7" s="242">
        <f>'July 2025- Prodn &amp; Sales'!H9</f>
        <v>78120</v>
      </c>
      <c r="I7" s="242">
        <f>'July 2025- Prodn &amp; Sales'!I9</f>
        <v>1121282.17</v>
      </c>
      <c r="J7" s="242">
        <f>'July 2025- Prodn &amp; Sales'!J9</f>
        <v>9474.15</v>
      </c>
      <c r="K7" s="242">
        <f>'July 2025- Prodn &amp; Sales'!K9</f>
        <v>1130756.3199999998</v>
      </c>
      <c r="L7" s="627"/>
      <c r="M7" s="243">
        <f t="shared" si="0"/>
        <v>14.930521571238348</v>
      </c>
      <c r="N7" s="237">
        <f t="shared" si="1"/>
        <v>0.11552608238074727</v>
      </c>
      <c r="O7" s="238">
        <f>'July 2025- Prodn &amp; Sales'!O9</f>
        <v>5334</v>
      </c>
      <c r="P7" s="565">
        <f t="shared" si="2"/>
        <v>183.85826771653544</v>
      </c>
      <c r="Q7" s="629"/>
    </row>
    <row r="8" spans="2:19" s="16" customFormat="1" ht="15.75" customHeight="1" x14ac:dyDescent="0.2">
      <c r="B8" s="228" t="s">
        <v>29</v>
      </c>
      <c r="C8" s="229">
        <f>'July 2025- Prodn &amp; Sales'!C11</f>
        <v>35137</v>
      </c>
      <c r="D8" s="229">
        <f>'July 2025- Prodn &amp; Sales'!D11</f>
        <v>335</v>
      </c>
      <c r="E8" s="229">
        <f>'July 2025- Prodn &amp; Sales'!E11</f>
        <v>34802</v>
      </c>
      <c r="F8" s="229">
        <f>'July 2025- Prodn &amp; Sales'!F11</f>
        <v>29905</v>
      </c>
      <c r="G8" s="229">
        <f>'July 2025- Prodn &amp; Sales'!G11</f>
        <v>1100</v>
      </c>
      <c r="H8" s="229">
        <f>'July 2025- Prodn &amp; Sales'!H11</f>
        <v>31005</v>
      </c>
      <c r="I8" s="229">
        <f>'July 2025- Prodn &amp; Sales'!I11</f>
        <v>423677.35</v>
      </c>
      <c r="J8" s="229">
        <f>'July 2025- Prodn &amp; Sales'!J11</f>
        <v>3318.97</v>
      </c>
      <c r="K8" s="229">
        <f>'July 2025- Prodn &amp; Sales'!K11</f>
        <v>426996.31999999995</v>
      </c>
      <c r="L8" s="626">
        <f>(F8+F9)/(E8+E9)</f>
        <v>0.92871898255307495</v>
      </c>
      <c r="M8" s="230">
        <f t="shared" si="0"/>
        <v>14.167441899347935</v>
      </c>
      <c r="N8" s="231">
        <f t="shared" si="1"/>
        <v>0.10962169353423133</v>
      </c>
      <c r="O8" s="232">
        <f>'July 2025- Prodn &amp; Sales'!O11</f>
        <v>2233</v>
      </c>
      <c r="P8" s="233">
        <f t="shared" si="2"/>
        <v>188.82400358262427</v>
      </c>
      <c r="Q8" s="628">
        <f>(K8+K9)*12/(O8+O9)/129.2394</f>
        <v>18.599986647273958</v>
      </c>
    </row>
    <row r="9" spans="2:19" s="16" customFormat="1" ht="15.75" customHeight="1" thickBot="1" x14ac:dyDescent="0.25">
      <c r="B9" s="234" t="s">
        <v>19</v>
      </c>
      <c r="C9" s="235">
        <f>'July 2025- Prodn &amp; Sales'!C6</f>
        <v>46052</v>
      </c>
      <c r="D9" s="235">
        <f>'July 2025- Prodn &amp; Sales'!D6</f>
        <v>496</v>
      </c>
      <c r="E9" s="235">
        <f>'July 2025- Prodn &amp; Sales'!E6</f>
        <v>45556</v>
      </c>
      <c r="F9" s="235">
        <f>'July 2025- Prodn &amp; Sales'!F6</f>
        <v>44725</v>
      </c>
      <c r="G9" s="235">
        <f>'July 2025- Prodn &amp; Sales'!G6</f>
        <v>6280</v>
      </c>
      <c r="H9" s="235">
        <f>'July 2025- Prodn &amp; Sales'!H6</f>
        <v>51005</v>
      </c>
      <c r="I9" s="235">
        <f>'July 2025- Prodn &amp; Sales'!I6</f>
        <v>672250.02</v>
      </c>
      <c r="J9" s="235">
        <f>'July 2025- Prodn &amp; Sales'!J6</f>
        <v>19077.59</v>
      </c>
      <c r="K9" s="235">
        <f>'July 2025- Prodn &amp; Sales'!K6</f>
        <v>691327.61</v>
      </c>
      <c r="L9" s="627"/>
      <c r="M9" s="236">
        <f t="shared" si="0"/>
        <v>15.030743879262157</v>
      </c>
      <c r="N9" s="237">
        <f t="shared" si="1"/>
        <v>0.11630156035436685</v>
      </c>
      <c r="O9" s="238">
        <f>'July 2025- Prodn &amp; Sales'!O6</f>
        <v>3349.6615384615388</v>
      </c>
      <c r="P9" s="239">
        <f t="shared" si="2"/>
        <v>164.97905643738974</v>
      </c>
      <c r="Q9" s="629"/>
    </row>
    <row r="10" spans="2:19" s="16" customFormat="1" ht="15.75" customHeight="1" x14ac:dyDescent="0.2">
      <c r="B10" s="266" t="s">
        <v>20</v>
      </c>
      <c r="C10" s="267">
        <f>'July 2025- Prodn &amp; Sales'!C7</f>
        <v>180208</v>
      </c>
      <c r="D10" s="267">
        <f>'July 2025- Prodn &amp; Sales'!D7</f>
        <v>784</v>
      </c>
      <c r="E10" s="267">
        <f>'July 2025- Prodn &amp; Sales'!E7</f>
        <v>179424</v>
      </c>
      <c r="F10" s="267">
        <f>'July 2025- Prodn &amp; Sales'!F7</f>
        <v>140291</v>
      </c>
      <c r="G10" s="267">
        <f>'July 2025- Prodn &amp; Sales'!G7</f>
        <v>42820</v>
      </c>
      <c r="H10" s="267">
        <f>'July 2025- Prodn &amp; Sales'!H7</f>
        <v>183111</v>
      </c>
      <c r="I10" s="267">
        <f>'July 2025- Prodn &amp; Sales'!I7</f>
        <v>1960223.98</v>
      </c>
      <c r="J10" s="267">
        <f>'July 2025- Prodn &amp; Sales'!J7</f>
        <v>130129.3</v>
      </c>
      <c r="K10" s="267">
        <f>'July 2025- Prodn &amp; Sales'!K7</f>
        <v>2090353.28</v>
      </c>
      <c r="L10" s="245">
        <f>F10/E10</f>
        <v>0.78189651328696275</v>
      </c>
      <c r="M10" s="265">
        <f>I10/F10</f>
        <v>13.972556899587286</v>
      </c>
      <c r="N10" s="496">
        <f t="shared" si="1"/>
        <v>0.10811375555432234</v>
      </c>
      <c r="O10" s="309">
        <f>'July 2025- Prodn &amp; Sales'!O7</f>
        <v>10545</v>
      </c>
      <c r="P10" s="309">
        <f>C10/O10*12</f>
        <v>205.07311522048363</v>
      </c>
      <c r="Q10" s="399">
        <f>(K10*12/O10)/129.2394</f>
        <v>18.40600005867352</v>
      </c>
    </row>
    <row r="11" spans="2:19" s="16" customFormat="1" ht="15.75" customHeight="1" x14ac:dyDescent="0.2">
      <c r="B11" s="10" t="s">
        <v>32</v>
      </c>
      <c r="C11" s="20">
        <f>'July 2025- Prodn &amp; Sales'!C12</f>
        <v>43709</v>
      </c>
      <c r="D11" s="20">
        <f>'July 2025- Prodn &amp; Sales'!D12</f>
        <v>853</v>
      </c>
      <c r="E11" s="20">
        <f>'July 2025- Prodn &amp; Sales'!E12</f>
        <v>42856</v>
      </c>
      <c r="F11" s="20">
        <f>'July 2025- Prodn &amp; Sales'!F12</f>
        <v>38424</v>
      </c>
      <c r="G11" s="20">
        <f>'July 2025- Prodn &amp; Sales'!G12</f>
        <v>4720</v>
      </c>
      <c r="H11" s="20">
        <f>'July 2025- Prodn &amp; Sales'!H12</f>
        <v>43144</v>
      </c>
      <c r="I11" s="20">
        <f>'July 2025- Prodn &amp; Sales'!I12</f>
        <v>878652.46000000008</v>
      </c>
      <c r="J11" s="20">
        <f>'July 2025- Prodn &amp; Sales'!J12</f>
        <v>14655.21</v>
      </c>
      <c r="K11" s="20">
        <f>'July 2025- Prodn &amp; Sales'!K12</f>
        <v>893307.67</v>
      </c>
      <c r="L11" s="226">
        <f>F11/E11</f>
        <v>0.89658390890423745</v>
      </c>
      <c r="M11" s="269">
        <f t="shared" si="0"/>
        <v>22.867282427649389</v>
      </c>
      <c r="N11" s="227">
        <f t="shared" si="1"/>
        <v>0.17693739237143929</v>
      </c>
      <c r="O11" s="502">
        <f>'July 2025- Prodn &amp; Sales'!O12</f>
        <v>4962.4615384615381</v>
      </c>
      <c r="P11" s="502">
        <f t="shared" si="2"/>
        <v>105.69512648809524</v>
      </c>
      <c r="Q11" s="498">
        <f>(K11*12/O11)/129.2394</f>
        <v>16.714378092567344</v>
      </c>
    </row>
    <row r="12" spans="2:19" s="16" customFormat="1" ht="15.75" customHeight="1" thickBot="1" x14ac:dyDescent="0.25">
      <c r="B12" s="10" t="s">
        <v>21</v>
      </c>
      <c r="C12" s="250">
        <f>'July 2025- Prodn &amp; Sales'!C13</f>
        <v>48232</v>
      </c>
      <c r="D12" s="250">
        <f>'July 2025- Prodn &amp; Sales'!D13</f>
        <v>483</v>
      </c>
      <c r="E12" s="250">
        <f>'July 2025- Prodn &amp; Sales'!E13</f>
        <v>47749</v>
      </c>
      <c r="F12" s="250">
        <f>'July 2025- Prodn &amp; Sales'!F13</f>
        <v>43198</v>
      </c>
      <c r="G12" s="250">
        <f>'July 2025- Prodn &amp; Sales'!G13</f>
        <v>1400</v>
      </c>
      <c r="H12" s="250">
        <f>'July 2025- Prodn &amp; Sales'!H13</f>
        <v>44598</v>
      </c>
      <c r="I12" s="250">
        <f>'July 2025- Prodn &amp; Sales'!I13</f>
        <v>822536.71</v>
      </c>
      <c r="J12" s="250">
        <f>'July 2025- Prodn &amp; Sales'!J13</f>
        <v>4224.1400000000003</v>
      </c>
      <c r="K12" s="250">
        <f>'July 2025- Prodn &amp; Sales'!K13</f>
        <v>826760.85</v>
      </c>
      <c r="L12" s="251">
        <f>F12/E12</f>
        <v>0.90468910343672115</v>
      </c>
      <c r="M12" s="252">
        <f t="shared" si="0"/>
        <v>19.041083151997778</v>
      </c>
      <c r="N12" s="227">
        <f t="shared" si="1"/>
        <v>0.14733187520212707</v>
      </c>
      <c r="O12" s="253">
        <f>'July 2025- Prodn &amp; Sales'!O13</f>
        <v>5768.8615384615377</v>
      </c>
      <c r="P12" s="253">
        <f t="shared" si="2"/>
        <v>100.3289810547875</v>
      </c>
      <c r="Q12" s="325">
        <f>(K12*12/O12)/129.2394</f>
        <v>13.306875716295037</v>
      </c>
    </row>
    <row r="13" spans="2:19" s="16" customFormat="1" ht="15.75" customHeight="1" x14ac:dyDescent="0.2">
      <c r="B13" s="254" t="s">
        <v>28</v>
      </c>
      <c r="C13" s="229">
        <f>'July 2025- Prodn &amp; Sales'!C20</f>
        <v>92329</v>
      </c>
      <c r="D13" s="229">
        <f>'July 2025- Prodn &amp; Sales'!D20</f>
        <v>434</v>
      </c>
      <c r="E13" s="229">
        <f>'July 2025- Prodn &amp; Sales'!E20</f>
        <v>91895</v>
      </c>
      <c r="F13" s="229">
        <f>'July 2025- Prodn &amp; Sales'!F20</f>
        <v>47794</v>
      </c>
      <c r="G13" s="229">
        <f>'July 2025- Prodn &amp; Sales'!G20</f>
        <v>14820</v>
      </c>
      <c r="H13" s="229">
        <f>'July 2025- Prodn &amp; Sales'!H20</f>
        <v>62614</v>
      </c>
      <c r="I13" s="229">
        <f>'July 2025- Prodn &amp; Sales'!I20</f>
        <v>650828.6100000001</v>
      </c>
      <c r="J13" s="229">
        <f>'July 2025- Prodn &amp; Sales'!J20</f>
        <v>46267.25</v>
      </c>
      <c r="K13" s="229">
        <f>'July 2025- Prodn &amp; Sales'!K20</f>
        <v>697095.8600000001</v>
      </c>
      <c r="L13" s="626">
        <f>(F13+F14)/(C13+C14)</f>
        <v>0.73314616144203248</v>
      </c>
      <c r="M13" s="230">
        <f>I13/F13</f>
        <v>13.617370590450687</v>
      </c>
      <c r="N13" s="231">
        <f t="shared" si="1"/>
        <v>0.10536547361292832</v>
      </c>
      <c r="O13" s="232">
        <f>'July 2025- Prodn &amp; Sales'!O20</f>
        <v>10048.984615384614</v>
      </c>
      <c r="P13" s="233">
        <f>C13/O13*12</f>
        <v>110.2547214873604</v>
      </c>
      <c r="Q13" s="628">
        <f>(K13+K14)*12/(O13+O14)/129.2394</f>
        <v>12.264524387574163</v>
      </c>
    </row>
    <row r="14" spans="2:19" s="16" customFormat="1" ht="15.75" customHeight="1" thickBot="1" x14ac:dyDescent="0.25">
      <c r="B14" s="341" t="s">
        <v>30</v>
      </c>
      <c r="C14" s="242">
        <f>'July 2025- Prodn &amp; Sales'!C10</f>
        <v>146667</v>
      </c>
      <c r="D14" s="242">
        <f>'July 2025- Prodn &amp; Sales'!D10</f>
        <v>726</v>
      </c>
      <c r="E14" s="242">
        <f>'July 2025- Prodn &amp; Sales'!E10</f>
        <v>145941</v>
      </c>
      <c r="F14" s="242">
        <f>'July 2025- Prodn &amp; Sales'!F10</f>
        <v>127425</v>
      </c>
      <c r="G14" s="242">
        <f>'July 2025- Prodn &amp; Sales'!G10</f>
        <v>87960</v>
      </c>
      <c r="H14" s="242">
        <f>'July 2025- Prodn &amp; Sales'!H10</f>
        <v>215385</v>
      </c>
      <c r="I14" s="242">
        <f>'July 2025- Prodn &amp; Sales'!I10</f>
        <v>1727915.53</v>
      </c>
      <c r="J14" s="242">
        <f>'July 2025- Prodn &amp; Sales'!J10</f>
        <v>266844.84999999998</v>
      </c>
      <c r="K14" s="242">
        <f>'July 2025- Prodn &amp; Sales'!K10</f>
        <v>1994760.38</v>
      </c>
      <c r="L14" s="627"/>
      <c r="M14" s="243">
        <f>I14/F14</f>
        <v>13.560255287423976</v>
      </c>
      <c r="N14" s="237">
        <f t="shared" si="1"/>
        <v>0.10492353947344213</v>
      </c>
      <c r="O14" s="257">
        <f>'July 2025- Prodn &amp; Sales'!O10</f>
        <v>10330.231</v>
      </c>
      <c r="P14" s="239">
        <f>C14/O14*12</f>
        <v>170.37411844904534</v>
      </c>
      <c r="Q14" s="629"/>
      <c r="S14" s="58"/>
    </row>
    <row r="15" spans="2:19" s="16" customFormat="1" ht="15.75" customHeight="1" x14ac:dyDescent="0.2">
      <c r="B15" s="266" t="s">
        <v>26</v>
      </c>
      <c r="C15" s="395">
        <f>'July 2025- Prodn &amp; Sales'!C15</f>
        <v>40932</v>
      </c>
      <c r="D15" s="395">
        <f>'July 2025- Prodn &amp; Sales'!D15</f>
        <v>495</v>
      </c>
      <c r="E15" s="395">
        <f>'July 2025- Prodn &amp; Sales'!E15</f>
        <v>40437</v>
      </c>
      <c r="F15" s="395">
        <f>'July 2025- Prodn &amp; Sales'!F15</f>
        <v>19509</v>
      </c>
      <c r="G15" s="395">
        <f>'July 2025- Prodn &amp; Sales'!G15</f>
        <v>7380</v>
      </c>
      <c r="H15" s="395">
        <f>'July 2025- Prodn &amp; Sales'!H15</f>
        <v>26889</v>
      </c>
      <c r="I15" s="395">
        <f>'July 2025- Prodn &amp; Sales'!I15</f>
        <v>272061.75</v>
      </c>
      <c r="J15" s="395">
        <f>'July 2025- Prodn &amp; Sales'!J15</f>
        <v>23224.13</v>
      </c>
      <c r="K15" s="395">
        <f>'July 2025- Prodn &amp; Sales'!K15</f>
        <v>295285.88</v>
      </c>
      <c r="L15" s="500">
        <f t="shared" ref="L15" si="3">F15/E15</f>
        <v>0.48245418799614215</v>
      </c>
      <c r="M15" s="465">
        <f>I15/F15</f>
        <v>13.9454482546517</v>
      </c>
      <c r="N15" s="570">
        <f t="shared" si="1"/>
        <v>0.10790400028669045</v>
      </c>
      <c r="O15" s="502">
        <f>'July 2025- Prodn &amp; Sales'!O15</f>
        <v>2419.1999999999998</v>
      </c>
      <c r="P15" s="253">
        <f>C15/O15*12</f>
        <v>203.03571428571428</v>
      </c>
      <c r="Q15" s="218">
        <f>(K15*12/O15)/129.2394</f>
        <v>11.333321776093101</v>
      </c>
    </row>
    <row r="16" spans="2:19" s="16" customFormat="1" ht="15.75" customHeight="1" thickBot="1" x14ac:dyDescent="0.25">
      <c r="B16" s="266" t="s">
        <v>25</v>
      </c>
      <c r="C16" s="242">
        <f>'July 2025- Prodn &amp; Sales'!C16</f>
        <v>62413</v>
      </c>
      <c r="D16" s="242">
        <f>'July 2025- Prodn &amp; Sales'!D16</f>
        <v>351</v>
      </c>
      <c r="E16" s="242">
        <f>'July 2025- Prodn &amp; Sales'!E16</f>
        <v>62062</v>
      </c>
      <c r="F16" s="242">
        <f>'July 2025- Prodn &amp; Sales'!F16</f>
        <v>59179</v>
      </c>
      <c r="G16" s="242">
        <f>'July 2025- Prodn &amp; Sales'!G16</f>
        <v>1820</v>
      </c>
      <c r="H16" s="242">
        <f>'July 2025- Prodn &amp; Sales'!H16</f>
        <v>60999</v>
      </c>
      <c r="I16" s="242">
        <f>'July 2025- Prodn &amp; Sales'!I16</f>
        <v>939946.92999999993</v>
      </c>
      <c r="J16" s="242">
        <f>'July 2025- Prodn &amp; Sales'!J16</f>
        <v>5931.04</v>
      </c>
      <c r="K16" s="242">
        <f>'July 2025- Prodn &amp; Sales'!K16</f>
        <v>945877.97</v>
      </c>
      <c r="L16" s="245">
        <f>F16/E16</f>
        <v>0.95354645354645351</v>
      </c>
      <c r="M16" s="495">
        <f>I16/F16</f>
        <v>15.883116139170989</v>
      </c>
      <c r="N16" s="503">
        <f t="shared" si="1"/>
        <v>0.12289685760821382</v>
      </c>
      <c r="O16" s="315">
        <f>'July 2025- Prodn &amp; Sales'!O16</f>
        <v>8067.6</v>
      </c>
      <c r="P16" s="315">
        <f>C16/O16*12</f>
        <v>92.835043879220578</v>
      </c>
      <c r="Q16" s="498">
        <f>(K16*12/O16)/129.2394</f>
        <v>10.886218985356173</v>
      </c>
      <c r="R16" s="499"/>
    </row>
    <row r="17" spans="2:18" s="16" customFormat="1" ht="15.75" customHeight="1" x14ac:dyDescent="0.2">
      <c r="B17" s="258" t="s">
        <v>24</v>
      </c>
      <c r="C17" s="259">
        <f>'July 2025- Prodn &amp; Sales'!C14</f>
        <v>55023</v>
      </c>
      <c r="D17" s="259">
        <f>'July 2025- Prodn &amp; Sales'!D14</f>
        <v>370</v>
      </c>
      <c r="E17" s="259">
        <f>'July 2025- Prodn &amp; Sales'!E14</f>
        <v>54653</v>
      </c>
      <c r="F17" s="259">
        <f>'July 2025- Prodn &amp; Sales'!F14</f>
        <v>48416</v>
      </c>
      <c r="G17" s="259">
        <f>'July 2025- Prodn &amp; Sales'!G14</f>
        <v>14480</v>
      </c>
      <c r="H17" s="259">
        <f>'July 2025- Prodn &amp; Sales'!H14</f>
        <v>62896</v>
      </c>
      <c r="I17" s="259">
        <f>'July 2025- Prodn &amp; Sales'!I14</f>
        <v>676872.61</v>
      </c>
      <c r="J17" s="259">
        <f>'July 2025- Prodn &amp; Sales'!J14</f>
        <v>43689.66</v>
      </c>
      <c r="K17" s="259">
        <f>'July 2025- Prodn &amp; Sales'!K14</f>
        <v>720562.27</v>
      </c>
      <c r="L17" s="626">
        <f>(F17+F18+F19)/(C17+C18+C19)</f>
        <v>0.80358865918002831</v>
      </c>
      <c r="M17" s="230">
        <f>I17/F17</f>
        <v>13.980349677792464</v>
      </c>
      <c r="N17" s="255">
        <f t="shared" si="1"/>
        <v>0.10817405278724959</v>
      </c>
      <c r="O17" s="232">
        <f>'July 2025- Prodn &amp; Sales'!O14</f>
        <v>5492.6769230769232</v>
      </c>
      <c r="P17" s="233">
        <f>C17/O17*12</f>
        <v>120.21023796719547</v>
      </c>
      <c r="Q17" s="628">
        <f>(K17+K18+K19)*12/(O17+O18+O19)/129.2394</f>
        <v>10.645116478683093</v>
      </c>
    </row>
    <row r="18" spans="2:18" s="16" customFormat="1" ht="15.75" customHeight="1" x14ac:dyDescent="0.2">
      <c r="B18" s="260" t="s">
        <v>23</v>
      </c>
      <c r="C18" s="20">
        <f>'July 2025- Prodn &amp; Sales'!C18</f>
        <v>45883</v>
      </c>
      <c r="D18" s="20">
        <f>'July 2025- Prodn &amp; Sales'!D18</f>
        <v>330</v>
      </c>
      <c r="E18" s="20">
        <f>'July 2025- Prodn &amp; Sales'!E18</f>
        <v>45553</v>
      </c>
      <c r="F18" s="20">
        <f>'July 2025- Prodn &amp; Sales'!F18</f>
        <v>35339</v>
      </c>
      <c r="G18" s="20">
        <f>'July 2025- Prodn &amp; Sales'!G18</f>
        <v>5120</v>
      </c>
      <c r="H18" s="20">
        <f>'July 2025- Prodn &amp; Sales'!H18</f>
        <v>40459</v>
      </c>
      <c r="I18" s="20">
        <f>'July 2025- Prodn &amp; Sales'!I18</f>
        <v>527135.79</v>
      </c>
      <c r="J18" s="20">
        <f>'July 2025- Prodn &amp; Sales'!J18</f>
        <v>15862.09</v>
      </c>
      <c r="K18" s="20">
        <f>'July 2025- Prodn &amp; Sales'!K18</f>
        <v>542997.88</v>
      </c>
      <c r="L18" s="634"/>
      <c r="M18" s="256">
        <f t="shared" ref="M18" si="4">I18/F18</f>
        <v>14.916545176716943</v>
      </c>
      <c r="N18" s="247">
        <f t="shared" si="1"/>
        <v>0.11541793893129296</v>
      </c>
      <c r="O18" s="209">
        <f>'July 2025- Prodn &amp; Sales'!O18</f>
        <v>5148.5538461538463</v>
      </c>
      <c r="P18" s="248">
        <f t="shared" ref="P18" si="5">C18/O18*12</f>
        <v>106.94187464142283</v>
      </c>
      <c r="Q18" s="633"/>
    </row>
    <row r="19" spans="2:18" s="16" customFormat="1" ht="15.75" customHeight="1" thickBot="1" x14ac:dyDescent="0.25">
      <c r="B19" s="261" t="s">
        <v>22</v>
      </c>
      <c r="C19" s="242">
        <f>'July 2025- Prodn &amp; Sales'!C17</f>
        <v>45221</v>
      </c>
      <c r="D19" s="242">
        <f>'July 2025- Prodn &amp; Sales'!D17</f>
        <v>393</v>
      </c>
      <c r="E19" s="242">
        <f>'July 2025- Prodn &amp; Sales'!E17</f>
        <v>44828</v>
      </c>
      <c r="F19" s="242">
        <f>'July 2025- Prodn &amp; Sales'!F17</f>
        <v>33671</v>
      </c>
      <c r="G19" s="242">
        <f>'July 2025- Prodn &amp; Sales'!G17</f>
        <v>5000</v>
      </c>
      <c r="H19" s="242">
        <f>'July 2025- Prodn &amp; Sales'!H17</f>
        <v>38671</v>
      </c>
      <c r="I19" s="242">
        <f>'July 2025- Prodn &amp; Sales'!I17</f>
        <v>510069.07</v>
      </c>
      <c r="J19" s="242">
        <f>'July 2025- Prodn &amp; Sales'!J17</f>
        <v>15293.1</v>
      </c>
      <c r="K19" s="242">
        <f>'July 2025- Prodn &amp; Sales'!K17</f>
        <v>525362.17000000004</v>
      </c>
      <c r="L19" s="627"/>
      <c r="M19" s="243">
        <f>I19/F19</f>
        <v>15.148616613703187</v>
      </c>
      <c r="N19" s="237">
        <f t="shared" si="1"/>
        <v>0.1172136098875667</v>
      </c>
      <c r="O19" s="238">
        <f>'July 2025- Prodn &amp; Sales'!O17</f>
        <v>4962.4615384615381</v>
      </c>
      <c r="P19" s="239">
        <f>C19/O19*12</f>
        <v>109.35137648809524</v>
      </c>
      <c r="Q19" s="629"/>
    </row>
    <row r="20" spans="2:18" s="16" customFormat="1" ht="15.75" customHeight="1" x14ac:dyDescent="0.2">
      <c r="B20" s="266" t="s">
        <v>33</v>
      </c>
      <c r="C20" s="250">
        <f>'July 2025- Prodn &amp; Sales'!C19</f>
        <v>20898</v>
      </c>
      <c r="D20" s="250">
        <f>'July 2025- Prodn &amp; Sales'!D19</f>
        <v>505</v>
      </c>
      <c r="E20" s="250">
        <f>'July 2025- Prodn &amp; Sales'!E19</f>
        <v>20393</v>
      </c>
      <c r="F20" s="250">
        <f>'July 2025- Prodn &amp; Sales'!F19</f>
        <v>14706</v>
      </c>
      <c r="G20" s="250">
        <f>'July 2025- Prodn &amp; Sales'!G19</f>
        <v>6160</v>
      </c>
      <c r="H20" s="250">
        <f>'July 2025- Prodn &amp; Sales'!H19</f>
        <v>20866</v>
      </c>
      <c r="I20" s="250">
        <f>'July 2025- Prodn &amp; Sales'!I19</f>
        <v>190584.68</v>
      </c>
      <c r="J20" s="250">
        <f>'July 2025- Prodn &amp; Sales'!J19</f>
        <v>18586.22</v>
      </c>
      <c r="K20" s="250">
        <f>'July 2025- Prodn &amp; Sales'!K19</f>
        <v>209170.9</v>
      </c>
      <c r="L20" s="567">
        <f>F20/E20</f>
        <v>0.72112979944098465</v>
      </c>
      <c r="M20" s="252">
        <f>I20/F20</f>
        <v>12.959654562763497</v>
      </c>
      <c r="N20" s="227">
        <f t="shared" si="1"/>
        <v>0.10027634423220394</v>
      </c>
      <c r="O20" s="568">
        <f>'July 2025- Prodn &amp; Sales'!O19</f>
        <v>2605.292307692308</v>
      </c>
      <c r="P20" s="19">
        <f>C20/O20*12</f>
        <v>96.256377551020393</v>
      </c>
      <c r="Q20" s="569">
        <f>(K20*12/O20)/129.2394</f>
        <v>7.4547163066504734</v>
      </c>
      <c r="R20" s="16" t="s">
        <v>118</v>
      </c>
    </row>
    <row r="21" spans="2:18" ht="17.25" customHeight="1" thickBot="1" x14ac:dyDescent="0.25">
      <c r="B21" s="270" t="s">
        <v>35</v>
      </c>
      <c r="C21" s="39">
        <f t="shared" ref="C21:K21" si="6">SUM(C6:C20)</f>
        <v>1068883</v>
      </c>
      <c r="D21" s="39">
        <f t="shared" si="6"/>
        <v>7553</v>
      </c>
      <c r="E21" s="39">
        <f t="shared" si="6"/>
        <v>1061330</v>
      </c>
      <c r="F21" s="39">
        <f t="shared" si="6"/>
        <v>871476</v>
      </c>
      <c r="G21" s="39">
        <f t="shared" si="6"/>
        <v>216820</v>
      </c>
      <c r="H21" s="39">
        <f t="shared" si="6"/>
        <v>1088296</v>
      </c>
      <c r="I21" s="39">
        <f t="shared" si="6"/>
        <v>13322972.029999997</v>
      </c>
      <c r="J21" s="39">
        <f t="shared" si="6"/>
        <v>662138.06999999995</v>
      </c>
      <c r="K21" s="39">
        <f t="shared" si="6"/>
        <v>13985110.100000003</v>
      </c>
      <c r="L21" s="272">
        <f>F21/E21</f>
        <v>0.82111690049277797</v>
      </c>
      <c r="M21" s="23">
        <f>I21/F21</f>
        <v>15.287824369231048</v>
      </c>
      <c r="N21" s="572">
        <f t="shared" si="1"/>
        <v>0.11829074082076402</v>
      </c>
      <c r="O21" s="52">
        <f>SUM(O6:O20)</f>
        <v>89827.98484615385</v>
      </c>
      <c r="P21" s="477">
        <f>C21/O21*12</f>
        <v>142.79064616631211</v>
      </c>
      <c r="Q21" s="476">
        <f>(K21*12/O21)/129.2394</f>
        <v>14.455747230175646</v>
      </c>
    </row>
    <row r="22" spans="2:18" ht="17.25" customHeight="1" thickTop="1" thickBot="1" x14ac:dyDescent="0.25">
      <c r="B22" s="26" t="s">
        <v>36</v>
      </c>
      <c r="C22" s="27"/>
      <c r="D22" s="275">
        <f>D21/C21</f>
        <v>7.0662551467279393E-3</v>
      </c>
      <c r="E22" s="276">
        <f>E21/C21</f>
        <v>0.99293374485327202</v>
      </c>
      <c r="F22" s="30"/>
      <c r="G22" s="31"/>
      <c r="H22" s="30"/>
      <c r="I22" s="30"/>
      <c r="J22" s="30"/>
      <c r="K22" s="30"/>
      <c r="L22" s="32"/>
      <c r="M22" s="30"/>
      <c r="N22" s="33"/>
      <c r="O22" s="34"/>
      <c r="P22" s="34"/>
      <c r="Q22" s="35"/>
    </row>
    <row r="23" spans="2:18" ht="21" customHeight="1" thickTop="1" thickBot="1" x14ac:dyDescent="0.3">
      <c r="B23" s="623" t="s">
        <v>37</v>
      </c>
      <c r="C23" s="620"/>
      <c r="D23" s="620"/>
      <c r="E23" s="620"/>
      <c r="F23" s="620"/>
      <c r="G23" s="620"/>
      <c r="H23" s="620"/>
      <c r="I23" s="620"/>
      <c r="J23" s="620"/>
      <c r="K23" s="620"/>
      <c r="L23" s="620"/>
      <c r="M23" s="620"/>
      <c r="N23" s="620"/>
      <c r="O23" s="620"/>
      <c r="P23" s="620"/>
      <c r="Q23" s="620"/>
    </row>
    <row r="24" spans="2:18" ht="15" customHeight="1" x14ac:dyDescent="0.2">
      <c r="B24" s="277" t="s">
        <v>53</v>
      </c>
      <c r="C24" s="278">
        <f>'July 2025- Prodn &amp; Sales'!C27</f>
        <v>51445</v>
      </c>
      <c r="D24" s="278">
        <f>'July 2025- Prodn &amp; Sales'!D27</f>
        <v>372</v>
      </c>
      <c r="E24" s="278">
        <f>'July 2025- Prodn &amp; Sales'!E27</f>
        <v>51073</v>
      </c>
      <c r="F24" s="278">
        <f>'July 2025- Prodn &amp; Sales'!F27</f>
        <v>49010</v>
      </c>
      <c r="G24" s="278">
        <f>'July 2025- Prodn &amp; Sales'!G27</f>
        <v>4740</v>
      </c>
      <c r="H24" s="278">
        <f>'July 2025- Prodn &amp; Sales'!H27</f>
        <v>53750</v>
      </c>
      <c r="I24" s="278">
        <f>'July 2025- Prodn &amp; Sales'!I27</f>
        <v>1756038.02</v>
      </c>
      <c r="J24" s="278">
        <f>'July 2025- Prodn &amp; Sales'!J27</f>
        <v>14999.99</v>
      </c>
      <c r="K24" s="278">
        <f>'July 2025- Prodn &amp; Sales'!K27</f>
        <v>1771038.01</v>
      </c>
      <c r="L24" s="626">
        <f>(F24+F25)/(E24+E25)</f>
        <v>0.95961098057877048</v>
      </c>
      <c r="M24" s="279">
        <f t="shared" ref="M24:M29" si="7">I24/F24</f>
        <v>35.830198326872065</v>
      </c>
      <c r="N24" s="231">
        <f t="shared" ref="N24:N52" si="8">M24/129.2394</f>
        <v>0.27723897145044057</v>
      </c>
      <c r="O24" s="281">
        <f>'July 2025- Prodn &amp; Sales'!O27</f>
        <v>7257.3692307692309</v>
      </c>
      <c r="P24" s="229">
        <f t="shared" ref="P24:P29" si="9">C24/O24*12</f>
        <v>85.063882017005525</v>
      </c>
      <c r="Q24" s="628">
        <f>(K24+K25)*12/(O24+O25)/129.2394</f>
        <v>22.54030464624633</v>
      </c>
      <c r="R24" s="479"/>
    </row>
    <row r="25" spans="2:18" ht="15" customHeight="1" thickBot="1" x14ac:dyDescent="0.25">
      <c r="B25" s="282" t="s">
        <v>45</v>
      </c>
      <c r="C25" s="283">
        <f>'July 2025- Prodn &amp; Sales'!C29</f>
        <v>16342</v>
      </c>
      <c r="D25" s="283">
        <f>'July 2025- Prodn &amp; Sales'!D29</f>
        <v>169</v>
      </c>
      <c r="E25" s="283">
        <f>'July 2025- Prodn &amp; Sales'!E29</f>
        <v>16173</v>
      </c>
      <c r="F25" s="283">
        <f>'July 2025- Prodn &amp; Sales'!F29</f>
        <v>15520</v>
      </c>
      <c r="G25" s="283">
        <f>'July 2025- Prodn &amp; Sales'!G29</f>
        <v>100</v>
      </c>
      <c r="H25" s="283">
        <f>'July 2025- Prodn &amp; Sales'!H29</f>
        <v>15620</v>
      </c>
      <c r="I25" s="283">
        <f>'July 2025- Prodn &amp; Sales'!I29</f>
        <v>592683.75</v>
      </c>
      <c r="J25" s="283">
        <f>'July 2025- Prodn &amp; Sales'!J29</f>
        <v>344.83</v>
      </c>
      <c r="K25" s="283">
        <f>'July 2025- Prodn &amp; Sales'!K29</f>
        <v>593028.57999999996</v>
      </c>
      <c r="L25" s="627"/>
      <c r="M25" s="284">
        <f t="shared" si="7"/>
        <v>38.188385953608247</v>
      </c>
      <c r="N25" s="237">
        <f t="shared" si="8"/>
        <v>0.29548563327907934</v>
      </c>
      <c r="O25" s="257">
        <f>'July 2025- Prodn &amp; Sales'!O29</f>
        <v>2481</v>
      </c>
      <c r="P25" s="242">
        <f t="shared" si="9"/>
        <v>79.042321644498188</v>
      </c>
      <c r="Q25" s="629"/>
      <c r="R25" s="479"/>
    </row>
    <row r="26" spans="2:18" ht="15" customHeight="1" x14ac:dyDescent="0.2">
      <c r="B26" s="292" t="s">
        <v>49</v>
      </c>
      <c r="C26" s="278">
        <f>'July 2025- Prodn &amp; Sales'!C24</f>
        <v>39372</v>
      </c>
      <c r="D26" s="278">
        <f>'July 2025- Prodn &amp; Sales'!D24</f>
        <v>254</v>
      </c>
      <c r="E26" s="278">
        <f>'July 2025- Prodn &amp; Sales'!E24</f>
        <v>39118</v>
      </c>
      <c r="F26" s="278">
        <f>'July 2025- Prodn &amp; Sales'!F24</f>
        <v>35880</v>
      </c>
      <c r="G26" s="278">
        <f>'July 2025- Prodn &amp; Sales'!G24</f>
        <v>3080</v>
      </c>
      <c r="H26" s="278">
        <f>'July 2025- Prodn &amp; Sales'!H24</f>
        <v>38960</v>
      </c>
      <c r="I26" s="278">
        <f>'July 2025- Prodn &amp; Sales'!I24</f>
        <v>1279764.71</v>
      </c>
      <c r="J26" s="278">
        <f>'July 2025- Prodn &amp; Sales'!J24</f>
        <v>9931.02</v>
      </c>
      <c r="K26" s="278">
        <f>'July 2025- Prodn &amp; Sales'!K24</f>
        <v>1289695.73</v>
      </c>
      <c r="L26" s="626">
        <f>(F26+F27)/(E26+E27)</f>
        <v>0.81961488576274566</v>
      </c>
      <c r="M26" s="287">
        <f t="shared" si="7"/>
        <v>35.667912764771458</v>
      </c>
      <c r="N26" s="231">
        <f t="shared" si="8"/>
        <v>0.27598327417777752</v>
      </c>
      <c r="O26" s="281">
        <f>'July 2025- Prodn &amp; Sales'!O24</f>
        <v>5024.4923076923069</v>
      </c>
      <c r="P26" s="288">
        <f t="shared" si="9"/>
        <v>94.032186948853621</v>
      </c>
      <c r="Q26" s="628">
        <f>(K26+K27)*12/(O26+O27)/129.2394</f>
        <v>21.378625733940698</v>
      </c>
      <c r="R26" s="479"/>
    </row>
    <row r="27" spans="2:18" ht="15" customHeight="1" thickBot="1" x14ac:dyDescent="0.25">
      <c r="B27" s="293" t="s">
        <v>62</v>
      </c>
      <c r="C27" s="283">
        <f>'July 2025- Prodn &amp; Sales'!C37</f>
        <v>21197</v>
      </c>
      <c r="D27" s="283">
        <f>'July 2025- Prodn &amp; Sales'!D37</f>
        <v>177</v>
      </c>
      <c r="E27" s="283">
        <f>'July 2025- Prodn &amp; Sales'!E37</f>
        <v>21020</v>
      </c>
      <c r="F27" s="283">
        <f>'July 2025- Prodn &amp; Sales'!F37</f>
        <v>13410</v>
      </c>
      <c r="G27" s="283">
        <f>'July 2025- Prodn &amp; Sales'!G37</f>
        <v>2160</v>
      </c>
      <c r="H27" s="283">
        <f>'July 2025- Prodn &amp; Sales'!H37</f>
        <v>15570</v>
      </c>
      <c r="I27" s="283">
        <f>'July 2025- Prodn &amp; Sales'!I37</f>
        <v>460157.93000000005</v>
      </c>
      <c r="J27" s="283">
        <f>'July 2025- Prodn &amp; Sales'!J37</f>
        <v>6879.3</v>
      </c>
      <c r="K27" s="283">
        <f>'July 2025- Prodn &amp; Sales'!K37</f>
        <v>467037.23000000004</v>
      </c>
      <c r="L27" s="627"/>
      <c r="M27" s="290">
        <f t="shared" si="7"/>
        <v>34.314536167039527</v>
      </c>
      <c r="N27" s="237">
        <f t="shared" si="8"/>
        <v>0.26551141654201066</v>
      </c>
      <c r="O27" s="257">
        <f>'July 2025- Prodn &amp; Sales'!O37</f>
        <v>2605.292307692308</v>
      </c>
      <c r="P27" s="291">
        <f t="shared" si="9"/>
        <v>97.633574263038525</v>
      </c>
      <c r="Q27" s="629"/>
      <c r="R27" s="479"/>
    </row>
    <row r="28" spans="2:18" ht="15" customHeight="1" x14ac:dyDescent="0.2">
      <c r="B28" s="286" t="s">
        <v>43</v>
      </c>
      <c r="C28" s="278">
        <f>'July 2025- Prodn &amp; Sales'!C33</f>
        <v>23277</v>
      </c>
      <c r="D28" s="278">
        <f>'July 2025- Prodn &amp; Sales'!D33</f>
        <v>198</v>
      </c>
      <c r="E28" s="278">
        <f>'July 2025- Prodn &amp; Sales'!E33</f>
        <v>23079</v>
      </c>
      <c r="F28" s="278">
        <f>'July 2025- Prodn &amp; Sales'!F33</f>
        <v>15040</v>
      </c>
      <c r="G28" s="278">
        <f>'July 2025- Prodn &amp; Sales'!G33</f>
        <v>2660</v>
      </c>
      <c r="H28" s="278">
        <f>'July 2025- Prodn &amp; Sales'!H33</f>
        <v>17700</v>
      </c>
      <c r="I28" s="278">
        <f>'July 2025- Prodn &amp; Sales'!I33</f>
        <v>516987.33</v>
      </c>
      <c r="J28" s="278">
        <f>'July 2025- Prodn &amp; Sales'!J33</f>
        <v>8448.2800000000007</v>
      </c>
      <c r="K28" s="278">
        <f>'July 2025- Prodn &amp; Sales'!K33</f>
        <v>525435.61</v>
      </c>
      <c r="L28" s="626">
        <f>(F28+F29)/(E28+E29)</f>
        <v>0.70944191360864206</v>
      </c>
      <c r="M28" s="287">
        <f t="shared" si="7"/>
        <v>34.374157579787237</v>
      </c>
      <c r="N28" s="231">
        <f t="shared" si="8"/>
        <v>0.26597274190213849</v>
      </c>
      <c r="O28" s="281">
        <f>'July 2025- Prodn &amp; Sales'!O33</f>
        <v>2605.292307692308</v>
      </c>
      <c r="P28" s="288">
        <f t="shared" si="9"/>
        <v>107.21407312925169</v>
      </c>
      <c r="Q28" s="628">
        <f>(K28+K29)*12/(O28+O29)/129.2394</f>
        <v>21.343562518780519</v>
      </c>
      <c r="R28" s="479"/>
    </row>
    <row r="29" spans="2:18" ht="15" customHeight="1" thickBot="1" x14ac:dyDescent="0.25">
      <c r="B29" s="289" t="s">
        <v>52</v>
      </c>
      <c r="C29" s="283">
        <f>'July 2025- Prodn &amp; Sales'!C25</f>
        <v>44618</v>
      </c>
      <c r="D29" s="283">
        <f>'July 2025- Prodn &amp; Sales'!D25</f>
        <v>306</v>
      </c>
      <c r="E29" s="283">
        <f>'July 2025- Prodn &amp; Sales'!E25</f>
        <v>44312</v>
      </c>
      <c r="F29" s="283">
        <f>'July 2025- Prodn &amp; Sales'!F25</f>
        <v>32770</v>
      </c>
      <c r="G29" s="283">
        <f>'July 2025- Prodn &amp; Sales'!G25</f>
        <v>6180</v>
      </c>
      <c r="H29" s="283">
        <f>'July 2025- Prodn &amp; Sales'!H25</f>
        <v>38950</v>
      </c>
      <c r="I29" s="283">
        <f>'July 2025- Prodn &amp; Sales'!I25</f>
        <v>1165811.68</v>
      </c>
      <c r="J29" s="283">
        <f>'July 2025- Prodn &amp; Sales'!J25</f>
        <v>19827.57</v>
      </c>
      <c r="K29" s="283">
        <f>'July 2025- Prodn &amp; Sales'!K25</f>
        <v>1185639.25</v>
      </c>
      <c r="L29" s="627"/>
      <c r="M29" s="290">
        <f t="shared" si="7"/>
        <v>35.575577662496187</v>
      </c>
      <c r="N29" s="237">
        <f t="shared" si="8"/>
        <v>0.2752688240776125</v>
      </c>
      <c r="O29" s="257">
        <f>'July 2025- Prodn &amp; Sales'!O25</f>
        <v>4838.3999999999996</v>
      </c>
      <c r="P29" s="291">
        <f t="shared" si="9"/>
        <v>110.65972222222223</v>
      </c>
      <c r="Q29" s="629"/>
      <c r="R29" s="479"/>
    </row>
    <row r="30" spans="2:18" ht="14.25" customHeight="1" x14ac:dyDescent="0.2">
      <c r="B30" s="303" t="s">
        <v>44</v>
      </c>
      <c r="C30" s="304">
        <f>'July 2025- Prodn &amp; Sales'!C26</f>
        <v>16505</v>
      </c>
      <c r="D30" s="304">
        <f>'July 2025- Prodn &amp; Sales'!D26</f>
        <v>185</v>
      </c>
      <c r="E30" s="304">
        <f>'July 2025- Prodn &amp; Sales'!E26</f>
        <v>16320</v>
      </c>
      <c r="F30" s="304">
        <f>'July 2025- Prodn &amp; Sales'!F26</f>
        <v>14640</v>
      </c>
      <c r="G30" s="304">
        <f>'July 2025- Prodn &amp; Sales'!G26</f>
        <v>440</v>
      </c>
      <c r="H30" s="304">
        <f>'July 2025- Prodn &amp; Sales'!H26</f>
        <v>15080</v>
      </c>
      <c r="I30" s="304">
        <f>'July 2025- Prodn &amp; Sales'!I26</f>
        <v>574581.11</v>
      </c>
      <c r="J30" s="304">
        <f>'July 2025- Prodn &amp; Sales'!J26</f>
        <v>1517.24</v>
      </c>
      <c r="K30" s="304">
        <f>'July 2025- Prodn &amp; Sales'!K26</f>
        <v>576098.35</v>
      </c>
      <c r="L30" s="630">
        <f>(F30+F31+F32+F33)/(E30+E31+E32+E33)</f>
        <v>0.89284238610740552</v>
      </c>
      <c r="M30" s="279">
        <f t="shared" ref="M30:M51" si="10">I30/F30</f>
        <v>39.247343579234972</v>
      </c>
      <c r="N30" s="280">
        <f t="shared" si="8"/>
        <v>0.30367940101265539</v>
      </c>
      <c r="O30" s="281">
        <f>'July 2025- Prodn &amp; Sales'!O26</f>
        <v>2357.1692307692306</v>
      </c>
      <c r="P30" s="229">
        <f t="shared" ref="P30:P51" si="11">C30/O30*12</f>
        <v>84.024514411027582</v>
      </c>
      <c r="Q30" s="628">
        <f>(K30+K31+K32+K33)*12/(O30+O31+O32+O33)/129.2394</f>
        <v>18.599387320675447</v>
      </c>
      <c r="R30" s="479"/>
    </row>
    <row r="31" spans="2:18" ht="15" customHeight="1" x14ac:dyDescent="0.2">
      <c r="B31" s="305" t="s">
        <v>41</v>
      </c>
      <c r="C31" s="296">
        <f>'July 2025- Prodn &amp; Sales'!C28</f>
        <v>19529</v>
      </c>
      <c r="D31" s="296">
        <f>'July 2025- Prodn &amp; Sales'!D28</f>
        <v>266</v>
      </c>
      <c r="E31" s="296">
        <f>'July 2025- Prodn &amp; Sales'!E28</f>
        <v>19263</v>
      </c>
      <c r="F31" s="296">
        <f>'July 2025- Prodn &amp; Sales'!F28</f>
        <v>19810</v>
      </c>
      <c r="G31" s="296">
        <f>'July 2025- Prodn &amp; Sales'!G28</f>
        <v>680</v>
      </c>
      <c r="H31" s="296">
        <f>'July 2025- Prodn &amp; Sales'!H28</f>
        <v>20490</v>
      </c>
      <c r="I31" s="296">
        <f>'July 2025- Prodn &amp; Sales'!I28</f>
        <v>779613.2</v>
      </c>
      <c r="J31" s="296">
        <f>'July 2025- Prodn &amp; Sales'!J28</f>
        <v>2189.66</v>
      </c>
      <c r="K31" s="296">
        <f>'July 2025- Prodn &amp; Sales'!K28</f>
        <v>781802.86</v>
      </c>
      <c r="L31" s="631"/>
      <c r="M31" s="306">
        <f t="shared" si="10"/>
        <v>39.354528016153452</v>
      </c>
      <c r="N31" s="298">
        <f t="shared" si="8"/>
        <v>0.30450874900497416</v>
      </c>
      <c r="O31" s="299">
        <f>'July 2025- Prodn &amp; Sales'!O28</f>
        <v>3225.5999999999995</v>
      </c>
      <c r="P31" s="20">
        <f t="shared" si="11"/>
        <v>72.652529761904773</v>
      </c>
      <c r="Q31" s="633"/>
      <c r="R31" s="479"/>
    </row>
    <row r="32" spans="2:18" ht="15" customHeight="1" x14ac:dyDescent="0.2">
      <c r="B32" s="305" t="s">
        <v>46</v>
      </c>
      <c r="C32" s="296">
        <f>'July 2025- Prodn &amp; Sales'!C43</f>
        <v>32044</v>
      </c>
      <c r="D32" s="296">
        <f>'July 2025- Prodn &amp; Sales'!D43</f>
        <v>251</v>
      </c>
      <c r="E32" s="296">
        <f>'July 2025- Prodn &amp; Sales'!E43</f>
        <v>31793</v>
      </c>
      <c r="F32" s="296">
        <f>'July 2025- Prodn &amp; Sales'!F43</f>
        <v>29490</v>
      </c>
      <c r="G32" s="296">
        <f>'July 2025- Prodn &amp; Sales'!G43</f>
        <v>1300</v>
      </c>
      <c r="H32" s="296">
        <f>'July 2025- Prodn &amp; Sales'!H43</f>
        <v>30790</v>
      </c>
      <c r="I32" s="296">
        <f>'July 2025- Prodn &amp; Sales'!I43</f>
        <v>1143279.1299999999</v>
      </c>
      <c r="J32" s="296">
        <f>'July 2025- Prodn &amp; Sales'!J43</f>
        <v>4310.3599999999997</v>
      </c>
      <c r="K32" s="296">
        <f>'July 2025- Prodn &amp; Sales'!K43</f>
        <v>1147589.49</v>
      </c>
      <c r="L32" s="631"/>
      <c r="M32" s="306">
        <f t="shared" si="10"/>
        <v>38.76836656493726</v>
      </c>
      <c r="N32" s="298">
        <f t="shared" si="8"/>
        <v>0.29997327877518204</v>
      </c>
      <c r="O32" s="299">
        <f>'July 2025- Prodn &amp; Sales'!O43</f>
        <v>7178.4</v>
      </c>
      <c r="P32" s="20">
        <f t="shared" si="11"/>
        <v>53.567368772985624</v>
      </c>
      <c r="Q32" s="633"/>
      <c r="R32" s="479"/>
    </row>
    <row r="33" spans="2:18" ht="15" customHeight="1" thickBot="1" x14ac:dyDescent="0.25">
      <c r="B33" s="307" t="s">
        <v>59</v>
      </c>
      <c r="C33" s="302">
        <f>'July 2025- Prodn &amp; Sales'!C32</f>
        <v>17524</v>
      </c>
      <c r="D33" s="302">
        <f>'July 2025- Prodn &amp; Sales'!D32</f>
        <v>193</v>
      </c>
      <c r="E33" s="302">
        <f>'July 2025- Prodn &amp; Sales'!E32</f>
        <v>17331</v>
      </c>
      <c r="F33" s="302">
        <f>'July 2025- Prodn &amp; Sales'!F32</f>
        <v>11690</v>
      </c>
      <c r="G33" s="302">
        <f>'July 2025- Prodn &amp; Sales'!G32</f>
        <v>2460</v>
      </c>
      <c r="H33" s="302">
        <f>'July 2025- Prodn &amp; Sales'!H32</f>
        <v>14150</v>
      </c>
      <c r="I33" s="302">
        <f>'July 2025- Prodn &amp; Sales'!I32</f>
        <v>539817.05999999994</v>
      </c>
      <c r="J33" s="302">
        <f>'July 2025- Prodn &amp; Sales'!J32</f>
        <v>7965.54</v>
      </c>
      <c r="K33" s="302">
        <f>'July 2025- Prodn &amp; Sales'!K32</f>
        <v>547782.6</v>
      </c>
      <c r="L33" s="632"/>
      <c r="M33" s="284">
        <f t="shared" si="10"/>
        <v>46.177678357570571</v>
      </c>
      <c r="N33" s="298">
        <f t="shared" si="8"/>
        <v>0.35730341024154072</v>
      </c>
      <c r="O33" s="257">
        <f>'July 2025- Prodn &amp; Sales'!O32</f>
        <v>2481.2307692307691</v>
      </c>
      <c r="P33" s="242">
        <f t="shared" si="11"/>
        <v>84.751488095238102</v>
      </c>
      <c r="Q33" s="629"/>
      <c r="R33" s="479"/>
    </row>
    <row r="34" spans="2:18" ht="15" customHeight="1" x14ac:dyDescent="0.2">
      <c r="B34" s="311" t="s">
        <v>66</v>
      </c>
      <c r="C34" s="304">
        <f>'July 2025- Prodn &amp; Sales'!C51</f>
        <v>10075</v>
      </c>
      <c r="D34" s="304">
        <f>'July 2025- Prodn &amp; Sales'!D51</f>
        <v>133</v>
      </c>
      <c r="E34" s="304">
        <f>'July 2025- Prodn &amp; Sales'!E51</f>
        <v>9942</v>
      </c>
      <c r="F34" s="304">
        <f>'July 2025- Prodn &amp; Sales'!F51</f>
        <v>8230</v>
      </c>
      <c r="G34" s="304">
        <f>'July 2025- Prodn &amp; Sales'!G51</f>
        <v>800</v>
      </c>
      <c r="H34" s="304">
        <f>'July 2025- Prodn &amp; Sales'!H51</f>
        <v>9030</v>
      </c>
      <c r="I34" s="304">
        <f>'July 2025- Prodn &amp; Sales'!I51</f>
        <v>270784.82</v>
      </c>
      <c r="J34" s="304">
        <f>'July 2025- Prodn &amp; Sales'!J51</f>
        <v>2603.46</v>
      </c>
      <c r="K34" s="304">
        <f>'July 2025- Prodn &amp; Sales'!K51</f>
        <v>273388.28000000003</v>
      </c>
      <c r="L34" s="626">
        <f>(F34+F35)/(E34+E35)</f>
        <v>0.95616426684842803</v>
      </c>
      <c r="M34" s="279">
        <f t="shared" ref="M34:M39" si="12">I34/F34</f>
        <v>32.902165249088704</v>
      </c>
      <c r="N34" s="231">
        <f t="shared" si="8"/>
        <v>0.25458308572377081</v>
      </c>
      <c r="O34" s="281">
        <f>'June 2025 - Prodn &amp; Sales'!O50</f>
        <v>2605.292307692308</v>
      </c>
      <c r="P34" s="229">
        <f t="shared" ref="P34:P39" si="13">C34/O34*12</f>
        <v>46.405541383219955</v>
      </c>
      <c r="Q34" s="628">
        <f>(K34+K35)*12/(O34+O35)/129.2394</f>
        <v>17.766498688042802</v>
      </c>
      <c r="R34" s="479" t="s">
        <v>118</v>
      </c>
    </row>
    <row r="35" spans="2:18" ht="15" customHeight="1" thickBot="1" x14ac:dyDescent="0.25">
      <c r="B35" s="312" t="s">
        <v>39</v>
      </c>
      <c r="C35" s="283">
        <f>'July 2025- Prodn &amp; Sales'!C30</f>
        <v>37369</v>
      </c>
      <c r="D35" s="283">
        <f>'July 2025- Prodn &amp; Sales'!D30</f>
        <v>363</v>
      </c>
      <c r="E35" s="283">
        <f>'July 2025- Prodn &amp; Sales'!E30</f>
        <v>37006</v>
      </c>
      <c r="F35" s="283">
        <f>'July 2025- Prodn &amp; Sales'!F30</f>
        <v>36660</v>
      </c>
      <c r="G35" s="283">
        <f>'July 2025- Prodn &amp; Sales'!G30</f>
        <v>2160</v>
      </c>
      <c r="H35" s="283">
        <f>'July 2025- Prodn &amp; Sales'!H30</f>
        <v>38820</v>
      </c>
      <c r="I35" s="283">
        <f>'July 2025- Prodn &amp; Sales'!I30</f>
        <v>1274395.1900000002</v>
      </c>
      <c r="J35" s="283">
        <f>'July 2025- Prodn &amp; Sales'!J30</f>
        <v>7086.22</v>
      </c>
      <c r="K35" s="283">
        <f>'July 2025- Prodn &amp; Sales'!K30</f>
        <v>1281481.4100000001</v>
      </c>
      <c r="L35" s="627"/>
      <c r="M35" s="284">
        <f t="shared" si="12"/>
        <v>34.762552918712501</v>
      </c>
      <c r="N35" s="237">
        <f t="shared" si="8"/>
        <v>0.2689779813177135</v>
      </c>
      <c r="O35" s="257">
        <f>'July 2025- Prodn &amp; Sales'!O30</f>
        <v>5520.7384615384617</v>
      </c>
      <c r="P35" s="242">
        <f t="shared" si="13"/>
        <v>81.226090155163178</v>
      </c>
      <c r="Q35" s="629"/>
      <c r="R35" s="479"/>
    </row>
    <row r="36" spans="2:18" ht="15" customHeight="1" x14ac:dyDescent="0.2">
      <c r="B36" s="322" t="s">
        <v>54</v>
      </c>
      <c r="C36" s="278">
        <f>'July 2025- Prodn &amp; Sales'!C44</f>
        <v>34556</v>
      </c>
      <c r="D36" s="278">
        <f>'July 2025- Prodn &amp; Sales'!D44</f>
        <v>369</v>
      </c>
      <c r="E36" s="278">
        <f>'July 2025- Prodn &amp; Sales'!E44</f>
        <v>34187</v>
      </c>
      <c r="F36" s="278">
        <f>'July 2025- Prodn &amp; Sales'!F44</f>
        <v>19090</v>
      </c>
      <c r="G36" s="278">
        <f>'July 2025- Prodn &amp; Sales'!G44</f>
        <v>10520</v>
      </c>
      <c r="H36" s="278">
        <f>'July 2025- Prodn &amp; Sales'!H44</f>
        <v>29610</v>
      </c>
      <c r="I36" s="278">
        <f>'July 2025- Prodn &amp; Sales'!I44</f>
        <v>688401.38</v>
      </c>
      <c r="J36" s="278">
        <f>'July 2025- Prodn &amp; Sales'!J44</f>
        <v>34827.57</v>
      </c>
      <c r="K36" s="278">
        <f>'July 2025- Prodn &amp; Sales'!K44</f>
        <v>723228.95</v>
      </c>
      <c r="L36" s="626">
        <f>(F36+F37)/(E36+E37)</f>
        <v>0.68901231957871267</v>
      </c>
      <c r="M36" s="287">
        <f t="shared" si="12"/>
        <v>36.060837087480358</v>
      </c>
      <c r="N36" s="231">
        <f t="shared" si="8"/>
        <v>0.27902355696080577</v>
      </c>
      <c r="O36" s="281">
        <f>'July 2025- Prodn &amp; Sales'!O44</f>
        <v>4651.9846153846156</v>
      </c>
      <c r="P36" s="288">
        <f t="shared" si="13"/>
        <v>89.138729872114126</v>
      </c>
      <c r="Q36" s="628">
        <f>(K36+K37)*12/(O36+O37)/129.2394</f>
        <v>16.983161788893867</v>
      </c>
      <c r="R36" s="479"/>
    </row>
    <row r="37" spans="2:18" ht="15" customHeight="1" thickBot="1" x14ac:dyDescent="0.25">
      <c r="B37" s="323" t="s">
        <v>60</v>
      </c>
      <c r="C37" s="283">
        <f>'July 2025- Prodn &amp; Sales'!C31</f>
        <v>18061</v>
      </c>
      <c r="D37" s="283">
        <f>'July 2025- Prodn &amp; Sales'!D31</f>
        <v>217</v>
      </c>
      <c r="E37" s="283">
        <f>'July 2025- Prodn &amp; Sales'!E31</f>
        <v>17844</v>
      </c>
      <c r="F37" s="283">
        <f>'July 2025- Prodn &amp; Sales'!F31</f>
        <v>16760</v>
      </c>
      <c r="G37" s="283">
        <f>'July 2025- Prodn &amp; Sales'!G31</f>
        <v>1180</v>
      </c>
      <c r="H37" s="283">
        <f>'July 2025- Prodn &amp; Sales'!H31</f>
        <v>17940</v>
      </c>
      <c r="I37" s="283">
        <f>'July 2025- Prodn &amp; Sales'!I31</f>
        <v>600218.11</v>
      </c>
      <c r="J37" s="283">
        <f>'July 2025- Prodn &amp; Sales'!J31</f>
        <v>3965.52</v>
      </c>
      <c r="K37" s="283">
        <f>'July 2025- Prodn &amp; Sales'!K31</f>
        <v>604183.63</v>
      </c>
      <c r="L37" s="627"/>
      <c r="M37" s="290">
        <f t="shared" si="12"/>
        <v>35.812536396181386</v>
      </c>
      <c r="N37" s="237">
        <f t="shared" si="8"/>
        <v>0.27710231087564158</v>
      </c>
      <c r="O37" s="257">
        <f>'July 2025- Prodn &amp; Sales'!O31</f>
        <v>2605.292307692308</v>
      </c>
      <c r="P37" s="291">
        <f t="shared" si="13"/>
        <v>83.189129818594097</v>
      </c>
      <c r="Q37" s="629"/>
      <c r="R37" s="479"/>
    </row>
    <row r="38" spans="2:18" ht="15" customHeight="1" x14ac:dyDescent="0.2">
      <c r="B38" s="308" t="s">
        <v>55</v>
      </c>
      <c r="C38" s="309">
        <f>'July 2025- Prodn &amp; Sales'!C38</f>
        <v>31648</v>
      </c>
      <c r="D38" s="309">
        <f>'July 2025- Prodn &amp; Sales'!D38</f>
        <v>381</v>
      </c>
      <c r="E38" s="309">
        <f>'July 2025- Prodn &amp; Sales'!E38</f>
        <v>31267</v>
      </c>
      <c r="F38" s="309">
        <f>'July 2025- Prodn &amp; Sales'!F38</f>
        <v>23520</v>
      </c>
      <c r="G38" s="309">
        <f>'July 2025- Prodn &amp; Sales'!G38</f>
        <v>2880</v>
      </c>
      <c r="H38" s="309">
        <f>'July 2025- Prodn &amp; Sales'!H38</f>
        <v>26400</v>
      </c>
      <c r="I38" s="309">
        <f>'July 2025- Prodn &amp; Sales'!I38</f>
        <v>862213.30999999994</v>
      </c>
      <c r="J38" s="309">
        <f>'July 2025- Prodn &amp; Sales'!J38</f>
        <v>9543.09</v>
      </c>
      <c r="K38" s="309">
        <f>'July 2025- Prodn &amp; Sales'!K38</f>
        <v>871756.39999999991</v>
      </c>
      <c r="L38" s="626">
        <f>(F38+F39)/(E38+E39)</f>
        <v>0.70407699615845343</v>
      </c>
      <c r="M38" s="287">
        <f t="shared" si="12"/>
        <v>36.658729166666667</v>
      </c>
      <c r="N38" s="231">
        <f t="shared" si="8"/>
        <v>0.28364979384511746</v>
      </c>
      <c r="O38" s="281">
        <f>'July 2025- Prodn &amp; Sales'!O38</f>
        <v>5086.5230769230766</v>
      </c>
      <c r="P38" s="288">
        <f t="shared" si="13"/>
        <v>74.663182346109181</v>
      </c>
      <c r="Q38" s="628">
        <f>(K38+K39)*12/(O38+O39)/129.2394</f>
        <v>15.613456998429351</v>
      </c>
      <c r="R38" s="479"/>
    </row>
    <row r="39" spans="2:18" ht="15" customHeight="1" thickBot="1" x14ac:dyDescent="0.25">
      <c r="B39" s="310" t="s">
        <v>63</v>
      </c>
      <c r="C39" s="283">
        <f>'July 2025- Prodn &amp; Sales'!C42</f>
        <v>17281</v>
      </c>
      <c r="D39" s="283">
        <f>'July 2025- Prodn &amp; Sales'!D42</f>
        <v>130</v>
      </c>
      <c r="E39" s="283">
        <f>'July 2025- Prodn &amp; Sales'!E42</f>
        <v>17151</v>
      </c>
      <c r="F39" s="283">
        <f>'July 2025- Prodn &amp; Sales'!F42</f>
        <v>10570</v>
      </c>
      <c r="G39" s="283">
        <f>'July 2025- Prodn &amp; Sales'!G42</f>
        <v>6840</v>
      </c>
      <c r="H39" s="283">
        <f>'July 2025- Prodn &amp; Sales'!H42</f>
        <v>17410</v>
      </c>
      <c r="I39" s="283">
        <f>'July 2025- Prodn &amp; Sales'!I42</f>
        <v>378204.49</v>
      </c>
      <c r="J39" s="283">
        <f>'July 2025- Prodn &amp; Sales'!J42</f>
        <v>22603.47</v>
      </c>
      <c r="K39" s="283">
        <f>'July 2025- Prodn &amp; Sales'!K42</f>
        <v>400807.95999999996</v>
      </c>
      <c r="L39" s="627"/>
      <c r="M39" s="290">
        <f t="shared" si="12"/>
        <v>35.780935666982025</v>
      </c>
      <c r="N39" s="237">
        <f t="shared" si="8"/>
        <v>0.27685779775348718</v>
      </c>
      <c r="O39" s="257">
        <f>'July 2025- Prodn &amp; Sales'!O42</f>
        <v>2481.2307692307691</v>
      </c>
      <c r="P39" s="291">
        <f t="shared" si="13"/>
        <v>83.57626488095238</v>
      </c>
      <c r="Q39" s="629"/>
      <c r="R39" s="479"/>
    </row>
    <row r="40" spans="2:18" ht="15" customHeight="1" x14ac:dyDescent="0.2">
      <c r="B40" s="316" t="s">
        <v>51</v>
      </c>
      <c r="C40" s="304">
        <f>'July 2025- Prodn &amp; Sales'!C39</f>
        <v>56467</v>
      </c>
      <c r="D40" s="304">
        <f>'July 2025- Prodn &amp; Sales'!D39</f>
        <v>271</v>
      </c>
      <c r="E40" s="304">
        <f>'July 2025- Prodn &amp; Sales'!E39</f>
        <v>56196</v>
      </c>
      <c r="F40" s="304">
        <f>'July 2025- Prodn &amp; Sales'!F39</f>
        <v>40260</v>
      </c>
      <c r="G40" s="304">
        <f>'July 2025- Prodn &amp; Sales'!G39</f>
        <v>9300</v>
      </c>
      <c r="H40" s="304">
        <f>'July 2025- Prodn &amp; Sales'!H39</f>
        <v>49560</v>
      </c>
      <c r="I40" s="304">
        <f>'July 2025- Prodn &amp; Sales'!I39</f>
        <v>1364321.94</v>
      </c>
      <c r="J40" s="304">
        <f>'July 2025- Prodn &amp; Sales'!J39</f>
        <v>30293.1</v>
      </c>
      <c r="K40" s="304">
        <f>'July 2025- Prodn &amp; Sales'!K39</f>
        <v>1394615.04</v>
      </c>
      <c r="L40" s="626">
        <f>(F40+F41)/(E40+E41)</f>
        <v>0.71673436464725027</v>
      </c>
      <c r="M40" s="279">
        <f t="shared" si="10"/>
        <v>33.887777943368107</v>
      </c>
      <c r="N40" s="231">
        <f t="shared" si="8"/>
        <v>0.26220934129505485</v>
      </c>
      <c r="O40" s="281">
        <f>'June 2025 - Prodn &amp; Sales'!O39</f>
        <v>8436.1846153846163</v>
      </c>
      <c r="P40" s="229">
        <f t="shared" si="11"/>
        <v>80.321144082633054</v>
      </c>
      <c r="Q40" s="628">
        <f>(K40+K41)*12/(O40+O41)/129.2394</f>
        <v>15.312408367451587</v>
      </c>
      <c r="R40" s="479"/>
    </row>
    <row r="41" spans="2:18" ht="15" customHeight="1" thickBot="1" x14ac:dyDescent="0.25">
      <c r="B41" s="400" t="s">
        <v>42</v>
      </c>
      <c r="C41" s="283">
        <f>'July 2025- Prodn &amp; Sales'!C41</f>
        <v>13463</v>
      </c>
      <c r="D41" s="283">
        <f>'July 2025- Prodn &amp; Sales'!D41</f>
        <v>233</v>
      </c>
      <c r="E41" s="283">
        <f>'July 2025- Prodn &amp; Sales'!E41</f>
        <v>13230</v>
      </c>
      <c r="F41" s="283">
        <f>'July 2025- Prodn &amp; Sales'!F41</f>
        <v>9500</v>
      </c>
      <c r="G41" s="283">
        <f>'July 2025- Prodn &amp; Sales'!G41</f>
        <v>10200</v>
      </c>
      <c r="H41" s="283">
        <f>'July 2025- Prodn &amp; Sales'!H41</f>
        <v>19700</v>
      </c>
      <c r="I41" s="283">
        <f>'July 2025- Prodn &amp; Sales'!I41</f>
        <v>350548.37</v>
      </c>
      <c r="J41" s="283">
        <f>'July 2025- Prodn &amp; Sales'!J41</f>
        <v>34810.370000000003</v>
      </c>
      <c r="K41" s="283">
        <f>'July 2025- Prodn &amp; Sales'!K41</f>
        <v>385358.74</v>
      </c>
      <c r="L41" s="627"/>
      <c r="M41" s="284">
        <f t="shared" si="10"/>
        <v>36.899828421052632</v>
      </c>
      <c r="N41" s="237">
        <f t="shared" si="8"/>
        <v>0.2855153182470101</v>
      </c>
      <c r="O41" s="257">
        <f>'June 2025 - Prodn &amp; Sales'!O43</f>
        <v>2357.1692307692306</v>
      </c>
      <c r="P41" s="242">
        <f t="shared" si="11"/>
        <v>68.538142230576454</v>
      </c>
      <c r="Q41" s="629"/>
      <c r="R41" s="479"/>
    </row>
    <row r="42" spans="2:18" ht="15" customHeight="1" thickBot="1" x14ac:dyDescent="0.25">
      <c r="B42" s="343" t="s">
        <v>38</v>
      </c>
      <c r="C42" s="344">
        <f>'July 2025- Prodn &amp; Sales'!C40</f>
        <v>14578</v>
      </c>
      <c r="D42" s="344">
        <f>'July 2025- Prodn &amp; Sales'!D40</f>
        <v>178</v>
      </c>
      <c r="E42" s="344">
        <f>'July 2025- Prodn &amp; Sales'!E40</f>
        <v>14400</v>
      </c>
      <c r="F42" s="344">
        <f>'July 2025- Prodn &amp; Sales'!F40</f>
        <v>11750</v>
      </c>
      <c r="G42" s="344">
        <f>'July 2025- Prodn &amp; Sales'!G40</f>
        <v>980</v>
      </c>
      <c r="H42" s="344">
        <f>'July 2025- Prodn &amp; Sales'!H40</f>
        <v>12730</v>
      </c>
      <c r="I42" s="344">
        <f>'July 2025- Prodn &amp; Sales'!I40</f>
        <v>535106.21</v>
      </c>
      <c r="J42" s="344">
        <f>'July 2025- Prodn &amp; Sales'!J40</f>
        <v>3275.87</v>
      </c>
      <c r="K42" s="344">
        <f>'July 2025- Prodn &amp; Sales'!K40</f>
        <v>538382.07999999996</v>
      </c>
      <c r="L42" s="324">
        <f>F42/E42</f>
        <v>0.81597222222222221</v>
      </c>
      <c r="M42" s="345">
        <f t="shared" ref="M42:M48" si="14">I42/F42</f>
        <v>45.540954042553189</v>
      </c>
      <c r="N42" s="346">
        <f t="shared" si="8"/>
        <v>0.35237670588499476</v>
      </c>
      <c r="O42" s="250">
        <f>'July 2025- Prodn &amp; Sales'!O40</f>
        <v>3287.6307692307691</v>
      </c>
      <c r="P42" s="250">
        <f t="shared" ref="P42:P48" si="15">C42/O42*12</f>
        <v>53.210354896675653</v>
      </c>
      <c r="Q42" s="325">
        <f>(K42*12/O42)/129.2394</f>
        <v>15.205260764730172</v>
      </c>
      <c r="R42" s="479"/>
    </row>
    <row r="43" spans="2:18" ht="13.5" customHeight="1" x14ac:dyDescent="0.2">
      <c r="B43" s="294" t="s">
        <v>50</v>
      </c>
      <c r="C43" s="278">
        <f>'July 2025- Prodn &amp; Sales'!C45</f>
        <v>11315</v>
      </c>
      <c r="D43" s="278">
        <f>'July 2025- Prodn &amp; Sales'!D45</f>
        <v>236</v>
      </c>
      <c r="E43" s="278">
        <f>'July 2025- Prodn &amp; Sales'!E45</f>
        <v>11079</v>
      </c>
      <c r="F43" s="278">
        <f>'July 2025- Prodn &amp; Sales'!F45</f>
        <v>11280</v>
      </c>
      <c r="G43" s="278">
        <f>'July 2025- Prodn &amp; Sales'!G45</f>
        <v>2640</v>
      </c>
      <c r="H43" s="278">
        <f>'July 2025- Prodn &amp; Sales'!H45</f>
        <v>13920</v>
      </c>
      <c r="I43" s="278">
        <f>'July 2025- Prodn &amp; Sales'!I45</f>
        <v>401075.13</v>
      </c>
      <c r="J43" s="278">
        <f>'July 2025- Prodn &amp; Sales'!J45</f>
        <v>8353.4500000000007</v>
      </c>
      <c r="K43" s="278">
        <f>'July 2025- Prodn &amp; Sales'!K45</f>
        <v>409428.58</v>
      </c>
      <c r="L43" s="626">
        <f>(F43+F44+F45)/(C43+C44+C45)</f>
        <v>0.72425702645130607</v>
      </c>
      <c r="M43" s="287">
        <f t="shared" si="14"/>
        <v>35.556305851063833</v>
      </c>
      <c r="N43" s="280">
        <f t="shared" si="8"/>
        <v>0.27511970692423393</v>
      </c>
      <c r="O43" s="281">
        <f>'July 2025- Prodn &amp; Sales'!O45</f>
        <v>2667</v>
      </c>
      <c r="P43" s="288">
        <f t="shared" si="15"/>
        <v>50.911136107986501</v>
      </c>
      <c r="Q43" s="628">
        <f>(K43+K44+K45)*12/(O43+O44+O45)/129.2394</f>
        <v>15.083367482318442</v>
      </c>
      <c r="R43" s="479"/>
    </row>
    <row r="44" spans="2:18" ht="15" customHeight="1" x14ac:dyDescent="0.2">
      <c r="B44" s="295" t="s">
        <v>65</v>
      </c>
      <c r="C44" s="296">
        <f>'July 2025- Prodn &amp; Sales'!C34</f>
        <v>16057</v>
      </c>
      <c r="D44" s="296">
        <f>'July 2025- Prodn &amp; Sales'!D34</f>
        <v>194</v>
      </c>
      <c r="E44" s="296">
        <f>'July 2025- Prodn &amp; Sales'!E34</f>
        <v>15863</v>
      </c>
      <c r="F44" s="296">
        <f>'July 2025- Prodn &amp; Sales'!F34</f>
        <v>15040</v>
      </c>
      <c r="G44" s="296">
        <f>'July 2025- Prodn &amp; Sales'!G34</f>
        <v>3240</v>
      </c>
      <c r="H44" s="296">
        <f>'July 2025- Prodn &amp; Sales'!H34</f>
        <v>18280</v>
      </c>
      <c r="I44" s="296">
        <f>'July 2025- Prodn &amp; Sales'!I34</f>
        <v>519772.83000000007</v>
      </c>
      <c r="J44" s="296">
        <f>'July 2025- Prodn &amp; Sales'!J34</f>
        <v>11172.42</v>
      </c>
      <c r="K44" s="296">
        <f>'July 2025- Prodn &amp; Sales'!K34</f>
        <v>530945.25000000012</v>
      </c>
      <c r="L44" s="634"/>
      <c r="M44" s="297">
        <f t="shared" si="14"/>
        <v>34.559363696808518</v>
      </c>
      <c r="N44" s="298">
        <f t="shared" si="8"/>
        <v>0.2674057887672685</v>
      </c>
      <c r="O44" s="299">
        <f>'July 2025- Prodn &amp; Sales'!O34</f>
        <v>2740</v>
      </c>
      <c r="P44" s="300">
        <f t="shared" si="15"/>
        <v>70.322627737226284</v>
      </c>
      <c r="Q44" s="633"/>
      <c r="R44" s="479"/>
    </row>
    <row r="45" spans="2:18" ht="15" customHeight="1" thickBot="1" x14ac:dyDescent="0.25">
      <c r="B45" s="301" t="s">
        <v>61</v>
      </c>
      <c r="C45" s="302">
        <f>'July 2025- Prodn &amp; Sales'!C47</f>
        <v>20981</v>
      </c>
      <c r="D45" s="302">
        <f>'July 2025- Prodn &amp; Sales'!D47</f>
        <v>139</v>
      </c>
      <c r="E45" s="302">
        <f>'July 2025- Prodn &amp; Sales'!E47</f>
        <v>20842</v>
      </c>
      <c r="F45" s="302">
        <f>'July 2025- Prodn &amp; Sales'!F47</f>
        <v>8700</v>
      </c>
      <c r="G45" s="302">
        <f>'July 2025- Prodn &amp; Sales'!G47</f>
        <v>6100</v>
      </c>
      <c r="H45" s="302">
        <f>'July 2025- Prodn &amp; Sales'!H47</f>
        <v>14800</v>
      </c>
      <c r="I45" s="302">
        <f>'July 2025- Prodn &amp; Sales'!I47</f>
        <v>321201.64999999997</v>
      </c>
      <c r="J45" s="302">
        <f>'July 2025- Prodn &amp; Sales'!J47</f>
        <v>19844.84</v>
      </c>
      <c r="K45" s="302">
        <f>'July 2025- Prodn &amp; Sales'!K47</f>
        <v>341046.49</v>
      </c>
      <c r="L45" s="627"/>
      <c r="M45" s="290">
        <f t="shared" si="14"/>
        <v>36.919729885057464</v>
      </c>
      <c r="N45" s="285">
        <f t="shared" si="8"/>
        <v>0.28566930738658231</v>
      </c>
      <c r="O45" s="257">
        <f>'June 2025 - Prodn &amp; Sales'!O52</f>
        <v>2481.2307692307695</v>
      </c>
      <c r="P45" s="291">
        <f t="shared" si="15"/>
        <v>101.47061011904761</v>
      </c>
      <c r="Q45" s="629"/>
      <c r="R45" s="479"/>
    </row>
    <row r="46" spans="2:18" ht="15" customHeight="1" x14ac:dyDescent="0.2">
      <c r="B46" s="318" t="s">
        <v>58</v>
      </c>
      <c r="C46" s="309">
        <f>'July 2025- Prodn &amp; Sales'!C35</f>
        <v>29610</v>
      </c>
      <c r="D46" s="309">
        <f>'July 2025- Prodn &amp; Sales'!D35</f>
        <v>300</v>
      </c>
      <c r="E46" s="309">
        <f>'July 2025- Prodn &amp; Sales'!E35</f>
        <v>29310</v>
      </c>
      <c r="F46" s="309">
        <f>'July 2025- Prodn &amp; Sales'!F35</f>
        <v>38060</v>
      </c>
      <c r="G46" s="309">
        <f>'July 2025- Prodn &amp; Sales'!G35</f>
        <v>740</v>
      </c>
      <c r="H46" s="309">
        <f>'July 2025- Prodn &amp; Sales'!H35</f>
        <v>38800</v>
      </c>
      <c r="I46" s="309">
        <f>'July 2025- Prodn &amp; Sales'!I35</f>
        <v>1497015.17</v>
      </c>
      <c r="J46" s="309">
        <f>'July 2025- Prodn &amp; Sales'!J35</f>
        <v>2448.29</v>
      </c>
      <c r="K46" s="309">
        <f>'July 2025- Prodn &amp; Sales'!K35</f>
        <v>1499463.46</v>
      </c>
      <c r="L46" s="630">
        <f>(F46+F47+F48)/(E46+E47+E48)</f>
        <v>0.7194753125760438</v>
      </c>
      <c r="M46" s="287">
        <f t="shared" si="14"/>
        <v>39.333031266421436</v>
      </c>
      <c r="N46" s="280">
        <f t="shared" si="8"/>
        <v>0.30434241621689234</v>
      </c>
      <c r="O46" s="281">
        <f>'July 2025- Prodn &amp; Sales'!O35</f>
        <v>7948.5538461538463</v>
      </c>
      <c r="P46" s="288">
        <f t="shared" si="15"/>
        <v>44.702471276826358</v>
      </c>
      <c r="Q46" s="628">
        <f>(K46+K47+K48)*12/(O46+O47+O48)/129.2394</f>
        <v>14.432169458840779</v>
      </c>
      <c r="R46" s="479"/>
    </row>
    <row r="47" spans="2:18" ht="15" customHeight="1" x14ac:dyDescent="0.2">
      <c r="B47" s="319" t="s">
        <v>47</v>
      </c>
      <c r="C47" s="320">
        <f>'July 2025- Prodn &amp; Sales'!C49</f>
        <v>42730</v>
      </c>
      <c r="D47" s="320">
        <f>'July 2025- Prodn &amp; Sales'!D49</f>
        <v>405</v>
      </c>
      <c r="E47" s="320">
        <f>'July 2025- Prodn &amp; Sales'!E49</f>
        <v>42325</v>
      </c>
      <c r="F47" s="320">
        <f>'July 2025- Prodn &amp; Sales'!F49</f>
        <v>15560</v>
      </c>
      <c r="G47" s="320">
        <f>'July 2025- Prodn &amp; Sales'!G49</f>
        <v>17280</v>
      </c>
      <c r="H47" s="320">
        <f>'July 2025- Prodn &amp; Sales'!H49</f>
        <v>32840</v>
      </c>
      <c r="I47" s="320">
        <f>'July 2025- Prodn &amp; Sales'!I49</f>
        <v>532133.37</v>
      </c>
      <c r="J47" s="320">
        <f>'July 2025- Prodn &amp; Sales'!J49</f>
        <v>58551.74</v>
      </c>
      <c r="K47" s="320">
        <f>'July 2025- Prodn &amp; Sales'!K49</f>
        <v>590685.11</v>
      </c>
      <c r="L47" s="631"/>
      <c r="M47" s="297">
        <f t="shared" si="14"/>
        <v>34.198802699228793</v>
      </c>
      <c r="N47" s="298">
        <f t="shared" si="8"/>
        <v>0.26461591975224891</v>
      </c>
      <c r="O47" s="299">
        <f>'July 2025- Prodn &amp; Sales'!O49</f>
        <v>4962.461538461539</v>
      </c>
      <c r="P47" s="300">
        <f t="shared" si="15"/>
        <v>103.32775297619047</v>
      </c>
      <c r="Q47" s="633"/>
      <c r="R47" s="479"/>
    </row>
    <row r="48" spans="2:18" ht="15" customHeight="1" thickBot="1" x14ac:dyDescent="0.25">
      <c r="B48" s="321" t="s">
        <v>57</v>
      </c>
      <c r="C48" s="315">
        <f>'July 2025- Prodn &amp; Sales'!C48</f>
        <v>14842</v>
      </c>
      <c r="D48" s="315">
        <f>'July 2025- Prodn &amp; Sales'!D48</f>
        <v>178</v>
      </c>
      <c r="E48" s="315">
        <f>'July 2025- Prodn &amp; Sales'!E48</f>
        <v>14664</v>
      </c>
      <c r="F48" s="315">
        <f>'July 2025- Prodn &amp; Sales'!F48</f>
        <v>8470</v>
      </c>
      <c r="G48" s="315">
        <f>'July 2025- Prodn &amp; Sales'!G48</f>
        <v>20</v>
      </c>
      <c r="H48" s="315">
        <f>'July 2025- Prodn &amp; Sales'!H48</f>
        <v>8490</v>
      </c>
      <c r="I48" s="315">
        <f>'July 2025- Prodn &amp; Sales'!I48</f>
        <v>302256.90000000002</v>
      </c>
      <c r="J48" s="315">
        <f>'July 2025- Prodn &amp; Sales'!J48</f>
        <v>68.97</v>
      </c>
      <c r="K48" s="315">
        <f>'July 2025- Prodn &amp; Sales'!K48</f>
        <v>302325.87</v>
      </c>
      <c r="L48" s="632"/>
      <c r="M48" s="290">
        <f t="shared" si="14"/>
        <v>35.685584415584415</v>
      </c>
      <c r="N48" s="285">
        <f t="shared" si="8"/>
        <v>0.27612000996278546</v>
      </c>
      <c r="O48" s="257">
        <f>'July 2025- Prodn &amp; Sales'!O48</f>
        <v>2481.2307692307691</v>
      </c>
      <c r="P48" s="291">
        <f t="shared" si="15"/>
        <v>71.780505952380963</v>
      </c>
      <c r="Q48" s="629"/>
      <c r="R48" s="479"/>
    </row>
    <row r="49" spans="1:18" ht="15" customHeight="1" x14ac:dyDescent="0.2">
      <c r="B49" s="313" t="s">
        <v>48</v>
      </c>
      <c r="C49" s="278">
        <f>'July 2025- Prodn &amp; Sales'!C50</f>
        <v>6815</v>
      </c>
      <c r="D49" s="278">
        <f>'July 2025- Prodn &amp; Sales'!D50</f>
        <v>94</v>
      </c>
      <c r="E49" s="278">
        <f>'July 2025- Prodn &amp; Sales'!E50</f>
        <v>6721</v>
      </c>
      <c r="F49" s="278">
        <f>'July 2025- Prodn &amp; Sales'!F50</f>
        <v>5290</v>
      </c>
      <c r="G49" s="278">
        <f>'July 2025- Prodn &amp; Sales'!G50</f>
        <v>120</v>
      </c>
      <c r="H49" s="278">
        <f>'July 2025- Prodn &amp; Sales'!H50</f>
        <v>5410</v>
      </c>
      <c r="I49" s="278">
        <f>'July 2025- Prodn &amp; Sales'!I50</f>
        <v>192876.11</v>
      </c>
      <c r="J49" s="278">
        <f>'July 2025- Prodn &amp; Sales'!J50</f>
        <v>431.05</v>
      </c>
      <c r="K49" s="278">
        <f>'July 2025- Prodn &amp; Sales'!K50</f>
        <v>193307.15999999997</v>
      </c>
      <c r="L49" s="626">
        <f>(F49+F50)/(E49+E50)</f>
        <v>0.88962108731466227</v>
      </c>
      <c r="M49" s="287">
        <f t="shared" si="10"/>
        <v>36.460512287334588</v>
      </c>
      <c r="N49" s="231">
        <f t="shared" si="8"/>
        <v>0.28211607518554399</v>
      </c>
      <c r="O49" s="281">
        <f>'July 2025- Prodn &amp; Sales'!O50</f>
        <v>1736.8615384615382</v>
      </c>
      <c r="P49" s="288">
        <f t="shared" si="11"/>
        <v>47.084927721088441</v>
      </c>
      <c r="Q49" s="628">
        <f>(K49+K50)*12/(O49+O50)/129.2394</f>
        <v>14.090114170663433</v>
      </c>
      <c r="R49" s="479"/>
    </row>
    <row r="50" spans="1:18" ht="15" customHeight="1" thickBot="1" x14ac:dyDescent="0.25">
      <c r="B50" s="314" t="s">
        <v>56</v>
      </c>
      <c r="C50" s="315">
        <f>'July 2025- Prodn &amp; Sales'!C36</f>
        <v>13508</v>
      </c>
      <c r="D50" s="315">
        <f>'July 2025- Prodn &amp; Sales'!D36</f>
        <v>198</v>
      </c>
      <c r="E50" s="315">
        <f>'July 2025- Prodn &amp; Sales'!E36</f>
        <v>13310</v>
      </c>
      <c r="F50" s="315">
        <f>'July 2025- Prodn &amp; Sales'!F36</f>
        <v>12530</v>
      </c>
      <c r="G50" s="315">
        <f>'July 2025- Prodn &amp; Sales'!G36</f>
        <v>740</v>
      </c>
      <c r="H50" s="315">
        <f>'July 2025- Prodn &amp; Sales'!H36</f>
        <v>13270</v>
      </c>
      <c r="I50" s="315">
        <f>'July 2025- Prodn &amp; Sales'!I36</f>
        <v>444494.5</v>
      </c>
      <c r="J50" s="315">
        <f>'July 2025- Prodn &amp; Sales'!J36</f>
        <v>2293.11</v>
      </c>
      <c r="K50" s="315">
        <f>'July 2025- Prodn &amp; Sales'!K36</f>
        <v>446787.61</v>
      </c>
      <c r="L50" s="627"/>
      <c r="M50" s="290">
        <f t="shared" si="10"/>
        <v>35.474421388667196</v>
      </c>
      <c r="N50" s="237">
        <f t="shared" si="8"/>
        <v>0.27448611947027918</v>
      </c>
      <c r="O50" s="257">
        <f>'July 2025- Prodn &amp; Sales'!O36</f>
        <v>2481.2307692307691</v>
      </c>
      <c r="P50" s="291">
        <f t="shared" si="11"/>
        <v>65.328869047619051</v>
      </c>
      <c r="Q50" s="629"/>
      <c r="R50" s="479"/>
    </row>
    <row r="51" spans="1:18" ht="15" customHeight="1" x14ac:dyDescent="0.2">
      <c r="B51" s="350" t="s">
        <v>40</v>
      </c>
      <c r="C51" s="296">
        <f>'July 2025- Prodn &amp; Sales'!C46</f>
        <v>10721</v>
      </c>
      <c r="D51" s="296">
        <f>'July 2025- Prodn &amp; Sales'!D46</f>
        <v>132</v>
      </c>
      <c r="E51" s="296">
        <f>'July 2025- Prodn &amp; Sales'!E46</f>
        <v>10589</v>
      </c>
      <c r="F51" s="296">
        <f>'July 2025- Prodn &amp; Sales'!F46</f>
        <v>9210</v>
      </c>
      <c r="G51" s="296">
        <f>'July 2025- Prodn &amp; Sales'!G46</f>
        <v>0</v>
      </c>
      <c r="H51" s="296">
        <f>'July 2025- Prodn &amp; Sales'!H46</f>
        <v>9210</v>
      </c>
      <c r="I51" s="296">
        <f>'July 2025- Prodn &amp; Sales'!I46</f>
        <v>345689</v>
      </c>
      <c r="J51" s="296">
        <f>'July 2025- Prodn &amp; Sales'!J46</f>
        <v>0</v>
      </c>
      <c r="K51" s="296">
        <f>'July 2025- Prodn &amp; Sales'!K46</f>
        <v>345689</v>
      </c>
      <c r="L51" s="324">
        <f>F51/E51</f>
        <v>0.869770516573803</v>
      </c>
      <c r="M51" s="347">
        <f t="shared" si="10"/>
        <v>37.534093376764389</v>
      </c>
      <c r="N51" s="348">
        <f t="shared" si="8"/>
        <v>0.29042299311792219</v>
      </c>
      <c r="O51" s="20">
        <f>'July 2025- Prodn &amp; Sales'!O46</f>
        <v>2481.2307692307691</v>
      </c>
      <c r="P51" s="20">
        <f t="shared" si="11"/>
        <v>51.850074404761912</v>
      </c>
      <c r="Q51" s="401">
        <f>(K51)*12/(O51)/129.2394</f>
        <v>12.936140240330664</v>
      </c>
      <c r="R51" s="479"/>
    </row>
    <row r="52" spans="1:18" ht="15" customHeight="1" thickBot="1" x14ac:dyDescent="0.25">
      <c r="B52" s="21" t="s">
        <v>35</v>
      </c>
      <c r="C52" s="39">
        <f>SUM(C24:C51)</f>
        <v>681930</v>
      </c>
      <c r="D52" s="39">
        <f t="shared" ref="D52:K52" si="16">SUM(D24:D51)</f>
        <v>6522</v>
      </c>
      <c r="E52" s="39">
        <f t="shared" si="16"/>
        <v>675408</v>
      </c>
      <c r="F52" s="39">
        <f t="shared" si="16"/>
        <v>537740</v>
      </c>
      <c r="G52" s="39">
        <f t="shared" si="16"/>
        <v>99540</v>
      </c>
      <c r="H52" s="39">
        <f t="shared" si="16"/>
        <v>637280</v>
      </c>
      <c r="I52" s="39">
        <f t="shared" si="16"/>
        <v>19689442.399999999</v>
      </c>
      <c r="J52" s="39">
        <f t="shared" si="16"/>
        <v>328586.32999999996</v>
      </c>
      <c r="K52" s="39">
        <f t="shared" si="16"/>
        <v>20018028.73</v>
      </c>
      <c r="L52" s="326">
        <f>F52/E52</f>
        <v>0.79617061094923369</v>
      </c>
      <c r="M52" s="39">
        <f>I52/F52</f>
        <v>36.615171644289056</v>
      </c>
      <c r="N52" s="571">
        <f t="shared" si="8"/>
        <v>0.28331276409739647</v>
      </c>
      <c r="O52" s="52">
        <f>SUM(O24:O51)</f>
        <v>107066.09230769231</v>
      </c>
      <c r="P52" s="477">
        <f>(C52/O52)*12</f>
        <v>76.430920598865171</v>
      </c>
      <c r="Q52" s="473">
        <f>(K52*12/O52)/129.2394</f>
        <v>17.360237768189101</v>
      </c>
      <c r="R52" s="330"/>
    </row>
    <row r="53" spans="1:18" ht="17.25" customHeight="1" thickTop="1" thickBot="1" x14ac:dyDescent="0.25">
      <c r="B53" s="26" t="s">
        <v>36</v>
      </c>
      <c r="C53" s="331"/>
      <c r="D53" s="275">
        <f>D52/C52</f>
        <v>9.5640314988341916E-3</v>
      </c>
      <c r="E53" s="332">
        <f>E52/C52</f>
        <v>0.99043596850116578</v>
      </c>
      <c r="F53" s="333"/>
      <c r="G53" s="30"/>
      <c r="H53" s="30"/>
      <c r="I53" s="30"/>
      <c r="J53" s="30"/>
      <c r="K53" s="30"/>
      <c r="L53" s="32"/>
      <c r="M53" s="30"/>
      <c r="N53" s="43"/>
      <c r="O53" s="34"/>
      <c r="P53" s="34"/>
      <c r="Q53" s="34"/>
    </row>
    <row r="54" spans="1:18" ht="18.75" customHeight="1" thickTop="1" x14ac:dyDescent="0.2">
      <c r="M54" s="45"/>
      <c r="N54" s="46"/>
      <c r="O54" s="47"/>
    </row>
    <row r="55" spans="1:18" s="48" customFormat="1" ht="15" customHeight="1" thickBot="1" x14ac:dyDescent="0.25">
      <c r="B55" s="49" t="s">
        <v>68</v>
      </c>
      <c r="C55" s="50">
        <f t="shared" ref="C55:K55" si="17">C21+C52</f>
        <v>1750813</v>
      </c>
      <c r="D55" s="51">
        <f t="shared" si="17"/>
        <v>14075</v>
      </c>
      <c r="E55" s="51">
        <f t="shared" si="17"/>
        <v>1736738</v>
      </c>
      <c r="F55" s="52">
        <f t="shared" si="17"/>
        <v>1409216</v>
      </c>
      <c r="G55" s="334">
        <f t="shared" si="17"/>
        <v>316360</v>
      </c>
      <c r="H55" s="23">
        <f t="shared" si="17"/>
        <v>1725576</v>
      </c>
      <c r="I55" s="53">
        <f t="shared" si="17"/>
        <v>33012414.429999996</v>
      </c>
      <c r="J55" s="334">
        <f t="shared" si="17"/>
        <v>990724.39999999991</v>
      </c>
      <c r="K55" s="52">
        <f t="shared" si="17"/>
        <v>34003138.830000006</v>
      </c>
      <c r="L55" s="335">
        <f>F55/E55</f>
        <v>0.81141542362751318</v>
      </c>
      <c r="M55" s="53">
        <f>I55/F55</f>
        <v>23.426085447511237</v>
      </c>
      <c r="N55" s="571">
        <f>M55/129.2394</f>
        <v>0.1812611745915815</v>
      </c>
      <c r="O55" s="52">
        <f>O52+O21</f>
        <v>196894.07715384616</v>
      </c>
      <c r="P55" s="477">
        <f>(C55/O55)*12</f>
        <v>106.70588117073584</v>
      </c>
      <c r="Q55" s="473">
        <f>(K55*12/O55)/129.2394</f>
        <v>16.035136801182318</v>
      </c>
    </row>
    <row r="56" spans="1:18" ht="16.5" customHeight="1" thickTop="1" thickBot="1" x14ac:dyDescent="0.25">
      <c r="B56" s="26" t="s">
        <v>36</v>
      </c>
      <c r="C56" s="336"/>
      <c r="D56" s="337">
        <f>D55/C55</f>
        <v>8.0391223962810419E-3</v>
      </c>
      <c r="E56" s="338">
        <f>E55/C55</f>
        <v>0.99196087760371898</v>
      </c>
      <c r="G56" s="56"/>
      <c r="N56" s="46"/>
    </row>
    <row r="57" spans="1:18" ht="16.5" customHeight="1" thickTop="1" x14ac:dyDescent="0.2">
      <c r="G57" s="57"/>
      <c r="H57" s="45"/>
    </row>
    <row r="58" spans="1:18" ht="16.5" customHeight="1" x14ac:dyDescent="0.2">
      <c r="A58" s="16"/>
      <c r="B58" s="48" t="s">
        <v>69</v>
      </c>
    </row>
    <row r="59" spans="1:18" ht="16.5" customHeight="1" x14ac:dyDescent="0.2">
      <c r="A59" s="16">
        <v>1</v>
      </c>
      <c r="B59" s="16" t="s">
        <v>70</v>
      </c>
    </row>
    <row r="60" spans="1:18" ht="16.5" customHeight="1" x14ac:dyDescent="0.2"/>
    <row r="61" spans="1:18" ht="16.5" customHeight="1" x14ac:dyDescent="0.2"/>
    <row r="62" spans="1:18" ht="16.5" customHeight="1" x14ac:dyDescent="0.2"/>
    <row r="63" spans="1:18" ht="16.5" customHeight="1" x14ac:dyDescent="0.2"/>
    <row r="64" spans="1:18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</sheetData>
  <mergeCells count="35">
    <mergeCell ref="L34:L35"/>
    <mergeCell ref="Q34:Q35"/>
    <mergeCell ref="L38:L39"/>
    <mergeCell ref="Q38:Q39"/>
    <mergeCell ref="L36:L37"/>
    <mergeCell ref="Q36:Q37"/>
    <mergeCell ref="L43:L45"/>
    <mergeCell ref="Q43:Q45"/>
    <mergeCell ref="L40:L41"/>
    <mergeCell ref="Q40:Q41"/>
    <mergeCell ref="L49:L50"/>
    <mergeCell ref="Q49:Q50"/>
    <mergeCell ref="L46:L48"/>
    <mergeCell ref="Q46:Q48"/>
    <mergeCell ref="L28:L29"/>
    <mergeCell ref="Q28:Q29"/>
    <mergeCell ref="L26:L27"/>
    <mergeCell ref="Q26:Q27"/>
    <mergeCell ref="L30:L33"/>
    <mergeCell ref="Q30:Q33"/>
    <mergeCell ref="L24:L25"/>
    <mergeCell ref="Q24:Q25"/>
    <mergeCell ref="L8:L9"/>
    <mergeCell ref="Q8:Q9"/>
    <mergeCell ref="L17:L19"/>
    <mergeCell ref="Q17:Q19"/>
    <mergeCell ref="L13:L14"/>
    <mergeCell ref="Q13:Q14"/>
    <mergeCell ref="B23:Q23"/>
    <mergeCell ref="B1:Q1"/>
    <mergeCell ref="B2:Q2"/>
    <mergeCell ref="B3:Q3"/>
    <mergeCell ref="B5:Q5"/>
    <mergeCell ref="L6:L7"/>
    <mergeCell ref="Q6:Q7"/>
  </mergeCells>
  <conditionalFormatting sqref="P6:P20">
    <cfRule type="cellIs" dxfId="15" priority="2" operator="lessThan">
      <formula>140</formula>
    </cfRule>
    <cfRule type="cellIs" priority="3" operator="lessThan">
      <formula>140</formula>
    </cfRule>
    <cfRule type="cellIs" dxfId="14" priority="4" operator="lessThan">
      <formula>140</formula>
    </cfRule>
    <cfRule type="cellIs" dxfId="13" priority="5" operator="lessThan">
      <formula>80</formula>
    </cfRule>
  </conditionalFormatting>
  <conditionalFormatting sqref="P24:P52">
    <cfRule type="cellIs" dxfId="12" priority="1" operator="between">
      <formula>0</formula>
      <formula>78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Q117"/>
  <sheetViews>
    <sheetView workbookViewId="0">
      <pane ySplit="4" topLeftCell="A43" activePane="bottomLeft" state="frozen"/>
      <selection pane="bottomLeft" sqref="A1:XFD1048576"/>
    </sheetView>
  </sheetViews>
  <sheetFormatPr defaultColWidth="9.140625" defaultRowHeight="12" x14ac:dyDescent="0.2"/>
  <cols>
    <col min="1" max="1" width="1.42578125" style="1" customWidth="1"/>
    <col min="2" max="2" width="30.28515625" style="1" customWidth="1"/>
    <col min="3" max="3" width="10.5703125" style="44" customWidth="1"/>
    <col min="4" max="4" width="8.28515625" style="1" customWidth="1"/>
    <col min="5" max="5" width="10.7109375" style="1" customWidth="1"/>
    <col min="6" max="6" width="9.7109375" style="44" customWidth="1"/>
    <col min="7" max="7" width="9" style="1" customWidth="1"/>
    <col min="8" max="8" width="10.140625" style="1" customWidth="1"/>
    <col min="9" max="9" width="11.5703125" style="45" customWidth="1"/>
    <col min="10" max="10" width="10.28515625" style="45" customWidth="1"/>
    <col min="11" max="11" width="11.42578125" style="45" customWidth="1"/>
    <col min="12" max="12" width="8.140625" style="1" customWidth="1"/>
    <col min="13" max="13" width="10.140625" style="1" customWidth="1"/>
    <col min="14" max="14" width="10.42578125" style="1" customWidth="1"/>
    <col min="15" max="15" width="9.42578125" style="537" customWidth="1"/>
    <col min="16" max="16" width="9.42578125" style="47" customWidth="1"/>
    <col min="17" max="17" width="8.5703125" style="16" customWidth="1"/>
    <col min="18" max="16384" width="9.140625" style="1"/>
  </cols>
  <sheetData>
    <row r="1" spans="2:17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7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7" ht="15" x14ac:dyDescent="0.25">
      <c r="B3" s="622">
        <v>45961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7" ht="33.75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532" t="s">
        <v>151</v>
      </c>
      <c r="P4" s="455" t="s">
        <v>16</v>
      </c>
      <c r="Q4" s="456" t="s">
        <v>17</v>
      </c>
    </row>
    <row r="5" spans="2:17" ht="15" x14ac:dyDescent="0.25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7" s="16" customFormat="1" ht="14.25" customHeight="1" x14ac:dyDescent="0.2">
      <c r="B6" s="10" t="s">
        <v>19</v>
      </c>
      <c r="C6" s="296">
        <v>56589</v>
      </c>
      <c r="D6" s="388">
        <v>373</v>
      </c>
      <c r="E6" s="190">
        <f t="shared" ref="E6:E21" si="0">C6-D6</f>
        <v>56216</v>
      </c>
      <c r="F6" s="352">
        <v>47255</v>
      </c>
      <c r="G6" s="592">
        <v>2420</v>
      </c>
      <c r="H6" s="190">
        <f t="shared" ref="H6:H21" si="1">F6+G6</f>
        <v>49675</v>
      </c>
      <c r="I6" s="352">
        <v>781929.35</v>
      </c>
      <c r="J6" s="191">
        <v>7767.21</v>
      </c>
      <c r="K6" s="198">
        <f t="shared" ref="K6:K21" si="2">I6+J6</f>
        <v>789696.55999999994</v>
      </c>
      <c r="L6" s="11">
        <f t="shared" ref="L6:L21" si="3">F6/E6</f>
        <v>0.84059698306531949</v>
      </c>
      <c r="M6" s="12">
        <f t="shared" ref="M6:M21" si="4">I6/F6</f>
        <v>16.547018304941275</v>
      </c>
      <c r="N6" s="13">
        <f t="shared" ref="N6:N21" si="5">M6/129.2394</f>
        <v>0.12803385271783432</v>
      </c>
      <c r="O6" s="550">
        <v>3349.6615384615388</v>
      </c>
      <c r="P6" s="14">
        <f t="shared" ref="P6:P18" si="6">C6/O6*12</f>
        <v>202.72734788359784</v>
      </c>
      <c r="Q6" s="15">
        <f t="shared" ref="Q6:Q18" si="7">(K6*12/O6)/129.2394</f>
        <v>21.889993494402312</v>
      </c>
    </row>
    <row r="7" spans="2:17" s="16" customFormat="1" ht="14.25" customHeight="1" x14ac:dyDescent="0.2">
      <c r="B7" s="10" t="s">
        <v>20</v>
      </c>
      <c r="C7" s="296">
        <v>134444</v>
      </c>
      <c r="D7" s="388">
        <v>534</v>
      </c>
      <c r="E7" s="190">
        <f t="shared" si="0"/>
        <v>133910</v>
      </c>
      <c r="F7" s="352">
        <v>106533</v>
      </c>
      <c r="G7" s="592">
        <v>4920</v>
      </c>
      <c r="H7" s="190">
        <f t="shared" si="1"/>
        <v>111453</v>
      </c>
      <c r="I7" s="352">
        <v>1459965.8599999999</v>
      </c>
      <c r="J7" s="191">
        <v>15439.64</v>
      </c>
      <c r="K7" s="198">
        <f t="shared" si="2"/>
        <v>1475405.4999999998</v>
      </c>
      <c r="L7" s="11">
        <f t="shared" si="3"/>
        <v>0.79555671719811816</v>
      </c>
      <c r="M7" s="12">
        <f t="shared" si="4"/>
        <v>13.704353205110152</v>
      </c>
      <c r="N7" s="13">
        <f t="shared" si="5"/>
        <v>0.10603850842011146</v>
      </c>
      <c r="O7" s="550">
        <v>10545</v>
      </c>
      <c r="P7" s="14">
        <f t="shared" si="6"/>
        <v>152.99459459459459</v>
      </c>
      <c r="Q7" s="15">
        <f t="shared" si="7"/>
        <v>12.991255583155411</v>
      </c>
    </row>
    <row r="8" spans="2:17" s="16" customFormat="1" ht="14.25" customHeight="1" x14ac:dyDescent="0.2">
      <c r="B8" s="10" t="s">
        <v>21</v>
      </c>
      <c r="C8" s="296">
        <v>43051</v>
      </c>
      <c r="D8" s="388">
        <v>332</v>
      </c>
      <c r="E8" s="190">
        <f t="shared" si="0"/>
        <v>42719</v>
      </c>
      <c r="F8" s="352">
        <v>37080</v>
      </c>
      <c r="G8" s="592">
        <v>1120</v>
      </c>
      <c r="H8" s="190">
        <f t="shared" si="1"/>
        <v>38200</v>
      </c>
      <c r="I8" s="352">
        <v>757677.85000000009</v>
      </c>
      <c r="J8" s="191">
        <v>3379.27</v>
      </c>
      <c r="K8" s="198">
        <f t="shared" si="2"/>
        <v>761057.12000000011</v>
      </c>
      <c r="L8" s="11">
        <f t="shared" si="3"/>
        <v>0.86799784639153543</v>
      </c>
      <c r="M8" s="12">
        <f t="shared" si="4"/>
        <v>20.433598975188783</v>
      </c>
      <c r="N8" s="13">
        <f t="shared" si="5"/>
        <v>0.15810657566646691</v>
      </c>
      <c r="O8" s="551">
        <v>5768.8615384615377</v>
      </c>
      <c r="P8" s="14">
        <f t="shared" si="6"/>
        <v>89.551811315924226</v>
      </c>
      <c r="Q8" s="15">
        <f t="shared" si="7"/>
        <v>12.249361479612201</v>
      </c>
    </row>
    <row r="9" spans="2:17" s="16" customFormat="1" ht="14.25" customHeight="1" x14ac:dyDescent="0.2">
      <c r="B9" s="10" t="s">
        <v>22</v>
      </c>
      <c r="C9" s="296">
        <v>59941</v>
      </c>
      <c r="D9" s="388">
        <v>368</v>
      </c>
      <c r="E9" s="190">
        <f t="shared" si="0"/>
        <v>59573</v>
      </c>
      <c r="F9" s="352">
        <v>43325</v>
      </c>
      <c r="G9" s="592">
        <v>8740</v>
      </c>
      <c r="H9" s="190">
        <f t="shared" si="1"/>
        <v>52065</v>
      </c>
      <c r="I9" s="352">
        <v>895542.57</v>
      </c>
      <c r="J9" s="191">
        <v>27120.7</v>
      </c>
      <c r="K9" s="198">
        <f t="shared" si="2"/>
        <v>922663.2699999999</v>
      </c>
      <c r="L9" s="11">
        <f t="shared" si="3"/>
        <v>0.72725899316804588</v>
      </c>
      <c r="M9" s="12">
        <f t="shared" si="4"/>
        <v>20.670342065781881</v>
      </c>
      <c r="N9" s="13">
        <f t="shared" si="5"/>
        <v>0.15993839390914755</v>
      </c>
      <c r="O9" s="550">
        <v>4962.4615384615381</v>
      </c>
      <c r="P9" s="14">
        <f t="shared" si="6"/>
        <v>144.94661458333334</v>
      </c>
      <c r="Q9" s="15">
        <f t="shared" si="7"/>
        <v>17.263640809111767</v>
      </c>
    </row>
    <row r="10" spans="2:17" s="16" customFormat="1" ht="14.25" customHeight="1" x14ac:dyDescent="0.2">
      <c r="B10" s="10" t="s">
        <v>23</v>
      </c>
      <c r="C10" s="296">
        <v>39330</v>
      </c>
      <c r="D10" s="388">
        <v>317</v>
      </c>
      <c r="E10" s="190">
        <f t="shared" si="0"/>
        <v>39013</v>
      </c>
      <c r="F10" s="352">
        <v>30096</v>
      </c>
      <c r="G10" s="592">
        <v>4320</v>
      </c>
      <c r="H10" s="190">
        <f t="shared" si="1"/>
        <v>34416</v>
      </c>
      <c r="I10" s="352">
        <v>498696.20999999996</v>
      </c>
      <c r="J10" s="191">
        <v>13163.75</v>
      </c>
      <c r="K10" s="198">
        <f t="shared" si="2"/>
        <v>511859.95999999996</v>
      </c>
      <c r="L10" s="11">
        <f t="shared" si="3"/>
        <v>0.77143516263809497</v>
      </c>
      <c r="M10" s="12">
        <f t="shared" si="4"/>
        <v>16.57018241626794</v>
      </c>
      <c r="N10" s="13">
        <f t="shared" si="5"/>
        <v>0.12821308684710656</v>
      </c>
      <c r="O10" s="550">
        <v>5148.5538461538463</v>
      </c>
      <c r="P10" s="14">
        <f t="shared" si="6"/>
        <v>91.668459552495705</v>
      </c>
      <c r="Q10" s="15">
        <f t="shared" si="7"/>
        <v>9.2310735685223886</v>
      </c>
    </row>
    <row r="11" spans="2:17" s="16" customFormat="1" ht="14.25" customHeight="1" x14ac:dyDescent="0.2">
      <c r="B11" s="10" t="s">
        <v>24</v>
      </c>
      <c r="C11" s="296">
        <v>82346</v>
      </c>
      <c r="D11" s="388">
        <v>360</v>
      </c>
      <c r="E11" s="190">
        <f t="shared" si="0"/>
        <v>81986</v>
      </c>
      <c r="F11" s="352">
        <v>64260</v>
      </c>
      <c r="G11" s="592">
        <v>7160</v>
      </c>
      <c r="H11" s="190">
        <f t="shared" si="1"/>
        <v>71420</v>
      </c>
      <c r="I11" s="352">
        <v>1136583.48</v>
      </c>
      <c r="J11" s="191">
        <v>21706.85</v>
      </c>
      <c r="K11" s="198">
        <f t="shared" si="2"/>
        <v>1158290.33</v>
      </c>
      <c r="L11" s="11">
        <f t="shared" si="3"/>
        <v>0.7837923547922816</v>
      </c>
      <c r="M11" s="12">
        <f t="shared" si="4"/>
        <v>17.687262371615311</v>
      </c>
      <c r="N11" s="13">
        <f t="shared" si="5"/>
        <v>0.13685658066824291</v>
      </c>
      <c r="O11" s="550">
        <v>5492.6769230769232</v>
      </c>
      <c r="P11" s="14">
        <f t="shared" si="6"/>
        <v>179.90353589674643</v>
      </c>
      <c r="Q11" s="15">
        <f t="shared" si="7"/>
        <v>19.580315655880952</v>
      </c>
    </row>
    <row r="12" spans="2:17" s="16" customFormat="1" ht="14.25" customHeight="1" x14ac:dyDescent="0.2">
      <c r="B12" s="10" t="s">
        <v>25</v>
      </c>
      <c r="C12" s="296">
        <v>91607</v>
      </c>
      <c r="D12" s="388">
        <v>304</v>
      </c>
      <c r="E12" s="190">
        <f t="shared" si="0"/>
        <v>91303</v>
      </c>
      <c r="F12" s="352">
        <v>73923</v>
      </c>
      <c r="G12" s="592">
        <v>4360</v>
      </c>
      <c r="H12" s="190">
        <f t="shared" si="1"/>
        <v>78283</v>
      </c>
      <c r="I12" s="352">
        <v>1246546.26</v>
      </c>
      <c r="J12" s="191">
        <v>13646.51</v>
      </c>
      <c r="K12" s="198">
        <f t="shared" si="2"/>
        <v>1260192.77</v>
      </c>
      <c r="L12" s="11">
        <f t="shared" si="3"/>
        <v>0.8096448090424192</v>
      </c>
      <c r="M12" s="12">
        <f t="shared" si="4"/>
        <v>16.862766121504809</v>
      </c>
      <c r="N12" s="13">
        <f t="shared" si="5"/>
        <v>0.13047697622787485</v>
      </c>
      <c r="O12" s="550">
        <v>8067.6</v>
      </c>
      <c r="P12" s="14">
        <f t="shared" si="6"/>
        <v>136.25911051613861</v>
      </c>
      <c r="Q12" s="15">
        <f t="shared" si="7"/>
        <v>14.503704381636656</v>
      </c>
    </row>
    <row r="13" spans="2:17" s="16" customFormat="1" ht="14.25" customHeight="1" x14ac:dyDescent="0.2">
      <c r="B13" s="10" t="s">
        <v>26</v>
      </c>
      <c r="C13" s="296">
        <v>22318</v>
      </c>
      <c r="D13" s="388">
        <v>191</v>
      </c>
      <c r="E13" s="190">
        <f t="shared" si="0"/>
        <v>22127</v>
      </c>
      <c r="F13" s="352">
        <v>12104</v>
      </c>
      <c r="G13" s="592">
        <v>4340</v>
      </c>
      <c r="H13" s="190">
        <f t="shared" si="1"/>
        <v>16444</v>
      </c>
      <c r="I13" s="352">
        <v>169338.95</v>
      </c>
      <c r="J13" s="191">
        <v>13689.66</v>
      </c>
      <c r="K13" s="198">
        <f t="shared" si="2"/>
        <v>183028.61000000002</v>
      </c>
      <c r="L13" s="11">
        <f t="shared" si="3"/>
        <v>0.54702399783070454</v>
      </c>
      <c r="M13" s="12">
        <f t="shared" si="4"/>
        <v>13.990329643093194</v>
      </c>
      <c r="N13" s="13">
        <f t="shared" si="5"/>
        <v>0.1082512735519756</v>
      </c>
      <c r="O13" s="550">
        <v>2419.1999999999998</v>
      </c>
      <c r="P13" s="14">
        <f t="shared" si="6"/>
        <v>110.70436507936509</v>
      </c>
      <c r="Q13" s="15">
        <f t="shared" si="7"/>
        <v>7.024792825722149</v>
      </c>
    </row>
    <row r="14" spans="2:17" s="16" customFormat="1" ht="14.25" customHeight="1" x14ac:dyDescent="0.2">
      <c r="B14" s="10" t="s">
        <v>27</v>
      </c>
      <c r="C14" s="296">
        <v>130280</v>
      </c>
      <c r="D14" s="388">
        <v>514</v>
      </c>
      <c r="E14" s="190">
        <f t="shared" si="0"/>
        <v>129766</v>
      </c>
      <c r="F14" s="352">
        <v>117180</v>
      </c>
      <c r="G14" s="592">
        <v>3180</v>
      </c>
      <c r="H14" s="190">
        <f t="shared" si="1"/>
        <v>120360</v>
      </c>
      <c r="I14" s="352">
        <v>2114361.8000000003</v>
      </c>
      <c r="J14" s="191">
        <v>9594.81</v>
      </c>
      <c r="K14" s="198">
        <f t="shared" si="2"/>
        <v>2123956.6100000003</v>
      </c>
      <c r="L14" s="11">
        <f t="shared" si="3"/>
        <v>0.90301003344481601</v>
      </c>
      <c r="M14" s="12">
        <f t="shared" si="4"/>
        <v>18.043708824031405</v>
      </c>
      <c r="N14" s="13">
        <f t="shared" si="5"/>
        <v>0.13961461306715606</v>
      </c>
      <c r="O14" s="550">
        <v>8560</v>
      </c>
      <c r="P14" s="14">
        <f t="shared" si="6"/>
        <v>182.63551401869159</v>
      </c>
      <c r="Q14" s="15">
        <f t="shared" si="7"/>
        <v>23.038711618555496</v>
      </c>
    </row>
    <row r="15" spans="2:17" s="16" customFormat="1" ht="14.25" customHeight="1" x14ac:dyDescent="0.2">
      <c r="B15" s="10" t="s">
        <v>28</v>
      </c>
      <c r="C15" s="296">
        <v>58140</v>
      </c>
      <c r="D15" s="388">
        <v>326</v>
      </c>
      <c r="E15" s="190">
        <f t="shared" si="0"/>
        <v>57814</v>
      </c>
      <c r="F15" s="352">
        <v>47000</v>
      </c>
      <c r="G15" s="592">
        <v>11200</v>
      </c>
      <c r="H15" s="190">
        <f t="shared" si="1"/>
        <v>58200</v>
      </c>
      <c r="I15" s="352">
        <v>749053.22000000009</v>
      </c>
      <c r="J15" s="191">
        <v>37284.47</v>
      </c>
      <c r="K15" s="198">
        <f t="shared" si="2"/>
        <v>786337.69000000006</v>
      </c>
      <c r="L15" s="11">
        <f t="shared" si="3"/>
        <v>0.81295188016743347</v>
      </c>
      <c r="M15" s="12">
        <f t="shared" si="4"/>
        <v>15.937302553191492</v>
      </c>
      <c r="N15" s="13">
        <f t="shared" si="5"/>
        <v>0.12331612923915998</v>
      </c>
      <c r="O15" s="550">
        <v>10048.984615384614</v>
      </c>
      <c r="P15" s="14">
        <f t="shared" si="6"/>
        <v>69.427910052910065</v>
      </c>
      <c r="Q15" s="15">
        <f t="shared" si="7"/>
        <v>7.2656290995718447</v>
      </c>
    </row>
    <row r="16" spans="2:17" s="16" customFormat="1" ht="14.25" customHeight="1" x14ac:dyDescent="0.2">
      <c r="B16" s="10" t="s">
        <v>29</v>
      </c>
      <c r="C16" s="296">
        <v>30453</v>
      </c>
      <c r="D16" s="388">
        <v>286</v>
      </c>
      <c r="E16" s="190">
        <f t="shared" si="0"/>
        <v>30167</v>
      </c>
      <c r="F16" s="352">
        <v>24640</v>
      </c>
      <c r="G16" s="592">
        <v>820</v>
      </c>
      <c r="H16" s="190">
        <f t="shared" si="1"/>
        <v>25460</v>
      </c>
      <c r="I16" s="352">
        <v>370960.29</v>
      </c>
      <c r="J16" s="191">
        <v>2629.29</v>
      </c>
      <c r="K16" s="198">
        <f t="shared" si="2"/>
        <v>373589.57999999996</v>
      </c>
      <c r="L16" s="11">
        <f t="shared" si="3"/>
        <v>0.81678655484469787</v>
      </c>
      <c r="M16" s="12">
        <f t="shared" si="4"/>
        <v>15.055206574675324</v>
      </c>
      <c r="N16" s="13">
        <f t="shared" si="5"/>
        <v>0.11649084237991918</v>
      </c>
      <c r="O16" s="550">
        <v>2233</v>
      </c>
      <c r="P16" s="14">
        <f t="shared" si="6"/>
        <v>163.65248544558889</v>
      </c>
      <c r="Q16" s="15">
        <f t="shared" si="7"/>
        <v>15.534323478505973</v>
      </c>
    </row>
    <row r="17" spans="2:17" s="16" customFormat="1" ht="14.25" customHeight="1" x14ac:dyDescent="0.2">
      <c r="B17" s="10" t="s">
        <v>30</v>
      </c>
      <c r="C17" s="296">
        <v>154260</v>
      </c>
      <c r="D17" s="388">
        <v>357</v>
      </c>
      <c r="E17" s="190">
        <f t="shared" si="0"/>
        <v>153903</v>
      </c>
      <c r="F17" s="352">
        <v>150465</v>
      </c>
      <c r="G17" s="592">
        <v>1720</v>
      </c>
      <c r="H17" s="190">
        <f t="shared" si="1"/>
        <v>152185</v>
      </c>
      <c r="I17" s="352">
        <v>2235814.9499999997</v>
      </c>
      <c r="J17" s="191">
        <v>9164.99</v>
      </c>
      <c r="K17" s="198">
        <f t="shared" si="2"/>
        <v>2244979.94</v>
      </c>
      <c r="L17" s="11">
        <f t="shared" si="3"/>
        <v>0.97766125416658545</v>
      </c>
      <c r="M17" s="12">
        <f t="shared" si="4"/>
        <v>14.859368956235668</v>
      </c>
      <c r="N17" s="13">
        <f t="shared" si="5"/>
        <v>0.11497553343822139</v>
      </c>
      <c r="O17" s="550">
        <v>10330.231</v>
      </c>
      <c r="P17" s="14">
        <f t="shared" si="6"/>
        <v>179.1944439577392</v>
      </c>
      <c r="Q17" s="15">
        <f t="shared" si="7"/>
        <v>20.178493745002189</v>
      </c>
    </row>
    <row r="18" spans="2:17" s="16" customFormat="1" ht="14.25" customHeight="1" x14ac:dyDescent="0.2">
      <c r="B18" s="10" t="s">
        <v>32</v>
      </c>
      <c r="C18" s="296">
        <v>56943</v>
      </c>
      <c r="D18" s="388">
        <v>371</v>
      </c>
      <c r="E18" s="190">
        <f t="shared" si="0"/>
        <v>56572</v>
      </c>
      <c r="F18" s="352">
        <v>43920</v>
      </c>
      <c r="G18" s="592">
        <v>5420</v>
      </c>
      <c r="H18" s="190">
        <f t="shared" si="1"/>
        <v>49340</v>
      </c>
      <c r="I18" s="352">
        <v>1063172.44</v>
      </c>
      <c r="J18" s="191">
        <v>27217.279999999999</v>
      </c>
      <c r="K18" s="198">
        <f t="shared" si="2"/>
        <v>1090389.72</v>
      </c>
      <c r="L18" s="11">
        <f t="shared" si="3"/>
        <v>0.77635579438591529</v>
      </c>
      <c r="M18" s="12">
        <f t="shared" si="4"/>
        <v>24.20702276867031</v>
      </c>
      <c r="N18" s="13">
        <f t="shared" si="5"/>
        <v>0.18730373840075326</v>
      </c>
      <c r="O18" s="550">
        <v>4962.4615384615381</v>
      </c>
      <c r="P18" s="14">
        <f t="shared" si="6"/>
        <v>137.69698660714289</v>
      </c>
      <c r="Q18" s="15">
        <f t="shared" si="7"/>
        <v>20.401913764300982</v>
      </c>
    </row>
    <row r="19" spans="2:17" s="16" customFormat="1" ht="14.25" customHeight="1" x14ac:dyDescent="0.2">
      <c r="B19" s="388" t="s">
        <v>157</v>
      </c>
      <c r="C19" s="296">
        <v>2123</v>
      </c>
      <c r="D19" s="10">
        <v>34</v>
      </c>
      <c r="E19" s="190">
        <f t="shared" si="0"/>
        <v>2089</v>
      </c>
      <c r="F19" s="352">
        <v>2430</v>
      </c>
      <c r="G19" s="592"/>
      <c r="H19" s="190">
        <f t="shared" si="1"/>
        <v>2430</v>
      </c>
      <c r="I19" s="352">
        <v>33276.18</v>
      </c>
      <c r="J19" s="353"/>
      <c r="K19" s="198">
        <f t="shared" si="2"/>
        <v>33276.18</v>
      </c>
      <c r="L19" s="11">
        <f t="shared" si="3"/>
        <v>1.1632359980852083</v>
      </c>
      <c r="M19" s="12">
        <f t="shared" si="4"/>
        <v>13.693901234567901</v>
      </c>
      <c r="N19" s="13">
        <f t="shared" si="5"/>
        <v>0.10595763547778698</v>
      </c>
      <c r="O19" s="550"/>
      <c r="P19" s="14"/>
      <c r="Q19" s="15"/>
    </row>
    <row r="20" spans="2:17" s="16" customFormat="1" ht="14.25" customHeight="1" x14ac:dyDescent="0.2">
      <c r="B20" s="10" t="s">
        <v>33</v>
      </c>
      <c r="C20" s="296">
        <v>4638</v>
      </c>
      <c r="D20" s="388">
        <v>66</v>
      </c>
      <c r="E20" s="190">
        <f t="shared" si="0"/>
        <v>4572</v>
      </c>
      <c r="F20" s="352">
        <v>2060</v>
      </c>
      <c r="G20" s="592">
        <v>1460</v>
      </c>
      <c r="H20" s="190">
        <f t="shared" si="1"/>
        <v>3520</v>
      </c>
      <c r="I20" s="352">
        <v>32053.510000000002</v>
      </c>
      <c r="J20" s="191">
        <v>4405.1499999999996</v>
      </c>
      <c r="K20" s="198">
        <f t="shared" si="2"/>
        <v>36458.660000000003</v>
      </c>
      <c r="L20" s="11">
        <f t="shared" si="3"/>
        <v>0.45056867891513563</v>
      </c>
      <c r="M20" s="12">
        <f t="shared" si="4"/>
        <v>15.559956310679613</v>
      </c>
      <c r="N20" s="13">
        <f t="shared" si="5"/>
        <v>0.12039638307419885</v>
      </c>
      <c r="O20" s="550">
        <v>2605.292307692308</v>
      </c>
      <c r="P20" s="14">
        <f>C20/O20*12</f>
        <v>21.362670068027207</v>
      </c>
      <c r="Q20" s="15">
        <f>(K20*12/O20)/129.2394</f>
        <v>1.2993631868516387</v>
      </c>
    </row>
    <row r="21" spans="2:17" s="16" customFormat="1" ht="14.25" customHeight="1" x14ac:dyDescent="0.2">
      <c r="B21" s="17" t="s">
        <v>34</v>
      </c>
      <c r="C21" s="576">
        <v>91545</v>
      </c>
      <c r="D21" s="390">
        <v>350</v>
      </c>
      <c r="E21" s="193">
        <f t="shared" si="0"/>
        <v>91195</v>
      </c>
      <c r="F21" s="355">
        <v>85915</v>
      </c>
      <c r="G21" s="593">
        <v>1680</v>
      </c>
      <c r="H21" s="193">
        <f t="shared" si="1"/>
        <v>87595</v>
      </c>
      <c r="I21" s="355">
        <v>1383312.08</v>
      </c>
      <c r="J21" s="541">
        <v>5077.55</v>
      </c>
      <c r="K21" s="205">
        <f t="shared" si="2"/>
        <v>1388389.6300000001</v>
      </c>
      <c r="L21" s="358">
        <f t="shared" si="3"/>
        <v>0.94210208893031411</v>
      </c>
      <c r="M21" s="18">
        <f t="shared" si="4"/>
        <v>16.100937903742071</v>
      </c>
      <c r="N21" s="195">
        <f t="shared" si="5"/>
        <v>0.12458227060588391</v>
      </c>
      <c r="O21" s="552">
        <v>5334</v>
      </c>
      <c r="P21" s="19">
        <f>C21/O21*12</f>
        <v>205.95050618672664</v>
      </c>
      <c r="Q21" s="204">
        <f>(K21*12/O21)/129.2394</f>
        <v>24.168219844111281</v>
      </c>
    </row>
    <row r="22" spans="2:17" s="16" customFormat="1" ht="14.25" customHeight="1" x14ac:dyDescent="0.2">
      <c r="B22" s="249" t="s">
        <v>174</v>
      </c>
      <c r="C22" s="344"/>
      <c r="D22" s="594"/>
      <c r="E22" s="595"/>
      <c r="F22" s="596"/>
      <c r="G22" s="593"/>
      <c r="H22" s="595"/>
      <c r="I22" s="596"/>
      <c r="J22" s="597"/>
      <c r="K22" s="598"/>
      <c r="L22" s="264"/>
      <c r="M22" s="252"/>
      <c r="N22" s="343"/>
      <c r="O22" s="599"/>
      <c r="P22" s="253"/>
      <c r="Q22" s="600"/>
    </row>
    <row r="23" spans="2:17" ht="15.75" customHeight="1" thickBot="1" x14ac:dyDescent="0.25">
      <c r="B23" s="577" t="s">
        <v>35</v>
      </c>
      <c r="C23" s="578">
        <f>SUM(C6:C22)</f>
        <v>1058008</v>
      </c>
      <c r="D23" s="578">
        <f t="shared" ref="D23:K23" si="8">SUM(D6:D22)</f>
        <v>5083</v>
      </c>
      <c r="E23" s="578">
        <f t="shared" si="8"/>
        <v>1052925</v>
      </c>
      <c r="F23" s="578">
        <f t="shared" si="8"/>
        <v>888186</v>
      </c>
      <c r="G23" s="578">
        <f t="shared" si="8"/>
        <v>62860</v>
      </c>
      <c r="H23" s="578">
        <f t="shared" si="8"/>
        <v>951046</v>
      </c>
      <c r="I23" s="578">
        <f t="shared" si="8"/>
        <v>14928284.999999998</v>
      </c>
      <c r="J23" s="578">
        <f t="shared" si="8"/>
        <v>211287.12999999998</v>
      </c>
      <c r="K23" s="578">
        <f t="shared" si="8"/>
        <v>15139572.130000001</v>
      </c>
      <c r="L23" s="579">
        <f t="shared" ref="L23" si="9">F23/E23</f>
        <v>0.84354156278937242</v>
      </c>
      <c r="M23" s="580">
        <f t="shared" ref="M23" si="10">I23/F23</f>
        <v>16.807611243590866</v>
      </c>
      <c r="N23" s="581">
        <f t="shared" ref="N23" si="11">M23/129.2394</f>
        <v>0.13005021103154973</v>
      </c>
      <c r="O23" s="582">
        <f>SUM(O6:O21)</f>
        <v>89827.984846153835</v>
      </c>
      <c r="P23" s="583">
        <f t="shared" ref="P23" si="12">C23/O23*12</f>
        <v>141.33786950407813</v>
      </c>
      <c r="Q23" s="584">
        <f t="shared" ref="Q23" si="13">(K23*12/O23)/129.2394</f>
        <v>15.649060058832994</v>
      </c>
    </row>
    <row r="24" spans="2:17" ht="17.25" customHeight="1" thickTop="1" thickBot="1" x14ac:dyDescent="0.25">
      <c r="B24" s="26" t="s">
        <v>36</v>
      </c>
      <c r="C24" s="27"/>
      <c r="D24" s="28">
        <f>D23/C23</f>
        <v>4.8043114985898026E-3</v>
      </c>
      <c r="E24" s="29">
        <f>E23/C23</f>
        <v>0.99519568850141016</v>
      </c>
      <c r="F24" s="30"/>
      <c r="G24" s="31"/>
      <c r="H24" s="30"/>
      <c r="I24" s="30"/>
      <c r="J24" s="30"/>
      <c r="K24" s="30"/>
      <c r="L24" s="32"/>
      <c r="M24" s="30"/>
      <c r="N24" s="33"/>
      <c r="O24" s="534"/>
      <c r="P24" s="34"/>
      <c r="Q24" s="35"/>
    </row>
    <row r="25" spans="2:17" ht="21" customHeight="1" thickTop="1" x14ac:dyDescent="0.25">
      <c r="B25" s="623" t="s">
        <v>37</v>
      </c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</row>
    <row r="26" spans="2:17" ht="15" customHeight="1" x14ac:dyDescent="0.2">
      <c r="B26" s="13" t="s">
        <v>38</v>
      </c>
      <c r="C26" s="296">
        <v>19593</v>
      </c>
      <c r="D26" s="352">
        <v>148</v>
      </c>
      <c r="E26" s="200">
        <f t="shared" ref="E26:E52" si="14">C26-D26</f>
        <v>19445</v>
      </c>
      <c r="F26" s="352">
        <v>14380</v>
      </c>
      <c r="G26" s="191">
        <v>3750</v>
      </c>
      <c r="H26" s="202">
        <f t="shared" ref="H26:H52" si="15">F26+G26</f>
        <v>18130</v>
      </c>
      <c r="I26" s="352">
        <v>558668.31999999995</v>
      </c>
      <c r="J26" s="191">
        <v>12758.64</v>
      </c>
      <c r="K26" s="200">
        <f t="shared" ref="K26:K52" si="16">I26+J26</f>
        <v>571426.96</v>
      </c>
      <c r="L26" s="36">
        <f t="shared" ref="L26:L52" si="17">F26/E26</f>
        <v>0.73952172795062998</v>
      </c>
      <c r="M26" s="20">
        <f t="shared" ref="M26:M52" si="18">I26/F26</f>
        <v>38.85036995827538</v>
      </c>
      <c r="N26" s="37">
        <f t="shared" ref="N26:N52" si="19">M26/129.2394</f>
        <v>0.30060778646663</v>
      </c>
      <c r="O26" s="533">
        <v>3287.6307692307691</v>
      </c>
      <c r="P26" s="14">
        <f t="shared" ref="P26:P33" si="20">C26/O26*12</f>
        <v>71.515330188679258</v>
      </c>
      <c r="Q26" s="15">
        <f t="shared" ref="Q26:Q52" si="21">(K26*12/O26)/129.2394</f>
        <v>16.138531087061882</v>
      </c>
    </row>
    <row r="27" spans="2:17" ht="15" customHeight="1" x14ac:dyDescent="0.2">
      <c r="B27" s="13" t="s">
        <v>39</v>
      </c>
      <c r="C27" s="296">
        <v>45465</v>
      </c>
      <c r="D27" s="352">
        <v>215</v>
      </c>
      <c r="E27" s="200">
        <f t="shared" si="14"/>
        <v>45250</v>
      </c>
      <c r="F27" s="352">
        <v>40850</v>
      </c>
      <c r="G27" s="191">
        <v>1270</v>
      </c>
      <c r="H27" s="202">
        <f t="shared" si="15"/>
        <v>42120</v>
      </c>
      <c r="I27" s="352">
        <v>1523916.65</v>
      </c>
      <c r="J27" s="191">
        <v>13765.46</v>
      </c>
      <c r="K27" s="200">
        <f t="shared" si="16"/>
        <v>1537682.1099999999</v>
      </c>
      <c r="L27" s="36">
        <f t="shared" si="17"/>
        <v>0.90276243093922648</v>
      </c>
      <c r="M27" s="20">
        <f t="shared" si="18"/>
        <v>37.305181150550794</v>
      </c>
      <c r="N27" s="37">
        <f t="shared" si="19"/>
        <v>0.28865176680293159</v>
      </c>
      <c r="O27" s="533">
        <v>5520.7384615384617</v>
      </c>
      <c r="P27" s="14">
        <f t="shared" si="20"/>
        <v>98.823735955056179</v>
      </c>
      <c r="Q27" s="15">
        <f t="shared" si="21"/>
        <v>25.861618514618709</v>
      </c>
    </row>
    <row r="28" spans="2:17" ht="15" customHeight="1" x14ac:dyDescent="0.2">
      <c r="B28" s="13" t="s">
        <v>40</v>
      </c>
      <c r="C28" s="296">
        <v>16966</v>
      </c>
      <c r="D28" s="352">
        <v>153</v>
      </c>
      <c r="E28" s="200">
        <f t="shared" si="14"/>
        <v>16813</v>
      </c>
      <c r="F28" s="352">
        <v>16590</v>
      </c>
      <c r="G28" s="191">
        <v>810</v>
      </c>
      <c r="H28" s="202">
        <f t="shared" si="15"/>
        <v>17400</v>
      </c>
      <c r="I28" s="352">
        <v>616517.91999999993</v>
      </c>
      <c r="J28" s="191">
        <v>2620.6999999999998</v>
      </c>
      <c r="K28" s="200">
        <f t="shared" si="16"/>
        <v>619138.61999999988</v>
      </c>
      <c r="L28" s="36">
        <f t="shared" si="17"/>
        <v>0.98673645393445553</v>
      </c>
      <c r="M28" s="20">
        <f t="shared" si="18"/>
        <v>37.162020494273655</v>
      </c>
      <c r="N28" s="37">
        <f t="shared" si="19"/>
        <v>0.28754404998996946</v>
      </c>
      <c r="O28" s="533">
        <v>2481.2307692307691</v>
      </c>
      <c r="P28" s="14">
        <f t="shared" si="20"/>
        <v>82.05282738095238</v>
      </c>
      <c r="Q28" s="15">
        <f t="shared" si="21"/>
        <v>23.168987200995094</v>
      </c>
    </row>
    <row r="29" spans="2:17" ht="15" customHeight="1" x14ac:dyDescent="0.2">
      <c r="B29" s="13" t="s">
        <v>41</v>
      </c>
      <c r="C29" s="296">
        <v>30445</v>
      </c>
      <c r="D29" s="352">
        <v>220</v>
      </c>
      <c r="E29" s="200">
        <f t="shared" si="14"/>
        <v>30225</v>
      </c>
      <c r="F29" s="352">
        <v>28084</v>
      </c>
      <c r="G29" s="191">
        <v>2760</v>
      </c>
      <c r="H29" s="202">
        <f t="shared" si="15"/>
        <v>30844</v>
      </c>
      <c r="I29" s="352">
        <v>1038928.74</v>
      </c>
      <c r="J29" s="191">
        <v>9517.27</v>
      </c>
      <c r="K29" s="200">
        <f t="shared" si="16"/>
        <v>1048446.01</v>
      </c>
      <c r="L29" s="36">
        <f t="shared" si="17"/>
        <v>0.92916459884201819</v>
      </c>
      <c r="M29" s="20">
        <f t="shared" si="18"/>
        <v>36.993617006124481</v>
      </c>
      <c r="N29" s="37">
        <f t="shared" si="19"/>
        <v>0.28624101478438063</v>
      </c>
      <c r="O29" s="533">
        <v>3225.5999999999995</v>
      </c>
      <c r="P29" s="14">
        <f t="shared" si="20"/>
        <v>113.26264880952384</v>
      </c>
      <c r="Q29" s="15">
        <f t="shared" si="21"/>
        <v>30.180183343487993</v>
      </c>
    </row>
    <row r="30" spans="2:17" ht="15" customHeight="1" x14ac:dyDescent="0.2">
      <c r="B30" s="13" t="s">
        <v>42</v>
      </c>
      <c r="C30" s="296">
        <v>17770</v>
      </c>
      <c r="D30" s="352">
        <v>205</v>
      </c>
      <c r="E30" s="200">
        <f t="shared" si="14"/>
        <v>17565</v>
      </c>
      <c r="F30" s="352">
        <v>13601</v>
      </c>
      <c r="G30" s="191">
        <v>2030</v>
      </c>
      <c r="H30" s="202">
        <f t="shared" si="15"/>
        <v>15631</v>
      </c>
      <c r="I30" s="352">
        <v>535503.05000000005</v>
      </c>
      <c r="J30" s="191">
        <v>6827.58</v>
      </c>
      <c r="K30" s="200">
        <f t="shared" si="16"/>
        <v>542330.63</v>
      </c>
      <c r="L30" s="36">
        <f t="shared" si="17"/>
        <v>0.77432393965271851</v>
      </c>
      <c r="M30" s="20">
        <f t="shared" si="18"/>
        <v>39.372329240497024</v>
      </c>
      <c r="N30" s="37">
        <f t="shared" si="19"/>
        <v>0.30464648737534394</v>
      </c>
      <c r="O30" s="533">
        <v>2357.1692307692306</v>
      </c>
      <c r="P30" s="14">
        <f t="shared" si="20"/>
        <v>90.46444235588973</v>
      </c>
      <c r="Q30" s="15">
        <f t="shared" si="21"/>
        <v>21.362874193755477</v>
      </c>
    </row>
    <row r="31" spans="2:17" ht="15" customHeight="1" x14ac:dyDescent="0.2">
      <c r="B31" s="13" t="s">
        <v>43</v>
      </c>
      <c r="C31" s="296">
        <v>30442</v>
      </c>
      <c r="D31" s="352">
        <v>183</v>
      </c>
      <c r="E31" s="200">
        <f t="shared" si="14"/>
        <v>30259</v>
      </c>
      <c r="F31" s="352">
        <v>18034</v>
      </c>
      <c r="G31" s="191">
        <v>7380</v>
      </c>
      <c r="H31" s="202">
        <f t="shared" si="15"/>
        <v>25414</v>
      </c>
      <c r="I31" s="352">
        <v>658022.14</v>
      </c>
      <c r="J31" s="191">
        <v>25448.29</v>
      </c>
      <c r="K31" s="200">
        <f t="shared" si="16"/>
        <v>683470.43</v>
      </c>
      <c r="L31" s="36">
        <f t="shared" si="17"/>
        <v>0.59598797052116725</v>
      </c>
      <c r="M31" s="20">
        <f t="shared" si="18"/>
        <v>36.487864034601309</v>
      </c>
      <c r="N31" s="37">
        <f t="shared" si="19"/>
        <v>0.28232771147654129</v>
      </c>
      <c r="O31" s="533">
        <v>2605.292307692308</v>
      </c>
      <c r="P31" s="14">
        <f t="shared" si="20"/>
        <v>140.21612811791383</v>
      </c>
      <c r="Q31" s="15">
        <f t="shared" si="21"/>
        <v>24.358446416946201</v>
      </c>
    </row>
    <row r="32" spans="2:17" ht="15" customHeight="1" x14ac:dyDescent="0.2">
      <c r="B32" s="13" t="s">
        <v>44</v>
      </c>
      <c r="C32" s="296">
        <v>26452</v>
      </c>
      <c r="D32" s="352">
        <v>139</v>
      </c>
      <c r="E32" s="200">
        <f t="shared" si="14"/>
        <v>26313</v>
      </c>
      <c r="F32" s="352">
        <v>23240</v>
      </c>
      <c r="G32" s="191">
        <v>1090</v>
      </c>
      <c r="H32" s="202">
        <f t="shared" si="15"/>
        <v>24330</v>
      </c>
      <c r="I32" s="352">
        <v>933904.56</v>
      </c>
      <c r="J32" s="191">
        <v>3586.2</v>
      </c>
      <c r="K32" s="200">
        <f t="shared" si="16"/>
        <v>937490.76</v>
      </c>
      <c r="L32" s="36">
        <f t="shared" si="17"/>
        <v>0.88321362064378828</v>
      </c>
      <c r="M32" s="20">
        <f t="shared" si="18"/>
        <v>40.185222030981066</v>
      </c>
      <c r="N32" s="37">
        <f t="shared" si="19"/>
        <v>0.31093630913623144</v>
      </c>
      <c r="O32" s="533">
        <v>2357.1692307692306</v>
      </c>
      <c r="P32" s="14">
        <f t="shared" si="20"/>
        <v>134.66322055137846</v>
      </c>
      <c r="Q32" s="15">
        <f t="shared" si="21"/>
        <v>36.928574666137166</v>
      </c>
    </row>
    <row r="33" spans="2:17" ht="15" customHeight="1" x14ac:dyDescent="0.2">
      <c r="B33" s="13" t="s">
        <v>45</v>
      </c>
      <c r="C33" s="296">
        <v>14006</v>
      </c>
      <c r="D33" s="352">
        <v>146</v>
      </c>
      <c r="E33" s="200">
        <f t="shared" si="14"/>
        <v>13860</v>
      </c>
      <c r="F33" s="352">
        <v>13860</v>
      </c>
      <c r="G33" s="191">
        <v>1000</v>
      </c>
      <c r="H33" s="202">
        <f t="shared" si="15"/>
        <v>14860</v>
      </c>
      <c r="I33" s="352">
        <v>551405.35</v>
      </c>
      <c r="J33" s="191">
        <v>3448.29</v>
      </c>
      <c r="K33" s="200">
        <f t="shared" si="16"/>
        <v>554853.64</v>
      </c>
      <c r="L33" s="36">
        <f t="shared" si="17"/>
        <v>1</v>
      </c>
      <c r="M33" s="20">
        <f t="shared" si="18"/>
        <v>39.783935786435784</v>
      </c>
      <c r="N33" s="37">
        <f t="shared" si="19"/>
        <v>0.30783132532676405</v>
      </c>
      <c r="O33" s="533">
        <v>2481</v>
      </c>
      <c r="P33" s="14">
        <f t="shared" si="20"/>
        <v>67.743651753325267</v>
      </c>
      <c r="Q33" s="15">
        <f t="shared" si="21"/>
        <v>20.765289400339523</v>
      </c>
    </row>
    <row r="34" spans="2:17" ht="15" customHeight="1" x14ac:dyDescent="0.2">
      <c r="B34" s="13" t="s">
        <v>46</v>
      </c>
      <c r="C34" s="296">
        <v>55352</v>
      </c>
      <c r="D34" s="352">
        <v>237</v>
      </c>
      <c r="E34" s="200">
        <f t="shared" si="14"/>
        <v>55115</v>
      </c>
      <c r="F34" s="352">
        <v>53210</v>
      </c>
      <c r="G34" s="191">
        <v>2210</v>
      </c>
      <c r="H34" s="202">
        <f t="shared" si="15"/>
        <v>55420</v>
      </c>
      <c r="I34" s="352">
        <v>2189953.9899999998</v>
      </c>
      <c r="J34" s="191">
        <v>7448.28</v>
      </c>
      <c r="K34" s="200">
        <f t="shared" si="16"/>
        <v>2197402.2699999996</v>
      </c>
      <c r="L34" s="36">
        <f t="shared" si="17"/>
        <v>0.96543590674045177</v>
      </c>
      <c r="M34" s="20">
        <f t="shared" si="18"/>
        <v>41.156812441270432</v>
      </c>
      <c r="N34" s="37">
        <f t="shared" si="19"/>
        <v>0.31845406618469629</v>
      </c>
      <c r="O34" s="533">
        <v>7178.4</v>
      </c>
      <c r="P34" s="14">
        <f>C34/4838*12</f>
        <v>137.29309632079372</v>
      </c>
      <c r="Q34" s="15">
        <f t="shared" si="21"/>
        <v>28.42288952309714</v>
      </c>
    </row>
    <row r="35" spans="2:17" ht="15" customHeight="1" x14ac:dyDescent="0.2">
      <c r="B35" s="13" t="s">
        <v>47</v>
      </c>
      <c r="C35" s="296">
        <v>43353</v>
      </c>
      <c r="D35" s="352">
        <v>298</v>
      </c>
      <c r="E35" s="200">
        <f t="shared" si="14"/>
        <v>43055</v>
      </c>
      <c r="F35" s="352">
        <v>26244</v>
      </c>
      <c r="G35" s="191">
        <v>13460</v>
      </c>
      <c r="H35" s="202">
        <f t="shared" si="15"/>
        <v>39704</v>
      </c>
      <c r="I35" s="352">
        <v>920932.73999999987</v>
      </c>
      <c r="J35" s="191">
        <v>46413.77</v>
      </c>
      <c r="K35" s="200">
        <f t="shared" si="16"/>
        <v>967346.50999999989</v>
      </c>
      <c r="L35" s="36">
        <f t="shared" si="17"/>
        <v>0.6095459296248984</v>
      </c>
      <c r="M35" s="20">
        <f t="shared" si="18"/>
        <v>35.091172839506171</v>
      </c>
      <c r="N35" s="37">
        <f t="shared" si="19"/>
        <v>0.27152070374441672</v>
      </c>
      <c r="O35" s="533">
        <v>4962.461538461539</v>
      </c>
      <c r="P35" s="14">
        <f t="shared" ref="P35:P52" si="22">C35/O35*12</f>
        <v>104.83426339285712</v>
      </c>
      <c r="Q35" s="15">
        <f t="shared" si="21"/>
        <v>18.099693820680475</v>
      </c>
    </row>
    <row r="36" spans="2:17" ht="15" customHeight="1" x14ac:dyDescent="0.2">
      <c r="B36" s="13" t="s">
        <v>48</v>
      </c>
      <c r="C36" s="296">
        <v>10766</v>
      </c>
      <c r="D36" s="352">
        <v>83</v>
      </c>
      <c r="E36" s="200">
        <f t="shared" si="14"/>
        <v>10683</v>
      </c>
      <c r="F36" s="352">
        <v>10220</v>
      </c>
      <c r="G36" s="191">
        <v>580</v>
      </c>
      <c r="H36" s="202">
        <f t="shared" si="15"/>
        <v>10800</v>
      </c>
      <c r="I36" s="352">
        <v>367643.72</v>
      </c>
      <c r="J36" s="191">
        <v>2000.02</v>
      </c>
      <c r="K36" s="200">
        <f t="shared" si="16"/>
        <v>369643.74</v>
      </c>
      <c r="L36" s="36">
        <f t="shared" si="17"/>
        <v>0.95666011420013108</v>
      </c>
      <c r="M36" s="20">
        <f t="shared" si="18"/>
        <v>35.972966731898239</v>
      </c>
      <c r="N36" s="37">
        <f t="shared" si="19"/>
        <v>0.27834365318856513</v>
      </c>
      <c r="O36" s="533">
        <v>1736.8615384615382</v>
      </c>
      <c r="P36" s="14">
        <f t="shared" si="22"/>
        <v>74.382440476190482</v>
      </c>
      <c r="Q36" s="15">
        <f t="shared" si="21"/>
        <v>19.760797626935215</v>
      </c>
    </row>
    <row r="37" spans="2:17" ht="15" customHeight="1" x14ac:dyDescent="0.2">
      <c r="B37" s="13" t="s">
        <v>49</v>
      </c>
      <c r="C37" s="296">
        <v>44734</v>
      </c>
      <c r="D37" s="352">
        <v>250</v>
      </c>
      <c r="E37" s="200">
        <f t="shared" si="14"/>
        <v>44484</v>
      </c>
      <c r="F37" s="352">
        <v>39924</v>
      </c>
      <c r="G37" s="191">
        <v>2600</v>
      </c>
      <c r="H37" s="202">
        <f t="shared" si="15"/>
        <v>42524</v>
      </c>
      <c r="I37" s="352">
        <v>1409995.44</v>
      </c>
      <c r="J37" s="191">
        <v>8965.5400000000009</v>
      </c>
      <c r="K37" s="200">
        <f t="shared" si="16"/>
        <v>1418960.98</v>
      </c>
      <c r="L37" s="36">
        <f t="shared" si="17"/>
        <v>0.89749123280280552</v>
      </c>
      <c r="M37" s="20">
        <f t="shared" si="18"/>
        <v>35.316988277727681</v>
      </c>
      <c r="N37" s="37">
        <f t="shared" si="19"/>
        <v>0.27326796841928763</v>
      </c>
      <c r="O37" s="533">
        <v>5024.4923076923069</v>
      </c>
      <c r="P37" s="14">
        <f t="shared" si="22"/>
        <v>106.83825690770138</v>
      </c>
      <c r="Q37" s="15">
        <f t="shared" si="21"/>
        <v>26.221925563417877</v>
      </c>
    </row>
    <row r="38" spans="2:17" ht="15" customHeight="1" x14ac:dyDescent="0.2">
      <c r="B38" s="13" t="s">
        <v>50</v>
      </c>
      <c r="C38" s="296">
        <v>20272</v>
      </c>
      <c r="D38" s="352">
        <v>168</v>
      </c>
      <c r="E38" s="200">
        <f t="shared" si="14"/>
        <v>20104</v>
      </c>
      <c r="F38" s="352">
        <v>20730</v>
      </c>
      <c r="G38" s="191">
        <v>6020</v>
      </c>
      <c r="H38" s="202">
        <f t="shared" si="15"/>
        <v>26750</v>
      </c>
      <c r="I38" s="352">
        <v>727578.76</v>
      </c>
      <c r="J38" s="191">
        <v>20793.11</v>
      </c>
      <c r="K38" s="200">
        <f t="shared" si="16"/>
        <v>748371.87</v>
      </c>
      <c r="L38" s="36">
        <f t="shared" si="17"/>
        <v>1.0311380819737366</v>
      </c>
      <c r="M38" s="20">
        <f t="shared" si="18"/>
        <v>35.097865894838399</v>
      </c>
      <c r="N38" s="37">
        <f t="shared" si="19"/>
        <v>0.27157249178531007</v>
      </c>
      <c r="O38" s="533">
        <v>2667</v>
      </c>
      <c r="P38" s="14">
        <f t="shared" si="22"/>
        <v>91.212598425196859</v>
      </c>
      <c r="Q38" s="15">
        <f t="shared" si="21"/>
        <v>26.054380540581629</v>
      </c>
    </row>
    <row r="39" spans="2:17" ht="15" customHeight="1" x14ac:dyDescent="0.2">
      <c r="B39" s="13" t="s">
        <v>51</v>
      </c>
      <c r="C39" s="296">
        <v>60053</v>
      </c>
      <c r="D39" s="352">
        <v>248</v>
      </c>
      <c r="E39" s="200">
        <f t="shared" si="14"/>
        <v>59805</v>
      </c>
      <c r="F39" s="352">
        <v>54530</v>
      </c>
      <c r="G39" s="191">
        <v>4340</v>
      </c>
      <c r="H39" s="202">
        <f t="shared" si="15"/>
        <v>58870</v>
      </c>
      <c r="I39" s="352">
        <v>1917362.29</v>
      </c>
      <c r="J39" s="191">
        <v>14965.55</v>
      </c>
      <c r="K39" s="200">
        <f t="shared" si="16"/>
        <v>1932327.84</v>
      </c>
      <c r="L39" s="36">
        <f t="shared" si="17"/>
        <v>0.91179667251902019</v>
      </c>
      <c r="M39" s="20">
        <f t="shared" si="18"/>
        <v>35.161604437924076</v>
      </c>
      <c r="N39" s="37">
        <f t="shared" si="19"/>
        <v>0.27206567376453372</v>
      </c>
      <c r="O39" s="533">
        <v>8436.1846153846163</v>
      </c>
      <c r="P39" s="14">
        <f t="shared" si="22"/>
        <v>85.422028186274503</v>
      </c>
      <c r="Q39" s="15">
        <f t="shared" si="21"/>
        <v>21.267725621903971</v>
      </c>
    </row>
    <row r="40" spans="2:17" ht="15" customHeight="1" x14ac:dyDescent="0.2">
      <c r="B40" s="13" t="s">
        <v>52</v>
      </c>
      <c r="C40" s="296">
        <v>55705</v>
      </c>
      <c r="D40" s="352">
        <v>315</v>
      </c>
      <c r="E40" s="200">
        <f t="shared" si="14"/>
        <v>55390</v>
      </c>
      <c r="F40" s="352">
        <v>54369</v>
      </c>
      <c r="G40" s="191">
        <v>6420</v>
      </c>
      <c r="H40" s="202">
        <f t="shared" si="15"/>
        <v>60789</v>
      </c>
      <c r="I40" s="352">
        <v>1945010.73</v>
      </c>
      <c r="J40" s="191">
        <v>22344.82</v>
      </c>
      <c r="K40" s="200">
        <f t="shared" si="16"/>
        <v>1967355.55</v>
      </c>
      <c r="L40" s="36">
        <f t="shared" si="17"/>
        <v>0.9815670698682073</v>
      </c>
      <c r="M40" s="20">
        <f t="shared" si="18"/>
        <v>35.774259780389556</v>
      </c>
      <c r="N40" s="37">
        <f t="shared" si="19"/>
        <v>0.27680614255706509</v>
      </c>
      <c r="O40" s="533">
        <v>4838.3999999999996</v>
      </c>
      <c r="P40" s="14">
        <f t="shared" si="22"/>
        <v>138.15724206349208</v>
      </c>
      <c r="Q40" s="15">
        <f t="shared" si="21"/>
        <v>37.75438482892006</v>
      </c>
    </row>
    <row r="41" spans="2:17" ht="15" customHeight="1" x14ac:dyDescent="0.2">
      <c r="B41" s="13" t="s">
        <v>53</v>
      </c>
      <c r="C41" s="296">
        <v>75744</v>
      </c>
      <c r="D41" s="352">
        <v>266</v>
      </c>
      <c r="E41" s="200">
        <f t="shared" si="14"/>
        <v>75478</v>
      </c>
      <c r="F41" s="352">
        <v>57904</v>
      </c>
      <c r="G41" s="191">
        <v>5460</v>
      </c>
      <c r="H41" s="202">
        <f t="shared" si="15"/>
        <v>63364</v>
      </c>
      <c r="I41" s="352">
        <v>2095621.79</v>
      </c>
      <c r="J41" s="191">
        <v>39532.410000000003</v>
      </c>
      <c r="K41" s="200">
        <f t="shared" si="16"/>
        <v>2135154.2000000002</v>
      </c>
      <c r="L41" s="36">
        <f t="shared" si="17"/>
        <v>0.76716394181085878</v>
      </c>
      <c r="M41" s="20">
        <f t="shared" si="18"/>
        <v>36.191313035368886</v>
      </c>
      <c r="N41" s="37">
        <f t="shared" si="19"/>
        <v>0.28003312484713555</v>
      </c>
      <c r="O41" s="533">
        <v>7257.3692307692309</v>
      </c>
      <c r="P41" s="14">
        <f t="shared" si="22"/>
        <v>125.24207754876211</v>
      </c>
      <c r="Q41" s="15">
        <f t="shared" si="21"/>
        <v>27.317209849408165</v>
      </c>
    </row>
    <row r="42" spans="2:17" ht="15" customHeight="1" x14ac:dyDescent="0.2">
      <c r="B42" s="13" t="s">
        <v>54</v>
      </c>
      <c r="C42" s="296">
        <v>40297</v>
      </c>
      <c r="D42" s="352">
        <v>200</v>
      </c>
      <c r="E42" s="200">
        <f t="shared" si="14"/>
        <v>40097</v>
      </c>
      <c r="F42" s="352">
        <v>28110</v>
      </c>
      <c r="G42" s="191">
        <v>11880</v>
      </c>
      <c r="H42" s="202">
        <f t="shared" si="15"/>
        <v>39990</v>
      </c>
      <c r="I42" s="352">
        <v>1052122.6499999999</v>
      </c>
      <c r="J42" s="191">
        <v>40965.550000000003</v>
      </c>
      <c r="K42" s="200">
        <f t="shared" si="16"/>
        <v>1093088.2</v>
      </c>
      <c r="L42" s="36">
        <f t="shared" si="17"/>
        <v>0.70104995386188496</v>
      </c>
      <c r="M42" s="20">
        <f t="shared" si="18"/>
        <v>37.428767342582709</v>
      </c>
      <c r="N42" s="37">
        <f t="shared" si="19"/>
        <v>0.28960802466262386</v>
      </c>
      <c r="O42" s="533">
        <v>4651.9846153846156</v>
      </c>
      <c r="P42" s="14">
        <f t="shared" si="22"/>
        <v>103.94789320686951</v>
      </c>
      <c r="Q42" s="15">
        <f t="shared" si="21"/>
        <v>21.817412817739882</v>
      </c>
    </row>
    <row r="43" spans="2:17" ht="15" customHeight="1" x14ac:dyDescent="0.2">
      <c r="B43" s="13" t="s">
        <v>55</v>
      </c>
      <c r="C43" s="296">
        <v>35016</v>
      </c>
      <c r="D43" s="352">
        <v>210</v>
      </c>
      <c r="E43" s="200">
        <f t="shared" si="14"/>
        <v>34806</v>
      </c>
      <c r="F43" s="352">
        <v>28760</v>
      </c>
      <c r="G43" s="191">
        <v>3320</v>
      </c>
      <c r="H43" s="202">
        <f t="shared" si="15"/>
        <v>32080</v>
      </c>
      <c r="I43" s="352">
        <v>1058570.9699999997</v>
      </c>
      <c r="J43" s="191">
        <v>11448.31</v>
      </c>
      <c r="K43" s="200">
        <f t="shared" si="16"/>
        <v>1070019.2799999998</v>
      </c>
      <c r="L43" s="36">
        <f t="shared" si="17"/>
        <v>0.82629431707176926</v>
      </c>
      <c r="M43" s="20">
        <f t="shared" si="18"/>
        <v>36.807057371349089</v>
      </c>
      <c r="N43" s="37">
        <f t="shared" si="19"/>
        <v>0.28479749496940632</v>
      </c>
      <c r="O43" s="533">
        <v>5086.5230769230766</v>
      </c>
      <c r="P43" s="14">
        <f t="shared" si="22"/>
        <v>82.608885017421613</v>
      </c>
      <c r="Q43" s="15">
        <f t="shared" si="21"/>
        <v>19.532457894358082</v>
      </c>
    </row>
    <row r="44" spans="2:17" ht="15" customHeight="1" x14ac:dyDescent="0.2">
      <c r="B44" s="13" t="s">
        <v>56</v>
      </c>
      <c r="C44" s="296">
        <v>20641</v>
      </c>
      <c r="D44" s="352">
        <v>154</v>
      </c>
      <c r="E44" s="200">
        <f t="shared" si="14"/>
        <v>20487</v>
      </c>
      <c r="F44" s="352">
        <v>16780</v>
      </c>
      <c r="G44" s="191">
        <v>1439</v>
      </c>
      <c r="H44" s="202">
        <f t="shared" si="15"/>
        <v>18219</v>
      </c>
      <c r="I44" s="352">
        <v>594404.08000000007</v>
      </c>
      <c r="J44" s="191">
        <v>4962.08</v>
      </c>
      <c r="K44" s="200">
        <f t="shared" si="16"/>
        <v>599366.16</v>
      </c>
      <c r="L44" s="36">
        <f t="shared" si="17"/>
        <v>0.81905598672328794</v>
      </c>
      <c r="M44" s="20">
        <f t="shared" si="18"/>
        <v>35.423365911799763</v>
      </c>
      <c r="N44" s="37">
        <f t="shared" si="19"/>
        <v>0.27409107371126579</v>
      </c>
      <c r="O44" s="533">
        <v>2481.2307692307691</v>
      </c>
      <c r="P44" s="14">
        <f t="shared" si="22"/>
        <v>99.82626488095238</v>
      </c>
      <c r="Q44" s="15">
        <f t="shared" si="21"/>
        <v>22.429075559443508</v>
      </c>
    </row>
    <row r="45" spans="2:17" ht="15" customHeight="1" x14ac:dyDescent="0.2">
      <c r="B45" s="13" t="s">
        <v>57</v>
      </c>
      <c r="C45" s="296">
        <v>13636</v>
      </c>
      <c r="D45" s="352">
        <v>185</v>
      </c>
      <c r="E45" s="200">
        <f t="shared" si="14"/>
        <v>13451</v>
      </c>
      <c r="F45" s="352">
        <v>7860</v>
      </c>
      <c r="G45" s="191">
        <v>2540</v>
      </c>
      <c r="H45" s="202">
        <f t="shared" si="15"/>
        <v>10400</v>
      </c>
      <c r="I45" s="352">
        <v>289066.17</v>
      </c>
      <c r="J45" s="191">
        <v>8758.6299999999992</v>
      </c>
      <c r="K45" s="200">
        <f t="shared" si="16"/>
        <v>297824.8</v>
      </c>
      <c r="L45" s="36">
        <f t="shared" si="17"/>
        <v>0.5843431715114118</v>
      </c>
      <c r="M45" s="20">
        <f t="shared" si="18"/>
        <v>36.776866412213735</v>
      </c>
      <c r="N45" s="37">
        <f t="shared" si="19"/>
        <v>0.28456389005375865</v>
      </c>
      <c r="O45" s="533">
        <v>2481.2307692307691</v>
      </c>
      <c r="P45" s="14">
        <f t="shared" si="22"/>
        <v>65.947916666666671</v>
      </c>
      <c r="Q45" s="15">
        <f t="shared" si="21"/>
        <v>11.144998480855426</v>
      </c>
    </row>
    <row r="46" spans="2:17" ht="15" customHeight="1" x14ac:dyDescent="0.2">
      <c r="B46" s="13" t="s">
        <v>58</v>
      </c>
      <c r="C46" s="296">
        <v>62285</v>
      </c>
      <c r="D46" s="352">
        <v>295</v>
      </c>
      <c r="E46" s="200">
        <f t="shared" si="14"/>
        <v>61990</v>
      </c>
      <c r="F46" s="352">
        <v>65091</v>
      </c>
      <c r="G46" s="191">
        <v>3260</v>
      </c>
      <c r="H46" s="202">
        <f t="shared" si="15"/>
        <v>68351</v>
      </c>
      <c r="I46" s="352">
        <v>2414084.9900000002</v>
      </c>
      <c r="J46" s="191">
        <v>11241.39</v>
      </c>
      <c r="K46" s="200">
        <f t="shared" si="16"/>
        <v>2425326.3800000004</v>
      </c>
      <c r="L46" s="36">
        <f t="shared" si="17"/>
        <v>1.0500241974512019</v>
      </c>
      <c r="M46" s="20">
        <f t="shared" si="18"/>
        <v>37.087846092393733</v>
      </c>
      <c r="N46" s="37">
        <f t="shared" si="19"/>
        <v>0.28697011973433595</v>
      </c>
      <c r="O46" s="533">
        <v>7948.5538461538463</v>
      </c>
      <c r="P46" s="14">
        <f t="shared" si="22"/>
        <v>94.032199374438704</v>
      </c>
      <c r="Q46" s="15">
        <f t="shared" si="21"/>
        <v>28.331422642431129</v>
      </c>
    </row>
    <row r="47" spans="2:17" ht="15" customHeight="1" x14ac:dyDescent="0.2">
      <c r="B47" s="13" t="s">
        <v>59</v>
      </c>
      <c r="C47" s="296">
        <v>23856</v>
      </c>
      <c r="D47" s="352">
        <v>131</v>
      </c>
      <c r="E47" s="200">
        <f t="shared" si="14"/>
        <v>23725</v>
      </c>
      <c r="F47" s="352">
        <v>13330</v>
      </c>
      <c r="G47" s="191">
        <v>9940</v>
      </c>
      <c r="H47" s="202">
        <f t="shared" si="15"/>
        <v>23270</v>
      </c>
      <c r="I47" s="352">
        <v>503338.36</v>
      </c>
      <c r="J47" s="191">
        <v>34275.89</v>
      </c>
      <c r="K47" s="200">
        <f t="shared" si="16"/>
        <v>537614.25</v>
      </c>
      <c r="L47" s="36">
        <f t="shared" si="17"/>
        <v>0.56185458377239195</v>
      </c>
      <c r="M47" s="20">
        <f t="shared" si="18"/>
        <v>37.759816954238559</v>
      </c>
      <c r="N47" s="37">
        <f t="shared" si="19"/>
        <v>0.29216954701305148</v>
      </c>
      <c r="O47" s="533">
        <v>2481.2307692307691</v>
      </c>
      <c r="P47" s="14">
        <f t="shared" si="22"/>
        <v>115.375</v>
      </c>
      <c r="Q47" s="15">
        <f t="shared" si="21"/>
        <v>20.118237297687198</v>
      </c>
    </row>
    <row r="48" spans="2:17" ht="15" customHeight="1" x14ac:dyDescent="0.2">
      <c r="B48" s="13" t="s">
        <v>60</v>
      </c>
      <c r="C48" s="296">
        <v>18242</v>
      </c>
      <c r="D48" s="352">
        <v>209</v>
      </c>
      <c r="E48" s="200">
        <f t="shared" si="14"/>
        <v>18033</v>
      </c>
      <c r="F48" s="352">
        <v>14940</v>
      </c>
      <c r="G48" s="191">
        <v>2240</v>
      </c>
      <c r="H48" s="202">
        <f t="shared" si="15"/>
        <v>17180</v>
      </c>
      <c r="I48" s="352">
        <v>538212.93999999994</v>
      </c>
      <c r="J48" s="191">
        <v>7724.16</v>
      </c>
      <c r="K48" s="200">
        <f t="shared" si="16"/>
        <v>545937.1</v>
      </c>
      <c r="L48" s="36">
        <f t="shared" si="17"/>
        <v>0.82848111795042423</v>
      </c>
      <c r="M48" s="20">
        <f t="shared" si="18"/>
        <v>36.024962516733595</v>
      </c>
      <c r="N48" s="37">
        <f t="shared" si="19"/>
        <v>0.27874597465427414</v>
      </c>
      <c r="O48" s="533">
        <v>2605.292307692308</v>
      </c>
      <c r="P48" s="14">
        <f t="shared" si="22"/>
        <v>84.022817460317441</v>
      </c>
      <c r="Q48" s="15">
        <f t="shared" si="21"/>
        <v>19.456847017321579</v>
      </c>
    </row>
    <row r="49" spans="1:17" ht="15" customHeight="1" x14ac:dyDescent="0.2">
      <c r="B49" s="13" t="s">
        <v>61</v>
      </c>
      <c r="C49" s="296">
        <v>22449</v>
      </c>
      <c r="D49" s="352">
        <v>146</v>
      </c>
      <c r="E49" s="200">
        <f t="shared" si="14"/>
        <v>22303</v>
      </c>
      <c r="F49" s="352">
        <v>11300</v>
      </c>
      <c r="G49" s="191">
        <v>440</v>
      </c>
      <c r="H49" s="202">
        <f t="shared" si="15"/>
        <v>11740</v>
      </c>
      <c r="I49" s="352">
        <v>411974.07999999996</v>
      </c>
      <c r="J49" s="191">
        <v>1517.25</v>
      </c>
      <c r="K49" s="200">
        <f t="shared" si="16"/>
        <v>413491.32999999996</v>
      </c>
      <c r="L49" s="36">
        <f t="shared" si="17"/>
        <v>0.50665829709007759</v>
      </c>
      <c r="M49" s="20">
        <f t="shared" si="18"/>
        <v>36.457883185840707</v>
      </c>
      <c r="N49" s="37">
        <f t="shared" si="19"/>
        <v>0.28209573230640739</v>
      </c>
      <c r="O49" s="533">
        <v>2481.2307692307695</v>
      </c>
      <c r="P49" s="14">
        <f t="shared" si="22"/>
        <v>108.5703125</v>
      </c>
      <c r="Q49" s="15">
        <f t="shared" si="21"/>
        <v>15.473393232185124</v>
      </c>
    </row>
    <row r="50" spans="1:17" ht="15" customHeight="1" x14ac:dyDescent="0.2">
      <c r="B50" s="13" t="s">
        <v>62</v>
      </c>
      <c r="C50" s="296">
        <v>34482</v>
      </c>
      <c r="D50" s="352">
        <v>235</v>
      </c>
      <c r="E50" s="200">
        <f t="shared" si="14"/>
        <v>34247</v>
      </c>
      <c r="F50" s="352">
        <v>31340</v>
      </c>
      <c r="G50" s="191">
        <v>1760</v>
      </c>
      <c r="H50" s="202">
        <f t="shared" si="15"/>
        <v>33100</v>
      </c>
      <c r="I50" s="352">
        <v>1144446.25</v>
      </c>
      <c r="J50" s="191">
        <v>6068.99</v>
      </c>
      <c r="K50" s="200">
        <f t="shared" si="16"/>
        <v>1150515.24</v>
      </c>
      <c r="L50" s="36">
        <f t="shared" si="17"/>
        <v>0.91511665255350838</v>
      </c>
      <c r="M50" s="20">
        <f t="shared" si="18"/>
        <v>36.517110721123167</v>
      </c>
      <c r="N50" s="37">
        <f t="shared" si="19"/>
        <v>0.28255401000873703</v>
      </c>
      <c r="O50" s="533">
        <v>2605.292307692308</v>
      </c>
      <c r="P50" s="14">
        <f t="shared" si="22"/>
        <v>158.82440476190473</v>
      </c>
      <c r="Q50" s="15">
        <f t="shared" si="21"/>
        <v>41.003622973740057</v>
      </c>
    </row>
    <row r="51" spans="1:17" ht="15" customHeight="1" x14ac:dyDescent="0.2">
      <c r="B51" s="13" t="s">
        <v>63</v>
      </c>
      <c r="C51" s="296">
        <v>17709</v>
      </c>
      <c r="D51" s="352">
        <v>148</v>
      </c>
      <c r="E51" s="200">
        <f t="shared" si="14"/>
        <v>17561</v>
      </c>
      <c r="F51" s="352">
        <v>16010</v>
      </c>
      <c r="G51" s="191">
        <v>4560</v>
      </c>
      <c r="H51" s="202">
        <f t="shared" si="15"/>
        <v>20570</v>
      </c>
      <c r="I51" s="352">
        <v>570344.54</v>
      </c>
      <c r="J51" s="191">
        <v>15724.17</v>
      </c>
      <c r="K51" s="200">
        <f t="shared" si="16"/>
        <v>586068.71000000008</v>
      </c>
      <c r="L51" s="36">
        <f t="shared" si="17"/>
        <v>0.91167928933432041</v>
      </c>
      <c r="M51" s="20">
        <f t="shared" si="18"/>
        <v>35.624268582136168</v>
      </c>
      <c r="N51" s="37">
        <f t="shared" si="19"/>
        <v>0.27564557388951177</v>
      </c>
      <c r="O51" s="533">
        <v>2481.2307692307691</v>
      </c>
      <c r="P51" s="14">
        <f t="shared" si="22"/>
        <v>85.646205357142861</v>
      </c>
      <c r="Q51" s="15">
        <f t="shared" si="21"/>
        <v>21.931467368153697</v>
      </c>
    </row>
    <row r="52" spans="1:17" ht="15" customHeight="1" x14ac:dyDescent="0.2">
      <c r="B52" s="13" t="s">
        <v>65</v>
      </c>
      <c r="C52" s="296">
        <v>18213</v>
      </c>
      <c r="D52" s="352">
        <v>131</v>
      </c>
      <c r="E52" s="200">
        <f t="shared" si="14"/>
        <v>18082</v>
      </c>
      <c r="F52" s="352">
        <v>15256</v>
      </c>
      <c r="G52" s="353">
        <v>470</v>
      </c>
      <c r="H52" s="202">
        <f t="shared" si="15"/>
        <v>15726</v>
      </c>
      <c r="I52" s="352">
        <v>573216.65999999992</v>
      </c>
      <c r="J52" s="191">
        <v>11006.83</v>
      </c>
      <c r="K52" s="200">
        <f t="shared" si="16"/>
        <v>584223.48999999987</v>
      </c>
      <c r="L52" s="36">
        <f t="shared" si="17"/>
        <v>0.84371197876341109</v>
      </c>
      <c r="M52" s="20">
        <f t="shared" si="18"/>
        <v>37.573194808599887</v>
      </c>
      <c r="N52" s="37">
        <f t="shared" si="19"/>
        <v>0.29072554351536672</v>
      </c>
      <c r="O52" s="533">
        <v>2740</v>
      </c>
      <c r="P52" s="14">
        <f t="shared" si="22"/>
        <v>79.764963503649639</v>
      </c>
      <c r="Q52" s="15">
        <f t="shared" si="21"/>
        <v>19.797701180118526</v>
      </c>
    </row>
    <row r="53" spans="1:17" ht="15" customHeight="1" x14ac:dyDescent="0.2">
      <c r="B53" s="13" t="s">
        <v>66</v>
      </c>
      <c r="C53" s="296"/>
      <c r="D53" s="352"/>
      <c r="E53" s="200"/>
      <c r="F53" s="352"/>
      <c r="G53" s="191"/>
      <c r="H53" s="202"/>
      <c r="I53" s="352"/>
      <c r="J53" s="191"/>
      <c r="K53" s="200"/>
      <c r="L53" s="36"/>
      <c r="M53" s="20"/>
      <c r="N53" s="37"/>
      <c r="O53" s="533"/>
      <c r="P53" s="14"/>
      <c r="Q53" s="15"/>
    </row>
    <row r="54" spans="1:17" ht="15.75" customHeight="1" thickBot="1" x14ac:dyDescent="0.25">
      <c r="B54" s="490" t="s">
        <v>35</v>
      </c>
      <c r="C54" s="491">
        <f>SUM(C26:C53)</f>
        <v>873944</v>
      </c>
      <c r="D54" s="491">
        <f t="shared" ref="D54:K54" si="23">SUM(D26:D53)</f>
        <v>5318</v>
      </c>
      <c r="E54" s="491">
        <f t="shared" si="23"/>
        <v>868626</v>
      </c>
      <c r="F54" s="491">
        <f t="shared" si="23"/>
        <v>734547</v>
      </c>
      <c r="G54" s="491">
        <f t="shared" si="23"/>
        <v>103029</v>
      </c>
      <c r="H54" s="491">
        <f t="shared" si="23"/>
        <v>837576</v>
      </c>
      <c r="I54" s="491">
        <f t="shared" si="23"/>
        <v>27140747.879999995</v>
      </c>
      <c r="J54" s="491">
        <f t="shared" si="23"/>
        <v>394129.18</v>
      </c>
      <c r="K54" s="491">
        <f t="shared" si="23"/>
        <v>27534877.059999995</v>
      </c>
      <c r="L54" s="484">
        <f t="shared" ref="L54" si="24">F54/E54</f>
        <v>0.84564242838690074</v>
      </c>
      <c r="M54" s="483">
        <f t="shared" ref="M54" si="25">I54/F54</f>
        <v>36.94896021629657</v>
      </c>
      <c r="N54" s="492">
        <f t="shared" ref="N54" si="26">M54/129.2394</f>
        <v>0.28589547936849424</v>
      </c>
      <c r="O54" s="575">
        <f>SUM(O26:O53)</f>
        <v>104460.79999999999</v>
      </c>
      <c r="P54" s="493">
        <f>(C54/O54)*12</f>
        <v>100.39486582526652</v>
      </c>
      <c r="Q54" s="494">
        <f t="shared" ref="Q54" si="27">(K54*12/O54)/129.2394</f>
        <v>24.474628432242071</v>
      </c>
    </row>
    <row r="55" spans="1:17" ht="17.25" customHeight="1" thickTop="1" thickBot="1" x14ac:dyDescent="0.25">
      <c r="B55" s="26" t="s">
        <v>36</v>
      </c>
      <c r="C55" s="42"/>
      <c r="D55" s="28">
        <f>D54/C54</f>
        <v>6.0850580815246741E-3</v>
      </c>
      <c r="E55" s="28">
        <f>E54/C54</f>
        <v>0.99391494191847529</v>
      </c>
      <c r="F55" s="30"/>
      <c r="G55" s="30"/>
      <c r="H55" s="30"/>
      <c r="I55" s="30"/>
      <c r="J55" s="30"/>
      <c r="K55" s="30"/>
      <c r="L55" s="32"/>
      <c r="M55" s="30"/>
      <c r="N55" s="43"/>
      <c r="O55" s="534"/>
      <c r="P55" s="34"/>
      <c r="Q55" s="34"/>
    </row>
    <row r="56" spans="1:17" ht="18.75" customHeight="1" thickTop="1" x14ac:dyDescent="0.2">
      <c r="I56" s="44"/>
      <c r="M56" s="45"/>
      <c r="N56" s="46"/>
      <c r="O56" s="535"/>
    </row>
    <row r="57" spans="1:17" s="48" customFormat="1" ht="15" customHeight="1" thickBot="1" x14ac:dyDescent="0.25">
      <c r="B57" s="49" t="s">
        <v>68</v>
      </c>
      <c r="C57" s="52">
        <f t="shared" ref="C57:K57" si="28">C23+C54</f>
        <v>1931952</v>
      </c>
      <c r="D57" s="334">
        <f t="shared" si="28"/>
        <v>10401</v>
      </c>
      <c r="E57" s="23">
        <f t="shared" si="28"/>
        <v>1921551</v>
      </c>
      <c r="F57" s="52">
        <f t="shared" si="28"/>
        <v>1622733</v>
      </c>
      <c r="G57" s="52">
        <f t="shared" si="28"/>
        <v>165889</v>
      </c>
      <c r="H57" s="52">
        <f t="shared" si="28"/>
        <v>1788622</v>
      </c>
      <c r="I57" s="52">
        <f t="shared" si="28"/>
        <v>42069032.879999995</v>
      </c>
      <c r="J57" s="52">
        <f t="shared" si="28"/>
        <v>605416.30999999994</v>
      </c>
      <c r="K57" s="52">
        <f t="shared" si="28"/>
        <v>42674449.189999998</v>
      </c>
      <c r="L57" s="471">
        <f>F57/(E57)</f>
        <v>0.84449124691460176</v>
      </c>
      <c r="M57" s="53">
        <f>I57/F57</f>
        <v>25.924802712461013</v>
      </c>
      <c r="N57" s="212">
        <f>M57/129.2394</f>
        <v>0.20059519552443772</v>
      </c>
      <c r="O57" s="536">
        <f>O54+O23</f>
        <v>194288.78484615381</v>
      </c>
      <c r="P57" s="477">
        <f>(C57/O57)*12</f>
        <v>119.32456121107364</v>
      </c>
      <c r="Q57" s="473">
        <f>(K57*12/O57)/129.2394</f>
        <v>20.394192071836379</v>
      </c>
    </row>
    <row r="58" spans="1:17" ht="16.5" customHeight="1" thickTop="1" thickBot="1" x14ac:dyDescent="0.25">
      <c r="B58" s="26" t="s">
        <v>36</v>
      </c>
      <c r="C58" s="546"/>
      <c r="D58" s="547">
        <f>D57/C57</f>
        <v>5.3836741285497773E-3</v>
      </c>
      <c r="E58" s="547">
        <f>E57/C57</f>
        <v>0.99461632587145021</v>
      </c>
      <c r="G58" s="56"/>
      <c r="N58" s="46"/>
    </row>
    <row r="59" spans="1:17" ht="16.5" customHeight="1" thickTop="1" x14ac:dyDescent="0.2">
      <c r="F59" s="602" t="s">
        <v>175</v>
      </c>
      <c r="G59" s="153">
        <v>307</v>
      </c>
      <c r="H59" s="45"/>
      <c r="O59" s="538"/>
    </row>
    <row r="60" spans="1:17" s="16" customFormat="1" ht="15" customHeight="1" x14ac:dyDescent="0.25">
      <c r="B60" s="48" t="s">
        <v>69</v>
      </c>
      <c r="C60" s="47"/>
      <c r="D60" s="47"/>
      <c r="E60" s="47"/>
      <c r="F60" s="47"/>
      <c r="G60" s="47"/>
      <c r="H60" s="47"/>
      <c r="I60" s="47"/>
      <c r="J60" s="47"/>
      <c r="K60" s="47"/>
      <c r="L60" s="38"/>
      <c r="M60" s="60"/>
      <c r="N60"/>
      <c r="O60" s="539"/>
      <c r="P60"/>
      <c r="Q60" s="61"/>
    </row>
    <row r="61" spans="1:17" ht="16.5" customHeight="1" x14ac:dyDescent="0.25">
      <c r="A61" s="16">
        <v>1</v>
      </c>
      <c r="B61" s="16" t="s">
        <v>70</v>
      </c>
      <c r="E61" s="16"/>
      <c r="N61"/>
      <c r="O61" s="540"/>
      <c r="P61"/>
      <c r="Q61" s="62"/>
    </row>
    <row r="62" spans="1:17" ht="16.5" customHeight="1" x14ac:dyDescent="0.25">
      <c r="A62" s="16">
        <v>2</v>
      </c>
      <c r="B62" s="16" t="s">
        <v>152</v>
      </c>
      <c r="C62" s="47"/>
      <c r="E62" s="16"/>
      <c r="N62"/>
      <c r="O62" s="540"/>
      <c r="P62"/>
    </row>
    <row r="63" spans="1:17" ht="16.5" customHeight="1" x14ac:dyDescent="0.2">
      <c r="A63" s="16">
        <v>3</v>
      </c>
      <c r="B63" s="16" t="s">
        <v>153</v>
      </c>
      <c r="C63" s="47"/>
      <c r="E63" s="16"/>
    </row>
    <row r="64" spans="1:17" ht="16.5" customHeight="1" x14ac:dyDescent="0.2">
      <c r="A64" s="16">
        <v>4</v>
      </c>
      <c r="B64" s="16" t="s">
        <v>154</v>
      </c>
      <c r="C64" s="47"/>
      <c r="E64" s="16"/>
    </row>
    <row r="65" spans="1:17" x14ac:dyDescent="0.2">
      <c r="A65" s="16">
        <v>5</v>
      </c>
      <c r="B65" s="16" t="s">
        <v>155</v>
      </c>
      <c r="C65" s="47"/>
      <c r="E65" s="16"/>
    </row>
    <row r="66" spans="1:17" x14ac:dyDescent="0.2">
      <c r="A66" s="16">
        <v>6</v>
      </c>
      <c r="B66" s="16" t="s">
        <v>135</v>
      </c>
      <c r="C66" s="47"/>
      <c r="E66" s="16"/>
      <c r="F66" s="1"/>
      <c r="I66" s="1"/>
      <c r="J66" s="1"/>
      <c r="K66" s="1"/>
      <c r="O66" s="1"/>
      <c r="P66" s="1"/>
      <c r="Q66" s="1"/>
    </row>
    <row r="67" spans="1:17" x14ac:dyDescent="0.2">
      <c r="A67" s="1">
        <v>7</v>
      </c>
      <c r="B67" s="16" t="s">
        <v>156</v>
      </c>
      <c r="F67" s="1"/>
      <c r="I67" s="1"/>
      <c r="J67" s="1"/>
      <c r="K67" s="1"/>
      <c r="O67" s="1"/>
      <c r="P67" s="1"/>
      <c r="Q67" s="1"/>
    </row>
    <row r="68" spans="1:17" x14ac:dyDescent="0.2">
      <c r="F68" s="1"/>
      <c r="I68" s="1"/>
      <c r="J68" s="1"/>
      <c r="K68" s="1"/>
      <c r="O68" s="1"/>
      <c r="P68" s="1"/>
      <c r="Q68" s="1"/>
    </row>
    <row r="69" spans="1:17" x14ac:dyDescent="0.2">
      <c r="B69" s="216" t="s">
        <v>108</v>
      </c>
      <c r="C69" s="217" t="s">
        <v>93</v>
      </c>
      <c r="F69" s="1"/>
      <c r="I69" s="1"/>
      <c r="J69" s="1"/>
      <c r="K69" s="1"/>
      <c r="O69" s="1"/>
      <c r="P69" s="1"/>
      <c r="Q69" s="1"/>
    </row>
    <row r="70" spans="1:17" x14ac:dyDescent="0.2">
      <c r="B70" s="10" t="s">
        <v>103</v>
      </c>
      <c r="C70" s="14">
        <f>O23</f>
        <v>89827.984846153835</v>
      </c>
      <c r="F70" s="1"/>
      <c r="I70" s="1"/>
      <c r="J70" s="1"/>
      <c r="K70" s="1"/>
      <c r="O70" s="1"/>
      <c r="P70" s="1"/>
      <c r="Q70" s="1"/>
    </row>
    <row r="71" spans="1:17" x14ac:dyDescent="0.2">
      <c r="B71" s="10" t="s">
        <v>106</v>
      </c>
      <c r="C71" s="14">
        <f>O54</f>
        <v>104460.79999999999</v>
      </c>
      <c r="F71" s="1"/>
      <c r="I71" s="1"/>
      <c r="J71" s="1"/>
      <c r="K71" s="1"/>
      <c r="O71" s="1"/>
      <c r="P71" s="1"/>
      <c r="Q71" s="1"/>
    </row>
    <row r="72" spans="1:17" x14ac:dyDescent="0.2">
      <c r="B72" s="188" t="s">
        <v>67</v>
      </c>
      <c r="C72" s="213">
        <v>1479.876923076923</v>
      </c>
      <c r="F72" s="1"/>
      <c r="I72" s="1"/>
      <c r="J72" s="1"/>
      <c r="K72" s="1"/>
      <c r="O72" s="1"/>
      <c r="P72" s="1"/>
      <c r="Q72" s="1"/>
    </row>
    <row r="73" spans="1:17" ht="12.75" thickBot="1" x14ac:dyDescent="0.25">
      <c r="B73" s="189" t="s">
        <v>101</v>
      </c>
      <c r="C73" s="215">
        <f>SUM(C70:C72)</f>
        <v>195768.66176923073</v>
      </c>
      <c r="F73" s="1"/>
      <c r="I73" s="1"/>
      <c r="J73" s="1"/>
      <c r="K73" s="1"/>
      <c r="O73" s="1"/>
      <c r="P73" s="1"/>
      <c r="Q73" s="1"/>
    </row>
    <row r="74" spans="1:17" ht="12.75" thickTop="1" x14ac:dyDescent="0.2">
      <c r="F74" s="1"/>
      <c r="I74" s="1"/>
      <c r="J74" s="1"/>
      <c r="K74" s="1"/>
      <c r="O74" s="1"/>
      <c r="P74" s="1"/>
      <c r="Q74" s="1"/>
    </row>
    <row r="75" spans="1:17" x14ac:dyDescent="0.2">
      <c r="F75" s="1"/>
      <c r="I75" s="1"/>
      <c r="J75" s="1"/>
      <c r="K75" s="1"/>
      <c r="O75" s="1"/>
      <c r="P75" s="1"/>
      <c r="Q75" s="1"/>
    </row>
    <row r="76" spans="1:17" x14ac:dyDescent="0.2">
      <c r="F76" s="1"/>
      <c r="I76" s="1"/>
      <c r="J76" s="1"/>
      <c r="K76" s="1"/>
      <c r="O76" s="1"/>
      <c r="P76" s="1"/>
      <c r="Q76" s="1"/>
    </row>
    <row r="77" spans="1:17" x14ac:dyDescent="0.2">
      <c r="F77" s="1"/>
      <c r="I77" s="1"/>
      <c r="J77" s="1"/>
      <c r="K77" s="1"/>
      <c r="O77" s="1"/>
      <c r="P77" s="1"/>
      <c r="Q77" s="1"/>
    </row>
    <row r="78" spans="1:17" x14ac:dyDescent="0.2">
      <c r="F78" s="1"/>
      <c r="I78" s="1"/>
      <c r="J78" s="1"/>
      <c r="K78" s="1"/>
      <c r="O78" s="1"/>
      <c r="P78" s="1"/>
      <c r="Q78" s="1"/>
    </row>
    <row r="79" spans="1:17" x14ac:dyDescent="0.2">
      <c r="F79" s="1"/>
      <c r="I79" s="1"/>
      <c r="J79" s="1"/>
      <c r="K79" s="1"/>
      <c r="O79" s="1"/>
      <c r="P79" s="1"/>
      <c r="Q79" s="1"/>
    </row>
    <row r="80" spans="1:17" x14ac:dyDescent="0.2">
      <c r="F80" s="1"/>
      <c r="I80" s="1"/>
      <c r="J80" s="1"/>
      <c r="K80" s="1"/>
      <c r="O80" s="1"/>
      <c r="P80" s="1"/>
      <c r="Q80" s="1"/>
    </row>
    <row r="81" spans="3:17" x14ac:dyDescent="0.2">
      <c r="F81" s="1"/>
      <c r="I81" s="1"/>
      <c r="J81" s="1"/>
      <c r="K81" s="1"/>
      <c r="O81" s="1"/>
      <c r="P81" s="1"/>
      <c r="Q81" s="1"/>
    </row>
    <row r="82" spans="3:17" x14ac:dyDescent="0.2">
      <c r="C82" s="1"/>
      <c r="F82" s="1"/>
      <c r="I82" s="1"/>
      <c r="J82" s="1"/>
      <c r="K82" s="1"/>
      <c r="O82" s="1"/>
      <c r="P82" s="1"/>
      <c r="Q82" s="1"/>
    </row>
    <row r="83" spans="3:17" x14ac:dyDescent="0.2">
      <c r="C83" s="1"/>
      <c r="F83" s="1"/>
      <c r="I83" s="1"/>
      <c r="J83" s="1"/>
      <c r="K83" s="1"/>
      <c r="O83" s="1"/>
      <c r="P83" s="1"/>
      <c r="Q83" s="1"/>
    </row>
    <row r="84" spans="3:17" x14ac:dyDescent="0.2">
      <c r="C84" s="1"/>
      <c r="F84" s="1"/>
      <c r="I84" s="1"/>
      <c r="J84" s="1"/>
      <c r="K84" s="1"/>
      <c r="O84" s="1"/>
      <c r="P84" s="1"/>
      <c r="Q84" s="1"/>
    </row>
    <row r="85" spans="3:17" x14ac:dyDescent="0.2">
      <c r="C85" s="1"/>
      <c r="F85" s="1"/>
      <c r="I85" s="1"/>
      <c r="J85" s="1"/>
      <c r="K85" s="1"/>
      <c r="O85" s="1"/>
      <c r="P85" s="1"/>
      <c r="Q85" s="1"/>
    </row>
    <row r="86" spans="3:17" x14ac:dyDescent="0.2">
      <c r="C86" s="1"/>
      <c r="F86" s="1"/>
      <c r="I86" s="1"/>
      <c r="J86" s="1"/>
      <c r="K86" s="1"/>
      <c r="O86" s="1"/>
      <c r="P86" s="1"/>
      <c r="Q86" s="1"/>
    </row>
    <row r="87" spans="3:17" x14ac:dyDescent="0.2">
      <c r="C87" s="1"/>
      <c r="F87" s="1"/>
      <c r="I87" s="1"/>
      <c r="J87" s="1"/>
      <c r="K87" s="1"/>
      <c r="O87" s="1"/>
      <c r="P87" s="1"/>
      <c r="Q87" s="1"/>
    </row>
    <row r="88" spans="3:17" x14ac:dyDescent="0.2">
      <c r="C88" s="1"/>
      <c r="F88" s="1"/>
      <c r="I88" s="1"/>
      <c r="J88" s="1"/>
      <c r="K88" s="1"/>
      <c r="O88" s="1"/>
      <c r="P88" s="1"/>
      <c r="Q88" s="1"/>
    </row>
    <row r="89" spans="3:17" x14ac:dyDescent="0.2">
      <c r="C89" s="1"/>
      <c r="F89" s="1"/>
      <c r="I89" s="1"/>
      <c r="J89" s="1"/>
      <c r="K89" s="1"/>
      <c r="O89" s="1"/>
      <c r="P89" s="1"/>
      <c r="Q89" s="1"/>
    </row>
    <row r="90" spans="3:17" x14ac:dyDescent="0.2">
      <c r="C90" s="1"/>
      <c r="F90" s="1"/>
      <c r="I90" s="1"/>
      <c r="J90" s="1"/>
      <c r="K90" s="1"/>
      <c r="O90" s="1"/>
      <c r="P90" s="1"/>
      <c r="Q90" s="1"/>
    </row>
    <row r="91" spans="3:17" x14ac:dyDescent="0.2">
      <c r="C91" s="1"/>
      <c r="F91" s="1"/>
      <c r="I91" s="1"/>
      <c r="J91" s="1"/>
      <c r="K91" s="1"/>
      <c r="O91" s="1"/>
      <c r="P91" s="1"/>
      <c r="Q91" s="1"/>
    </row>
    <row r="92" spans="3:17" x14ac:dyDescent="0.2">
      <c r="C92" s="1"/>
      <c r="F92" s="1"/>
      <c r="I92" s="1"/>
      <c r="J92" s="1"/>
      <c r="K92" s="1"/>
      <c r="O92" s="1"/>
      <c r="P92" s="1"/>
      <c r="Q92" s="1"/>
    </row>
    <row r="93" spans="3:17" x14ac:dyDescent="0.2">
      <c r="C93" s="1"/>
      <c r="F93" s="1"/>
      <c r="I93" s="1"/>
      <c r="J93" s="1"/>
      <c r="K93" s="1"/>
      <c r="O93" s="1"/>
      <c r="P93" s="1"/>
      <c r="Q93" s="1"/>
    </row>
    <row r="94" spans="3:17" x14ac:dyDescent="0.2">
      <c r="C94" s="1"/>
      <c r="F94" s="1"/>
      <c r="I94" s="1"/>
      <c r="J94" s="1"/>
      <c r="K94" s="1"/>
      <c r="O94" s="1"/>
      <c r="P94" s="1"/>
      <c r="Q94" s="1"/>
    </row>
    <row r="95" spans="3:17" x14ac:dyDescent="0.2">
      <c r="C95" s="1"/>
      <c r="F95" s="1"/>
      <c r="I95" s="1"/>
      <c r="J95" s="1"/>
      <c r="K95" s="1"/>
      <c r="O95" s="1"/>
      <c r="P95" s="1"/>
      <c r="Q95" s="1"/>
    </row>
    <row r="96" spans="3:17" x14ac:dyDescent="0.2">
      <c r="C96" s="1"/>
      <c r="F96" s="1"/>
      <c r="I96" s="1"/>
      <c r="J96" s="1"/>
      <c r="K96" s="1"/>
      <c r="O96" s="1"/>
      <c r="P96" s="1"/>
      <c r="Q96" s="1"/>
    </row>
    <row r="97" spans="3:17" x14ac:dyDescent="0.2">
      <c r="C97" s="1"/>
      <c r="F97" s="1"/>
      <c r="I97" s="1"/>
      <c r="J97" s="1"/>
      <c r="K97" s="1"/>
      <c r="O97" s="1"/>
      <c r="P97" s="1"/>
      <c r="Q97" s="1"/>
    </row>
    <row r="98" spans="3:17" x14ac:dyDescent="0.2">
      <c r="C98" s="1"/>
      <c r="F98" s="1"/>
      <c r="I98" s="1"/>
      <c r="J98" s="1"/>
      <c r="K98" s="1"/>
      <c r="O98" s="1"/>
      <c r="P98" s="1"/>
      <c r="Q98" s="1"/>
    </row>
    <row r="99" spans="3:17" x14ac:dyDescent="0.2">
      <c r="C99" s="1"/>
      <c r="F99" s="1"/>
      <c r="I99" s="1"/>
      <c r="J99" s="1"/>
      <c r="K99" s="1"/>
      <c r="O99" s="1"/>
      <c r="P99" s="1"/>
      <c r="Q99" s="1"/>
    </row>
    <row r="100" spans="3:17" x14ac:dyDescent="0.2">
      <c r="C100" s="1"/>
      <c r="F100" s="1"/>
      <c r="I100" s="1"/>
      <c r="J100" s="1"/>
      <c r="K100" s="1"/>
      <c r="O100" s="1"/>
      <c r="P100" s="1"/>
      <c r="Q100" s="1"/>
    </row>
    <row r="101" spans="3:17" x14ac:dyDescent="0.2">
      <c r="C101" s="1"/>
      <c r="F101" s="1"/>
      <c r="I101" s="1"/>
      <c r="J101" s="1"/>
      <c r="K101" s="1"/>
      <c r="O101" s="1"/>
      <c r="P101" s="1"/>
      <c r="Q101" s="1"/>
    </row>
    <row r="102" spans="3:17" x14ac:dyDescent="0.2">
      <c r="C102" s="1"/>
      <c r="F102" s="1"/>
      <c r="I102" s="1"/>
      <c r="J102" s="1"/>
      <c r="K102" s="1"/>
      <c r="O102" s="1"/>
      <c r="P102" s="1"/>
      <c r="Q102" s="1"/>
    </row>
    <row r="103" spans="3:17" x14ac:dyDescent="0.2">
      <c r="C103" s="1"/>
      <c r="F103" s="1"/>
      <c r="I103" s="1"/>
      <c r="J103" s="1"/>
      <c r="K103" s="1"/>
      <c r="O103" s="1"/>
      <c r="P103" s="1"/>
      <c r="Q103" s="1"/>
    </row>
    <row r="104" spans="3:17" x14ac:dyDescent="0.2">
      <c r="C104" s="1"/>
      <c r="F104" s="1"/>
      <c r="I104" s="1"/>
      <c r="J104" s="1"/>
      <c r="K104" s="1"/>
      <c r="O104" s="1"/>
      <c r="P104" s="1"/>
      <c r="Q104" s="1"/>
    </row>
    <row r="105" spans="3:17" x14ac:dyDescent="0.2">
      <c r="C105" s="1"/>
      <c r="F105" s="1"/>
      <c r="I105" s="1"/>
      <c r="J105" s="1"/>
      <c r="K105" s="1"/>
      <c r="O105" s="1"/>
      <c r="P105" s="1"/>
      <c r="Q105" s="1"/>
    </row>
    <row r="106" spans="3:17" x14ac:dyDescent="0.2">
      <c r="C106" s="1"/>
      <c r="F106" s="1"/>
      <c r="I106" s="1"/>
      <c r="J106" s="1"/>
      <c r="K106" s="1"/>
      <c r="O106" s="1"/>
      <c r="P106" s="1"/>
      <c r="Q106" s="1"/>
    </row>
    <row r="107" spans="3:17" x14ac:dyDescent="0.2">
      <c r="C107" s="1"/>
      <c r="F107" s="1"/>
      <c r="I107" s="1"/>
      <c r="J107" s="1"/>
      <c r="K107" s="1"/>
      <c r="O107" s="1"/>
      <c r="P107" s="1"/>
      <c r="Q107" s="1"/>
    </row>
    <row r="108" spans="3:17" x14ac:dyDescent="0.2">
      <c r="C108" s="1"/>
      <c r="F108" s="1"/>
      <c r="I108" s="1"/>
      <c r="J108" s="1"/>
      <c r="K108" s="1"/>
      <c r="O108" s="1"/>
      <c r="P108" s="1"/>
      <c r="Q108" s="1"/>
    </row>
    <row r="109" spans="3:17" x14ac:dyDescent="0.2">
      <c r="C109" s="1"/>
      <c r="F109" s="1"/>
      <c r="I109" s="1"/>
      <c r="J109" s="1"/>
      <c r="K109" s="1"/>
      <c r="O109" s="1"/>
      <c r="P109" s="1"/>
      <c r="Q109" s="1"/>
    </row>
    <row r="110" spans="3:17" x14ac:dyDescent="0.2">
      <c r="C110" s="1"/>
      <c r="F110" s="1"/>
      <c r="I110" s="1"/>
      <c r="J110" s="1"/>
      <c r="K110" s="1"/>
      <c r="O110" s="1"/>
      <c r="P110" s="1"/>
      <c r="Q110" s="1"/>
    </row>
    <row r="111" spans="3:17" x14ac:dyDescent="0.2">
      <c r="C111" s="1"/>
      <c r="F111" s="1"/>
      <c r="I111" s="1"/>
      <c r="J111" s="1"/>
      <c r="K111" s="1"/>
      <c r="O111" s="1"/>
      <c r="P111" s="1"/>
      <c r="Q111" s="1"/>
    </row>
    <row r="112" spans="3:17" x14ac:dyDescent="0.2">
      <c r="C112" s="1"/>
      <c r="F112" s="1"/>
      <c r="I112" s="1"/>
      <c r="J112" s="1"/>
      <c r="K112" s="1"/>
      <c r="O112" s="1"/>
      <c r="P112" s="1"/>
      <c r="Q112" s="1"/>
    </row>
    <row r="113" spans="3:17" x14ac:dyDescent="0.2">
      <c r="C113" s="1"/>
      <c r="F113" s="1"/>
      <c r="I113" s="1"/>
      <c r="J113" s="1"/>
      <c r="K113" s="1"/>
      <c r="O113" s="1"/>
      <c r="P113" s="1"/>
      <c r="Q113" s="1"/>
    </row>
    <row r="114" spans="3:17" x14ac:dyDescent="0.2">
      <c r="C114" s="1"/>
      <c r="F114" s="1"/>
      <c r="I114" s="1"/>
      <c r="J114" s="1"/>
      <c r="K114" s="1"/>
      <c r="O114" s="1"/>
      <c r="P114" s="1"/>
      <c r="Q114" s="1"/>
    </row>
    <row r="115" spans="3:17" x14ac:dyDescent="0.2">
      <c r="C115" s="1"/>
      <c r="F115" s="1"/>
      <c r="I115" s="1"/>
      <c r="J115" s="1"/>
      <c r="K115" s="1"/>
      <c r="O115" s="1"/>
      <c r="P115" s="1"/>
      <c r="Q115" s="1"/>
    </row>
    <row r="116" spans="3:17" x14ac:dyDescent="0.2">
      <c r="C116" s="1"/>
      <c r="F116" s="1"/>
      <c r="I116" s="1"/>
      <c r="J116" s="1"/>
      <c r="K116" s="1"/>
      <c r="O116" s="1"/>
      <c r="P116" s="1"/>
      <c r="Q116" s="1"/>
    </row>
    <row r="117" spans="3:17" x14ac:dyDescent="0.2">
      <c r="C117" s="1"/>
      <c r="F117" s="1"/>
      <c r="I117" s="1"/>
      <c r="J117" s="1"/>
      <c r="K117" s="1"/>
      <c r="O117" s="1"/>
      <c r="P117" s="1"/>
      <c r="Q117" s="1"/>
    </row>
  </sheetData>
  <sortState ref="A1:P28">
    <sortCondition ref="A1"/>
  </sortState>
  <mergeCells count="5">
    <mergeCell ref="B1:Q1"/>
    <mergeCell ref="B2:Q2"/>
    <mergeCell ref="B3:Q3"/>
    <mergeCell ref="B5:Q5"/>
    <mergeCell ref="B25:Q25"/>
  </mergeCells>
  <conditionalFormatting sqref="P26:P53">
    <cfRule type="cellIs" dxfId="11" priority="1" operator="between">
      <formula>0</formula>
      <formula>79</formula>
    </cfRule>
  </conditionalFormatting>
  <conditionalFormatting sqref="P54">
    <cfRule type="cellIs" dxfId="10" priority="3" operator="between">
      <formula>0</formula>
      <formula>79</formula>
    </cfRule>
  </conditionalFormatting>
  <conditionalFormatting sqref="P6:P22">
    <cfRule type="cellIs" dxfId="9" priority="2" operator="between">
      <formula>0</formula>
      <formula>140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R113"/>
  <sheetViews>
    <sheetView tabSelected="1" workbookViewId="0">
      <pane ySplit="4" topLeftCell="A50" activePane="bottomLeft" state="frozen"/>
      <selection pane="bottomLeft" activeCell="S64" sqref="S64"/>
    </sheetView>
  </sheetViews>
  <sheetFormatPr defaultColWidth="9.140625" defaultRowHeight="12" x14ac:dyDescent="0.2"/>
  <cols>
    <col min="1" max="1" width="1.42578125" style="1" customWidth="1"/>
    <col min="2" max="2" width="30.28515625" style="1" customWidth="1"/>
    <col min="3" max="3" width="10.5703125" style="44" customWidth="1"/>
    <col min="4" max="4" width="8.28515625" style="1" customWidth="1"/>
    <col min="5" max="5" width="10.7109375" style="1" customWidth="1"/>
    <col min="6" max="6" width="9.7109375" style="44" customWidth="1"/>
    <col min="7" max="7" width="9" style="1" customWidth="1"/>
    <col min="8" max="8" width="10.140625" style="1" customWidth="1"/>
    <col min="9" max="9" width="11.5703125" style="45" customWidth="1"/>
    <col min="10" max="10" width="10.28515625" style="45" customWidth="1"/>
    <col min="11" max="11" width="11.42578125" style="45" customWidth="1"/>
    <col min="12" max="12" width="8.140625" style="1" customWidth="1"/>
    <col min="13" max="13" width="10.140625" style="1" customWidth="1"/>
    <col min="14" max="14" width="10.42578125" style="1" customWidth="1"/>
    <col min="15" max="15" width="9.42578125" style="537" customWidth="1"/>
    <col min="16" max="16" width="9.42578125" style="47" customWidth="1"/>
    <col min="17" max="17" width="8.5703125" style="16" customWidth="1"/>
    <col min="18" max="18" width="6.140625" style="1" customWidth="1"/>
    <col min="19" max="19" width="6.42578125" style="1" customWidth="1"/>
    <col min="20" max="16384" width="9.140625" style="1"/>
  </cols>
  <sheetData>
    <row r="1" spans="2:17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7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7" ht="15" x14ac:dyDescent="0.25">
      <c r="B3" s="622">
        <v>45991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7" ht="33.75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532" t="s">
        <v>151</v>
      </c>
      <c r="P4" s="455" t="s">
        <v>16</v>
      </c>
      <c r="Q4" s="456" t="s">
        <v>17</v>
      </c>
    </row>
    <row r="5" spans="2:17" ht="15" x14ac:dyDescent="0.25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7" s="16" customFormat="1" ht="15.75" customHeight="1" x14ac:dyDescent="0.2">
      <c r="B6" s="10" t="s">
        <v>19</v>
      </c>
      <c r="C6" s="296">
        <v>58201</v>
      </c>
      <c r="D6" s="388">
        <v>406</v>
      </c>
      <c r="E6" s="190">
        <f t="shared" ref="E6:E24" si="0">C6-D6</f>
        <v>57795</v>
      </c>
      <c r="F6" s="352">
        <v>48825</v>
      </c>
      <c r="G6" s="592">
        <v>11720</v>
      </c>
      <c r="H6" s="190">
        <f t="shared" ref="H6:H24" si="1">F6+G6</f>
        <v>60545</v>
      </c>
      <c r="I6" s="352">
        <v>752686.05</v>
      </c>
      <c r="J6" s="191">
        <v>35362.089999999997</v>
      </c>
      <c r="K6" s="198">
        <f t="shared" ref="K6:K25" si="2">I6+J6</f>
        <v>788048.14</v>
      </c>
      <c r="L6" s="11">
        <f t="shared" ref="L6:L24" si="3">F6/E6</f>
        <v>0.84479626265247854</v>
      </c>
      <c r="M6" s="12">
        <f t="shared" ref="M6:M24" si="4">I6/F6</f>
        <v>15.415996927803381</v>
      </c>
      <c r="N6" s="13">
        <f>M6/129.8194</f>
        <v>0.11874956229811091</v>
      </c>
      <c r="O6" s="607">
        <v>3349.6615384615388</v>
      </c>
      <c r="P6" s="14">
        <f t="shared" ref="P6:P22" si="5">C6/O6*12</f>
        <v>208.50225970017635</v>
      </c>
      <c r="Q6" s="15">
        <f>(K6*12/O6)/129.8194</f>
        <v>21.746705350050007</v>
      </c>
    </row>
    <row r="7" spans="2:17" s="16" customFormat="1" ht="15.75" customHeight="1" x14ac:dyDescent="0.2">
      <c r="B7" s="604" t="s">
        <v>176</v>
      </c>
      <c r="C7" s="296">
        <v>755</v>
      </c>
      <c r="D7" s="611">
        <v>0</v>
      </c>
      <c r="E7" s="190">
        <f t="shared" si="0"/>
        <v>755</v>
      </c>
      <c r="F7" s="352">
        <v>330</v>
      </c>
      <c r="G7" s="592">
        <v>0</v>
      </c>
      <c r="H7" s="190">
        <v>0</v>
      </c>
      <c r="I7" s="352">
        <v>4686.8999999999996</v>
      </c>
      <c r="J7" s="191">
        <v>0</v>
      </c>
      <c r="K7" s="198">
        <f t="shared" si="2"/>
        <v>4686.8999999999996</v>
      </c>
      <c r="L7" s="11">
        <f t="shared" si="3"/>
        <v>0.4370860927152318</v>
      </c>
      <c r="M7" s="12">
        <f t="shared" si="4"/>
        <v>14.202727272727271</v>
      </c>
      <c r="N7" s="13">
        <f t="shared" ref="N7:N24" si="6">M7/129.8194</f>
        <v>0.10940373528707782</v>
      </c>
      <c r="O7" s="607">
        <v>310.15384615384619</v>
      </c>
      <c r="P7" s="14">
        <f t="shared" si="5"/>
        <v>29.211309523809522</v>
      </c>
      <c r="Q7" s="15">
        <f>(K7*12/O7)/129.8194</f>
        <v>1.3968512630403684</v>
      </c>
    </row>
    <row r="8" spans="2:17" s="16" customFormat="1" ht="15.75" customHeight="1" x14ac:dyDescent="0.2">
      <c r="B8" s="10" t="s">
        <v>20</v>
      </c>
      <c r="C8" s="296">
        <v>138127</v>
      </c>
      <c r="D8" s="388">
        <v>425</v>
      </c>
      <c r="E8" s="190">
        <f t="shared" si="0"/>
        <v>137702</v>
      </c>
      <c r="F8" s="352">
        <v>124607</v>
      </c>
      <c r="G8" s="592">
        <v>8400</v>
      </c>
      <c r="H8" s="190">
        <f t="shared" si="1"/>
        <v>133007</v>
      </c>
      <c r="I8" s="352">
        <v>1623316.8</v>
      </c>
      <c r="J8" s="191">
        <v>25344.82</v>
      </c>
      <c r="K8" s="198">
        <f t="shared" si="2"/>
        <v>1648661.62</v>
      </c>
      <c r="L8" s="11">
        <f t="shared" si="3"/>
        <v>0.90490334199938993</v>
      </c>
      <c r="M8" s="12">
        <f t="shared" si="4"/>
        <v>13.027492837481041</v>
      </c>
      <c r="N8" s="13">
        <f t="shared" si="6"/>
        <v>0.10035089391478501</v>
      </c>
      <c r="O8" s="607">
        <v>10545</v>
      </c>
      <c r="P8" s="14">
        <f t="shared" si="5"/>
        <v>157.18577524893314</v>
      </c>
      <c r="Q8" s="15">
        <f t="shared" ref="Q8:Q25" si="7">(K8*12/O8)/129.8194</f>
        <v>14.451954723549846</v>
      </c>
    </row>
    <row r="9" spans="2:17" s="16" customFormat="1" ht="15.75" customHeight="1" x14ac:dyDescent="0.2">
      <c r="B9" s="10" t="s">
        <v>21</v>
      </c>
      <c r="C9" s="296">
        <v>54958</v>
      </c>
      <c r="D9" s="388">
        <v>302</v>
      </c>
      <c r="E9" s="190">
        <f t="shared" si="0"/>
        <v>54656</v>
      </c>
      <c r="F9" s="352">
        <v>52850</v>
      </c>
      <c r="G9" s="592">
        <v>1640</v>
      </c>
      <c r="H9" s="190">
        <f t="shared" si="1"/>
        <v>54490</v>
      </c>
      <c r="I9" s="352">
        <v>1056800.4300000002</v>
      </c>
      <c r="J9" s="191">
        <v>4948.28</v>
      </c>
      <c r="K9" s="198">
        <f t="shared" si="2"/>
        <v>1061748.7100000002</v>
      </c>
      <c r="L9" s="11">
        <f t="shared" si="3"/>
        <v>0.96695696721311475</v>
      </c>
      <c r="M9" s="12">
        <f t="shared" si="4"/>
        <v>19.996223841059606</v>
      </c>
      <c r="N9" s="13">
        <f t="shared" si="6"/>
        <v>0.15403109120100392</v>
      </c>
      <c r="O9" s="606">
        <v>5768.8615384615377</v>
      </c>
      <c r="P9" s="14">
        <f t="shared" si="5"/>
        <v>114.31995647721455</v>
      </c>
      <c r="Q9" s="15">
        <f t="shared" si="7"/>
        <v>17.012701228280321</v>
      </c>
    </row>
    <row r="10" spans="2:17" s="16" customFormat="1" ht="15.75" customHeight="1" x14ac:dyDescent="0.2">
      <c r="B10" s="10" t="s">
        <v>22</v>
      </c>
      <c r="C10" s="296">
        <v>57634</v>
      </c>
      <c r="D10" s="388">
        <v>297</v>
      </c>
      <c r="E10" s="190">
        <f t="shared" si="0"/>
        <v>57337</v>
      </c>
      <c r="F10" s="352">
        <v>40670</v>
      </c>
      <c r="G10" s="592">
        <v>7380</v>
      </c>
      <c r="H10" s="190">
        <f t="shared" si="1"/>
        <v>48050</v>
      </c>
      <c r="I10" s="352">
        <v>688724.73</v>
      </c>
      <c r="J10" s="191">
        <v>22267.24</v>
      </c>
      <c r="K10" s="198">
        <f t="shared" si="2"/>
        <v>710991.97</v>
      </c>
      <c r="L10" s="11">
        <f t="shared" si="3"/>
        <v>0.70931510194115488</v>
      </c>
      <c r="M10" s="12">
        <f t="shared" si="4"/>
        <v>16.93446594541431</v>
      </c>
      <c r="N10" s="13">
        <f t="shared" si="6"/>
        <v>0.1304463427300874</v>
      </c>
      <c r="O10" s="607">
        <v>4962.4615384615381</v>
      </c>
      <c r="P10" s="14">
        <f t="shared" si="5"/>
        <v>139.36793154761904</v>
      </c>
      <c r="Q10" s="15">
        <f t="shared" si="7"/>
        <v>13.243695610452273</v>
      </c>
    </row>
    <row r="11" spans="2:17" s="16" customFormat="1" ht="15.75" customHeight="1" x14ac:dyDescent="0.2">
      <c r="B11" s="10" t="s">
        <v>23</v>
      </c>
      <c r="C11" s="296">
        <v>38609</v>
      </c>
      <c r="D11" s="388">
        <v>298</v>
      </c>
      <c r="E11" s="190">
        <f t="shared" si="0"/>
        <v>38311</v>
      </c>
      <c r="F11" s="352">
        <v>24925</v>
      </c>
      <c r="G11" s="592">
        <v>5780</v>
      </c>
      <c r="H11" s="190">
        <f t="shared" si="1"/>
        <v>30705</v>
      </c>
      <c r="I11" s="352">
        <v>389294.92999999993</v>
      </c>
      <c r="J11" s="191">
        <v>17439.66</v>
      </c>
      <c r="K11" s="198">
        <f t="shared" si="2"/>
        <v>406734.58999999991</v>
      </c>
      <c r="L11" s="11">
        <f t="shared" si="3"/>
        <v>0.65059643444441539</v>
      </c>
      <c r="M11" s="12">
        <f t="shared" si="4"/>
        <v>15.618653159478432</v>
      </c>
      <c r="N11" s="13">
        <f t="shared" si="6"/>
        <v>0.12031062506434656</v>
      </c>
      <c r="O11" s="608">
        <v>3535.75</v>
      </c>
      <c r="P11" s="14">
        <f t="shared" si="5"/>
        <v>131.03528247189422</v>
      </c>
      <c r="Q11" s="15">
        <f t="shared" si="7"/>
        <v>10.633376862445232</v>
      </c>
    </row>
    <row r="12" spans="2:17" s="16" customFormat="1" ht="15.75" customHeight="1" x14ac:dyDescent="0.2">
      <c r="B12" s="10" t="s">
        <v>24</v>
      </c>
      <c r="C12" s="296">
        <v>75884</v>
      </c>
      <c r="D12" s="388">
        <v>322</v>
      </c>
      <c r="E12" s="190">
        <f t="shared" si="0"/>
        <v>75562</v>
      </c>
      <c r="F12" s="352">
        <v>60548</v>
      </c>
      <c r="G12" s="592">
        <v>8800</v>
      </c>
      <c r="H12" s="190">
        <f t="shared" si="1"/>
        <v>69348</v>
      </c>
      <c r="I12" s="352">
        <v>924121.47</v>
      </c>
      <c r="J12" s="191">
        <v>26551.74</v>
      </c>
      <c r="K12" s="198">
        <f t="shared" si="2"/>
        <v>950673.21</v>
      </c>
      <c r="L12" s="11">
        <f t="shared" si="3"/>
        <v>0.80130224186760546</v>
      </c>
      <c r="M12" s="12">
        <f t="shared" si="4"/>
        <v>15.26262585056484</v>
      </c>
      <c r="N12" s="13">
        <f t="shared" si="6"/>
        <v>0.1175681435175701</v>
      </c>
      <c r="O12" s="607">
        <v>5492.6769230769232</v>
      </c>
      <c r="P12" s="14">
        <f t="shared" si="5"/>
        <v>165.7858295240656</v>
      </c>
      <c r="Q12" s="15">
        <f t="shared" si="7"/>
        <v>15.998853048375979</v>
      </c>
    </row>
    <row r="13" spans="2:17" s="16" customFormat="1" ht="15.75" customHeight="1" x14ac:dyDescent="0.2">
      <c r="B13" s="604" t="s">
        <v>177</v>
      </c>
      <c r="C13" s="296">
        <v>2281</v>
      </c>
      <c r="D13" s="388">
        <v>94</v>
      </c>
      <c r="E13" s="190">
        <f t="shared" si="0"/>
        <v>2187</v>
      </c>
      <c r="F13" s="352">
        <v>0</v>
      </c>
      <c r="G13" s="592">
        <v>0</v>
      </c>
      <c r="H13" s="190">
        <v>0</v>
      </c>
      <c r="I13" s="352">
        <v>0</v>
      </c>
      <c r="J13" s="191">
        <v>0</v>
      </c>
      <c r="K13" s="198">
        <f t="shared" si="2"/>
        <v>0</v>
      </c>
      <c r="L13" s="11">
        <f t="shared" si="3"/>
        <v>0</v>
      </c>
      <c r="M13" s="12">
        <v>0</v>
      </c>
      <c r="N13" s="13">
        <f t="shared" si="6"/>
        <v>0</v>
      </c>
      <c r="O13" s="607">
        <v>806.4</v>
      </c>
      <c r="P13" s="14">
        <f t="shared" si="5"/>
        <v>33.94345238095238</v>
      </c>
      <c r="Q13" s="15">
        <f t="shared" si="7"/>
        <v>0</v>
      </c>
    </row>
    <row r="14" spans="2:17" s="16" customFormat="1" ht="15.75" customHeight="1" x14ac:dyDescent="0.2">
      <c r="B14" s="10" t="s">
        <v>25</v>
      </c>
      <c r="C14" s="296">
        <v>90792</v>
      </c>
      <c r="D14" s="388">
        <v>302</v>
      </c>
      <c r="E14" s="190">
        <f t="shared" si="0"/>
        <v>90490</v>
      </c>
      <c r="F14" s="352">
        <v>85723</v>
      </c>
      <c r="G14" s="592">
        <v>6180</v>
      </c>
      <c r="H14" s="190">
        <f t="shared" si="1"/>
        <v>91903</v>
      </c>
      <c r="I14" s="352">
        <v>1353387.8499999999</v>
      </c>
      <c r="J14" s="191">
        <v>18646.53</v>
      </c>
      <c r="K14" s="198">
        <f t="shared" si="2"/>
        <v>1372034.38</v>
      </c>
      <c r="L14" s="11">
        <f t="shared" si="3"/>
        <v>0.94732014587247204</v>
      </c>
      <c r="M14" s="12">
        <f t="shared" si="4"/>
        <v>15.78791981148583</v>
      </c>
      <c r="N14" s="13">
        <f t="shared" si="6"/>
        <v>0.12161448759958704</v>
      </c>
      <c r="O14" s="607">
        <v>8067.6</v>
      </c>
      <c r="P14" s="14">
        <f t="shared" si="5"/>
        <v>135.04685408299866</v>
      </c>
      <c r="Q14" s="15">
        <f t="shared" si="7"/>
        <v>15.720352681784666</v>
      </c>
    </row>
    <row r="15" spans="2:17" s="16" customFormat="1" ht="15.75" customHeight="1" x14ac:dyDescent="0.2">
      <c r="B15" s="10" t="s">
        <v>26</v>
      </c>
      <c r="C15" s="296">
        <v>24167</v>
      </c>
      <c r="D15" s="388">
        <v>190</v>
      </c>
      <c r="E15" s="190">
        <f t="shared" si="0"/>
        <v>23977</v>
      </c>
      <c r="F15" s="352">
        <v>13730</v>
      </c>
      <c r="G15" s="592">
        <v>4380</v>
      </c>
      <c r="H15" s="190">
        <f t="shared" si="1"/>
        <v>18110</v>
      </c>
      <c r="I15" s="352">
        <v>203767.59999999998</v>
      </c>
      <c r="J15" s="191">
        <v>13215.53</v>
      </c>
      <c r="K15" s="198">
        <f t="shared" si="2"/>
        <v>216983.12999999998</v>
      </c>
      <c r="L15" s="11">
        <f t="shared" si="3"/>
        <v>0.5726321057680277</v>
      </c>
      <c r="M15" s="12">
        <f t="shared" si="4"/>
        <v>14.841048798252002</v>
      </c>
      <c r="N15" s="13">
        <f t="shared" si="6"/>
        <v>0.11432073171076128</v>
      </c>
      <c r="O15" s="606">
        <v>1798.8923076923077</v>
      </c>
      <c r="P15" s="14">
        <f t="shared" si="5"/>
        <v>161.21254105090313</v>
      </c>
      <c r="Q15" s="15">
        <f t="shared" si="7"/>
        <v>11.149681290660929</v>
      </c>
    </row>
    <row r="16" spans="2:17" s="16" customFormat="1" ht="15.75" customHeight="1" x14ac:dyDescent="0.2">
      <c r="B16" s="10" t="s">
        <v>27</v>
      </c>
      <c r="C16" s="296">
        <v>123878</v>
      </c>
      <c r="D16" s="388">
        <v>435</v>
      </c>
      <c r="E16" s="190">
        <f t="shared" si="0"/>
        <v>123443</v>
      </c>
      <c r="F16" s="352">
        <v>120359</v>
      </c>
      <c r="G16" s="592">
        <v>5780</v>
      </c>
      <c r="H16" s="190">
        <f t="shared" si="1"/>
        <v>126139</v>
      </c>
      <c r="I16" s="352">
        <v>2122149.73</v>
      </c>
      <c r="J16" s="191">
        <v>17439.669999999998</v>
      </c>
      <c r="K16" s="198">
        <f t="shared" si="2"/>
        <v>2139589.4</v>
      </c>
      <c r="L16" s="11">
        <f t="shared" si="3"/>
        <v>0.97501680937760749</v>
      </c>
      <c r="M16" s="12">
        <f t="shared" si="4"/>
        <v>17.631832517717829</v>
      </c>
      <c r="N16" s="13">
        <f t="shared" si="6"/>
        <v>0.135818163677523</v>
      </c>
      <c r="O16" s="607">
        <v>8560</v>
      </c>
      <c r="P16" s="14">
        <f t="shared" si="5"/>
        <v>173.6607476635514</v>
      </c>
      <c r="Q16" s="15">
        <f t="shared" si="7"/>
        <v>23.104592938523549</v>
      </c>
    </row>
    <row r="17" spans="2:18" s="16" customFormat="1" ht="15.75" customHeight="1" x14ac:dyDescent="0.2">
      <c r="B17" s="10" t="s">
        <v>28</v>
      </c>
      <c r="C17" s="296">
        <v>55748</v>
      </c>
      <c r="D17" s="388">
        <v>268</v>
      </c>
      <c r="E17" s="190">
        <f t="shared" si="0"/>
        <v>55480</v>
      </c>
      <c r="F17" s="352">
        <v>52392</v>
      </c>
      <c r="G17" s="592">
        <v>9080</v>
      </c>
      <c r="H17" s="190">
        <f t="shared" si="1"/>
        <v>61472</v>
      </c>
      <c r="I17" s="352">
        <v>828043.08</v>
      </c>
      <c r="J17" s="191">
        <v>27396.54</v>
      </c>
      <c r="K17" s="198">
        <f t="shared" si="2"/>
        <v>855439.62</v>
      </c>
      <c r="L17" s="11">
        <f t="shared" si="3"/>
        <v>0.94434030281182413</v>
      </c>
      <c r="M17" s="12">
        <f t="shared" si="4"/>
        <v>15.804761795693999</v>
      </c>
      <c r="N17" s="13">
        <f t="shared" si="6"/>
        <v>0.12174422155466748</v>
      </c>
      <c r="O17" s="607">
        <v>5210.59</v>
      </c>
      <c r="P17" s="14">
        <f t="shared" si="5"/>
        <v>128.38776414954927</v>
      </c>
      <c r="Q17" s="15">
        <f t="shared" si="7"/>
        <v>15.175538390455259</v>
      </c>
    </row>
    <row r="18" spans="2:18" s="16" customFormat="1" ht="15.75" customHeight="1" x14ac:dyDescent="0.2">
      <c r="B18" s="10" t="s">
        <v>29</v>
      </c>
      <c r="C18" s="296">
        <v>36416</v>
      </c>
      <c r="D18" s="388">
        <v>241</v>
      </c>
      <c r="E18" s="190">
        <f t="shared" si="0"/>
        <v>36175</v>
      </c>
      <c r="F18" s="352">
        <v>29840</v>
      </c>
      <c r="G18" s="592">
        <v>560</v>
      </c>
      <c r="H18" s="190">
        <f t="shared" si="1"/>
        <v>30400</v>
      </c>
      <c r="I18" s="352">
        <v>461942.42</v>
      </c>
      <c r="J18" s="191">
        <v>1689.65</v>
      </c>
      <c r="K18" s="198">
        <f t="shared" si="2"/>
        <v>463632.07</v>
      </c>
      <c r="L18" s="11">
        <f t="shared" si="3"/>
        <v>0.82487906012439527</v>
      </c>
      <c r="M18" s="12">
        <f t="shared" si="4"/>
        <v>15.480644101876676</v>
      </c>
      <c r="N18" s="13">
        <f t="shared" si="6"/>
        <v>0.11924754005854807</v>
      </c>
      <c r="O18" s="607">
        <v>2233</v>
      </c>
      <c r="P18" s="14">
        <f t="shared" si="5"/>
        <v>195.69726824899237</v>
      </c>
      <c r="Q18" s="15">
        <f t="shared" si="7"/>
        <v>19.192272195709915</v>
      </c>
    </row>
    <row r="19" spans="2:18" s="16" customFormat="1" ht="15.75" customHeight="1" x14ac:dyDescent="0.2">
      <c r="B19" s="604" t="s">
        <v>178</v>
      </c>
      <c r="C19" s="296">
        <v>3652</v>
      </c>
      <c r="D19" s="388">
        <v>18</v>
      </c>
      <c r="E19" s="190">
        <f t="shared" si="0"/>
        <v>3634</v>
      </c>
      <c r="F19" s="352">
        <v>2840</v>
      </c>
      <c r="G19" s="592">
        <v>0</v>
      </c>
      <c r="H19" s="190">
        <f t="shared" si="1"/>
        <v>2840</v>
      </c>
      <c r="I19" s="352">
        <v>42309.33</v>
      </c>
      <c r="J19" s="191">
        <v>0</v>
      </c>
      <c r="K19" s="198">
        <f t="shared" si="2"/>
        <v>42309.33</v>
      </c>
      <c r="L19" s="11">
        <f t="shared" si="3"/>
        <v>0.78150798018712164</v>
      </c>
      <c r="M19" s="12">
        <f t="shared" si="4"/>
        <v>14.897651408450704</v>
      </c>
      <c r="N19" s="13">
        <f t="shared" si="6"/>
        <v>0.11475674212367877</v>
      </c>
      <c r="O19" s="607">
        <v>496.2461538461539</v>
      </c>
      <c r="P19" s="14">
        <f t="shared" si="5"/>
        <v>88.311011904761898</v>
      </c>
      <c r="Q19" s="15">
        <f t="shared" si="7"/>
        <v>7.8809875729282366</v>
      </c>
    </row>
    <row r="20" spans="2:18" s="16" customFormat="1" ht="15.75" customHeight="1" x14ac:dyDescent="0.2">
      <c r="B20" s="10" t="s">
        <v>30</v>
      </c>
      <c r="C20" s="296">
        <v>163985</v>
      </c>
      <c r="D20" s="388">
        <v>358</v>
      </c>
      <c r="E20" s="190">
        <f t="shared" si="0"/>
        <v>163627</v>
      </c>
      <c r="F20" s="352">
        <v>161145</v>
      </c>
      <c r="G20" s="592">
        <v>1780</v>
      </c>
      <c r="H20" s="190">
        <f t="shared" si="1"/>
        <v>162925</v>
      </c>
      <c r="I20" s="352">
        <v>2397448.8200000003</v>
      </c>
      <c r="J20" s="191">
        <v>5370.68</v>
      </c>
      <c r="K20" s="198">
        <f t="shared" si="2"/>
        <v>2402819.5000000005</v>
      </c>
      <c r="L20" s="11">
        <f t="shared" si="3"/>
        <v>0.98483135423860368</v>
      </c>
      <c r="M20" s="12">
        <f t="shared" si="4"/>
        <v>14.877587390238606</v>
      </c>
      <c r="N20" s="13">
        <f t="shared" si="6"/>
        <v>0.11460218881183094</v>
      </c>
      <c r="O20" s="607">
        <v>15168.530999999999</v>
      </c>
      <c r="P20" s="14">
        <f t="shared" si="5"/>
        <v>129.73042676314537</v>
      </c>
      <c r="Q20" s="15">
        <f t="shared" si="7"/>
        <v>14.6426362148213</v>
      </c>
    </row>
    <row r="21" spans="2:18" s="16" customFormat="1" ht="15.75" customHeight="1" x14ac:dyDescent="0.2">
      <c r="B21" s="604" t="s">
        <v>179</v>
      </c>
      <c r="C21" s="296">
        <v>839</v>
      </c>
      <c r="D21" s="388">
        <v>0</v>
      </c>
      <c r="E21" s="190">
        <f t="shared" si="0"/>
        <v>839</v>
      </c>
      <c r="F21" s="352">
        <v>0</v>
      </c>
      <c r="G21" s="592">
        <v>0</v>
      </c>
      <c r="H21" s="190">
        <f t="shared" si="1"/>
        <v>0</v>
      </c>
      <c r="I21" s="352">
        <v>0</v>
      </c>
      <c r="J21" s="191">
        <v>0</v>
      </c>
      <c r="K21" s="198">
        <f t="shared" si="2"/>
        <v>0</v>
      </c>
      <c r="L21" s="11">
        <f t="shared" si="3"/>
        <v>0</v>
      </c>
      <c r="M21" s="12">
        <v>0</v>
      </c>
      <c r="N21" s="13">
        <f t="shared" si="6"/>
        <v>0</v>
      </c>
      <c r="O21" s="609">
        <v>806.4</v>
      </c>
      <c r="P21" s="14">
        <f t="shared" si="5"/>
        <v>12.485119047619049</v>
      </c>
      <c r="Q21" s="15">
        <v>0</v>
      </c>
    </row>
    <row r="22" spans="2:18" s="16" customFormat="1" ht="15.75" customHeight="1" x14ac:dyDescent="0.2">
      <c r="B22" s="10" t="s">
        <v>32</v>
      </c>
      <c r="C22" s="296">
        <v>53181</v>
      </c>
      <c r="D22" s="388">
        <v>353</v>
      </c>
      <c r="E22" s="190">
        <f t="shared" si="0"/>
        <v>52828</v>
      </c>
      <c r="F22" s="352">
        <v>42805</v>
      </c>
      <c r="G22" s="592">
        <v>4800</v>
      </c>
      <c r="H22" s="190">
        <f t="shared" si="1"/>
        <v>47605</v>
      </c>
      <c r="I22" s="352">
        <v>1000574.2000000001</v>
      </c>
      <c r="J22" s="191">
        <v>14482.77</v>
      </c>
      <c r="K22" s="198">
        <f t="shared" si="2"/>
        <v>1015056.9700000001</v>
      </c>
      <c r="L22" s="11">
        <f t="shared" si="3"/>
        <v>0.81027106837283258</v>
      </c>
      <c r="M22" s="12">
        <f t="shared" si="4"/>
        <v>23.37517112486859</v>
      </c>
      <c r="N22" s="13">
        <f t="shared" si="6"/>
        <v>0.18005915236758596</v>
      </c>
      <c r="O22" s="607">
        <v>4962.4615384615381</v>
      </c>
      <c r="P22" s="14">
        <f t="shared" si="5"/>
        <v>128.59988839285714</v>
      </c>
      <c r="Q22" s="15">
        <f t="shared" si="7"/>
        <v>18.907534972508881</v>
      </c>
    </row>
    <row r="23" spans="2:18" s="16" customFormat="1" ht="15.75" customHeight="1" x14ac:dyDescent="0.2">
      <c r="B23" s="10" t="s">
        <v>33</v>
      </c>
      <c r="C23" s="296">
        <v>5059</v>
      </c>
      <c r="D23" s="388">
        <v>97</v>
      </c>
      <c r="E23" s="190">
        <f t="shared" si="0"/>
        <v>4962</v>
      </c>
      <c r="F23" s="352">
        <v>416</v>
      </c>
      <c r="G23" s="592">
        <v>2000</v>
      </c>
      <c r="H23" s="190">
        <f t="shared" si="1"/>
        <v>2416</v>
      </c>
      <c r="I23" s="352">
        <v>6217.55</v>
      </c>
      <c r="J23" s="191">
        <v>6034.47</v>
      </c>
      <c r="K23" s="198">
        <f t="shared" si="2"/>
        <v>12252.02</v>
      </c>
      <c r="L23" s="11">
        <f t="shared" si="3"/>
        <v>8.3837162434502219E-2</v>
      </c>
      <c r="M23" s="12">
        <f t="shared" si="4"/>
        <v>14.946033653846154</v>
      </c>
      <c r="N23" s="13">
        <f t="shared" si="6"/>
        <v>0.11512943099294985</v>
      </c>
      <c r="O23" s="550">
        <v>0</v>
      </c>
      <c r="P23" s="14">
        <v>0</v>
      </c>
      <c r="Q23" s="15">
        <v>0</v>
      </c>
      <c r="R23" s="16" t="s">
        <v>143</v>
      </c>
    </row>
    <row r="24" spans="2:18" s="16" customFormat="1" ht="15.75" customHeight="1" x14ac:dyDescent="0.2">
      <c r="B24" s="17" t="s">
        <v>34</v>
      </c>
      <c r="C24" s="576">
        <v>77735</v>
      </c>
      <c r="D24" s="390">
        <v>143</v>
      </c>
      <c r="E24" s="193">
        <f t="shared" si="0"/>
        <v>77592</v>
      </c>
      <c r="F24" s="355">
        <v>71847</v>
      </c>
      <c r="G24" s="593">
        <v>1300</v>
      </c>
      <c r="H24" s="193">
        <f t="shared" si="1"/>
        <v>73147</v>
      </c>
      <c r="I24" s="355">
        <v>1072234.17</v>
      </c>
      <c r="J24" s="541">
        <v>3922.41</v>
      </c>
      <c r="K24" s="198">
        <f t="shared" si="2"/>
        <v>1076156.5799999998</v>
      </c>
      <c r="L24" s="11">
        <f t="shared" si="3"/>
        <v>0.92595886173832354</v>
      </c>
      <c r="M24" s="12">
        <f t="shared" si="4"/>
        <v>14.923854440686458</v>
      </c>
      <c r="N24" s="13">
        <f t="shared" si="6"/>
        <v>0.11495858431549104</v>
      </c>
      <c r="O24" s="610">
        <v>5334</v>
      </c>
      <c r="P24" s="19">
        <f>C24/O24*12</f>
        <v>174.88188976377953</v>
      </c>
      <c r="Q24" s="15">
        <f t="shared" si="7"/>
        <v>18.649367304045278</v>
      </c>
    </row>
    <row r="25" spans="2:18" s="16" customFormat="1" ht="15.75" customHeight="1" x14ac:dyDescent="0.2">
      <c r="B25" s="249" t="s">
        <v>181</v>
      </c>
      <c r="C25" s="296">
        <v>3290</v>
      </c>
      <c r="D25" s="10">
        <v>32</v>
      </c>
      <c r="E25" s="190">
        <f>C25-D25</f>
        <v>3258</v>
      </c>
      <c r="F25" s="352">
        <v>2660</v>
      </c>
      <c r="G25" s="592">
        <v>80</v>
      </c>
      <c r="H25" s="190">
        <f>F25+G25</f>
        <v>2740</v>
      </c>
      <c r="I25" s="352">
        <v>36431.99</v>
      </c>
      <c r="J25" s="353">
        <v>241.38</v>
      </c>
      <c r="K25" s="198">
        <f t="shared" si="2"/>
        <v>36673.369999999995</v>
      </c>
      <c r="L25" s="11">
        <f>F25/E25</f>
        <v>0.81645181092694907</v>
      </c>
      <c r="M25" s="12">
        <f>I25/F25</f>
        <v>13.696236842105263</v>
      </c>
      <c r="N25" s="13">
        <f>M25/129.8194</f>
        <v>0.10550223496723342</v>
      </c>
      <c r="O25" s="550">
        <v>1479.876923076923</v>
      </c>
      <c r="P25" s="19">
        <f>C25/O25*12</f>
        <v>26.677894211576849</v>
      </c>
      <c r="Q25" s="15">
        <f t="shared" si="7"/>
        <v>2.290692904858703</v>
      </c>
    </row>
    <row r="26" spans="2:18" ht="15.75" customHeight="1" thickBot="1" x14ac:dyDescent="0.25">
      <c r="B26" s="577" t="s">
        <v>35</v>
      </c>
      <c r="C26" s="578">
        <f>SUM(C6:C25)</f>
        <v>1065191</v>
      </c>
      <c r="D26" s="578">
        <f t="shared" ref="D26:K26" si="8">SUM(D6:D25)</f>
        <v>4581</v>
      </c>
      <c r="E26" s="578">
        <f t="shared" si="8"/>
        <v>1060610</v>
      </c>
      <c r="F26" s="578">
        <f t="shared" si="8"/>
        <v>936512</v>
      </c>
      <c r="G26" s="578">
        <f t="shared" si="8"/>
        <v>79660</v>
      </c>
      <c r="H26" s="578">
        <f t="shared" si="8"/>
        <v>1015842</v>
      </c>
      <c r="I26" s="578">
        <f t="shared" si="8"/>
        <v>14964138.049999999</v>
      </c>
      <c r="J26" s="578">
        <f t="shared" si="8"/>
        <v>240353.46</v>
      </c>
      <c r="K26" s="578">
        <f t="shared" si="8"/>
        <v>15204491.509999998</v>
      </c>
      <c r="L26" s="579">
        <f t="shared" ref="L26" si="9">F26/E26</f>
        <v>0.88299374888036131</v>
      </c>
      <c r="M26" s="580">
        <f t="shared" ref="M26" si="10">I26/F26</f>
        <v>15.978586553082074</v>
      </c>
      <c r="N26" s="581">
        <f>M26/129.8194</f>
        <v>0.12308319521644742</v>
      </c>
      <c r="O26" s="582">
        <f>SUM(O6:O25)</f>
        <v>88888.563307692297</v>
      </c>
      <c r="P26" s="583">
        <f t="shared" ref="P26" si="11">C26/O26*12</f>
        <v>143.80131171378531</v>
      </c>
      <c r="Q26" s="584">
        <f>(K26*12/O26)/129.8194</f>
        <v>15.81130302666941</v>
      </c>
    </row>
    <row r="27" spans="2:18" ht="17.25" customHeight="1" thickTop="1" thickBot="1" x14ac:dyDescent="0.25">
      <c r="B27" s="26" t="s">
        <v>36</v>
      </c>
      <c r="C27" s="27"/>
      <c r="D27" s="28">
        <f>D26/C26</f>
        <v>4.3006371627248071E-3</v>
      </c>
      <c r="E27" s="29">
        <f>E26/C26</f>
        <v>0.99569936283727523</v>
      </c>
      <c r="F27" s="30"/>
      <c r="G27" s="31"/>
      <c r="H27" s="30"/>
      <c r="I27" s="30"/>
      <c r="J27" s="30"/>
      <c r="K27" s="30"/>
      <c r="L27" s="32"/>
      <c r="M27" s="30"/>
      <c r="N27" s="33"/>
      <c r="O27" s="534"/>
      <c r="P27" s="34"/>
      <c r="Q27" s="35"/>
    </row>
    <row r="28" spans="2:18" ht="21" customHeight="1" thickTop="1" x14ac:dyDescent="0.25">
      <c r="B28" s="623" t="s">
        <v>37</v>
      </c>
      <c r="C28" s="620"/>
      <c r="D28" s="620"/>
      <c r="E28" s="620"/>
      <c r="F28" s="620"/>
      <c r="G28" s="620"/>
      <c r="H28" s="620"/>
      <c r="I28" s="620"/>
      <c r="J28" s="620"/>
      <c r="K28" s="620"/>
      <c r="L28" s="620"/>
      <c r="M28" s="620"/>
      <c r="N28" s="620"/>
      <c r="O28" s="620"/>
      <c r="P28" s="620"/>
      <c r="Q28" s="620"/>
    </row>
    <row r="29" spans="2:18" ht="15.75" customHeight="1" x14ac:dyDescent="0.2">
      <c r="B29" s="13" t="s">
        <v>38</v>
      </c>
      <c r="C29" s="296">
        <v>15593</v>
      </c>
      <c r="D29" s="352">
        <v>161</v>
      </c>
      <c r="E29" s="200">
        <f t="shared" ref="E29:E56" si="12">C29-D29</f>
        <v>15432</v>
      </c>
      <c r="F29" s="352">
        <v>11570</v>
      </c>
      <c r="G29" s="191">
        <v>2440</v>
      </c>
      <c r="H29" s="202">
        <f t="shared" ref="H29:H56" si="13">F29+G29</f>
        <v>14010</v>
      </c>
      <c r="I29" s="352">
        <v>442220.87000000005</v>
      </c>
      <c r="J29" s="191">
        <v>8413.7800000000007</v>
      </c>
      <c r="K29" s="200">
        <f t="shared" ref="K29:K56" si="14">I29+J29</f>
        <v>450634.65000000008</v>
      </c>
      <c r="L29" s="36">
        <f t="shared" ref="L29:L56" si="15">F29/E29</f>
        <v>0.7497407983411094</v>
      </c>
      <c r="M29" s="20">
        <f t="shared" ref="M29:M56" si="16">I29/F29</f>
        <v>38.221337078651693</v>
      </c>
      <c r="N29" s="37">
        <f>M29/129.8194</f>
        <v>0.29441930157319857</v>
      </c>
      <c r="O29" s="533">
        <v>3287.6307692307691</v>
      </c>
      <c r="P29" s="14">
        <f t="shared" ref="P29:P36" si="17">C29/O29*12</f>
        <v>56.915150494159931</v>
      </c>
      <c r="Q29" s="15">
        <f>(K29*12/O29)/129.8194</f>
        <v>12.670191948539317</v>
      </c>
    </row>
    <row r="30" spans="2:18" ht="15.75" customHeight="1" x14ac:dyDescent="0.2">
      <c r="B30" s="13" t="s">
        <v>39</v>
      </c>
      <c r="C30" s="296">
        <v>33523</v>
      </c>
      <c r="D30" s="352">
        <v>207</v>
      </c>
      <c r="E30" s="200">
        <f t="shared" si="12"/>
        <v>33316</v>
      </c>
      <c r="F30" s="352">
        <v>29810</v>
      </c>
      <c r="G30" s="191"/>
      <c r="H30" s="202">
        <f t="shared" si="13"/>
        <v>29810</v>
      </c>
      <c r="I30" s="352">
        <v>1107165.71</v>
      </c>
      <c r="J30" s="191"/>
      <c r="K30" s="200">
        <f t="shared" si="14"/>
        <v>1107165.71</v>
      </c>
      <c r="L30" s="36">
        <f t="shared" si="15"/>
        <v>0.8947652779445312</v>
      </c>
      <c r="M30" s="20">
        <f t="shared" si="16"/>
        <v>37.140748406574971</v>
      </c>
      <c r="N30" s="37">
        <f t="shared" ref="N30:N56" si="18">M30/129.8194</f>
        <v>0.28609551736161909</v>
      </c>
      <c r="O30" s="533">
        <v>5520.7384615384617</v>
      </c>
      <c r="P30" s="14">
        <f t="shared" si="17"/>
        <v>72.866338951310865</v>
      </c>
      <c r="Q30" s="15">
        <f t="shared" ref="Q30:Q56" si="19">(K30*12/O30)/129.8194</f>
        <v>18.537753451569728</v>
      </c>
    </row>
    <row r="31" spans="2:18" ht="15.75" customHeight="1" x14ac:dyDescent="0.2">
      <c r="B31" s="13" t="s">
        <v>40</v>
      </c>
      <c r="C31" s="296">
        <v>10255</v>
      </c>
      <c r="D31" s="352">
        <v>92</v>
      </c>
      <c r="E31" s="200">
        <f t="shared" si="12"/>
        <v>10163</v>
      </c>
      <c r="F31" s="352">
        <v>9600</v>
      </c>
      <c r="G31" s="191"/>
      <c r="H31" s="202">
        <f t="shared" si="13"/>
        <v>9600</v>
      </c>
      <c r="I31" s="352">
        <v>373590.16999999993</v>
      </c>
      <c r="J31" s="191"/>
      <c r="K31" s="200">
        <f t="shared" si="14"/>
        <v>373590.16999999993</v>
      </c>
      <c r="L31" s="36">
        <f t="shared" si="15"/>
        <v>0.94460297156351469</v>
      </c>
      <c r="M31" s="20">
        <f t="shared" si="16"/>
        <v>38.915642708333323</v>
      </c>
      <c r="N31" s="37">
        <f t="shared" si="18"/>
        <v>0.29976754405222428</v>
      </c>
      <c r="O31" s="533">
        <v>2481.2307692307691</v>
      </c>
      <c r="P31" s="14">
        <f t="shared" si="17"/>
        <v>49.596354166666671</v>
      </c>
      <c r="Q31" s="15">
        <f t="shared" si="19"/>
        <v>13.917778830996129</v>
      </c>
    </row>
    <row r="32" spans="2:18" ht="15.75" customHeight="1" x14ac:dyDescent="0.2">
      <c r="B32" s="13" t="s">
        <v>41</v>
      </c>
      <c r="C32" s="296">
        <v>22362</v>
      </c>
      <c r="D32" s="352">
        <v>197</v>
      </c>
      <c r="E32" s="200">
        <f t="shared" si="12"/>
        <v>22165</v>
      </c>
      <c r="F32" s="352">
        <v>20200</v>
      </c>
      <c r="G32" s="191"/>
      <c r="H32" s="202">
        <f t="shared" si="13"/>
        <v>20200</v>
      </c>
      <c r="I32" s="352">
        <v>738124.62999999989</v>
      </c>
      <c r="J32" s="191"/>
      <c r="K32" s="200">
        <f t="shared" si="14"/>
        <v>738124.62999999989</v>
      </c>
      <c r="L32" s="36">
        <f t="shared" si="15"/>
        <v>0.91134671779833065</v>
      </c>
      <c r="M32" s="20">
        <f t="shared" si="16"/>
        <v>36.540823267326729</v>
      </c>
      <c r="N32" s="37">
        <f t="shared" si="18"/>
        <v>0.28147428864504637</v>
      </c>
      <c r="O32" s="533">
        <v>3225.5999999999995</v>
      </c>
      <c r="P32" s="14">
        <f t="shared" si="17"/>
        <v>83.191964285714306</v>
      </c>
      <c r="Q32" s="15">
        <f t="shared" si="19"/>
        <v>21.152457703236372</v>
      </c>
    </row>
    <row r="33" spans="2:17" ht="15.75" customHeight="1" x14ac:dyDescent="0.2">
      <c r="B33" s="13" t="s">
        <v>42</v>
      </c>
      <c r="C33" s="296">
        <v>13209</v>
      </c>
      <c r="D33" s="352">
        <v>133</v>
      </c>
      <c r="E33" s="200">
        <f t="shared" si="12"/>
        <v>13076</v>
      </c>
      <c r="F33" s="352">
        <v>15090</v>
      </c>
      <c r="G33" s="191">
        <v>1140</v>
      </c>
      <c r="H33" s="202">
        <f t="shared" si="13"/>
        <v>16230</v>
      </c>
      <c r="I33" s="352">
        <v>591636.16</v>
      </c>
      <c r="J33" s="191">
        <v>3931.04</v>
      </c>
      <c r="K33" s="200">
        <f t="shared" si="14"/>
        <v>595567.20000000007</v>
      </c>
      <c r="L33" s="36">
        <f t="shared" si="15"/>
        <v>1.1540226368920159</v>
      </c>
      <c r="M33" s="20">
        <f t="shared" si="16"/>
        <v>39.207167660702453</v>
      </c>
      <c r="N33" s="37">
        <f t="shared" si="18"/>
        <v>0.30201316336928419</v>
      </c>
      <c r="O33" s="533">
        <v>2357.1692307692306</v>
      </c>
      <c r="P33" s="14">
        <f t="shared" si="17"/>
        <v>67.245065789473685</v>
      </c>
      <c r="Q33" s="15">
        <f t="shared" si="19"/>
        <v>23.355095993912933</v>
      </c>
    </row>
    <row r="34" spans="2:17" ht="15.75" customHeight="1" x14ac:dyDescent="0.2">
      <c r="B34" s="13" t="s">
        <v>43</v>
      </c>
      <c r="C34" s="296">
        <v>25241</v>
      </c>
      <c r="D34" s="352">
        <v>163</v>
      </c>
      <c r="E34" s="200">
        <f t="shared" si="12"/>
        <v>25078</v>
      </c>
      <c r="F34" s="352">
        <v>20510</v>
      </c>
      <c r="G34" s="191">
        <v>5900</v>
      </c>
      <c r="H34" s="202">
        <f t="shared" si="13"/>
        <v>26410</v>
      </c>
      <c r="I34" s="352">
        <v>734369.97000000009</v>
      </c>
      <c r="J34" s="191">
        <v>20344.82</v>
      </c>
      <c r="K34" s="200">
        <f t="shared" si="14"/>
        <v>754714.79</v>
      </c>
      <c r="L34" s="36">
        <f t="shared" si="15"/>
        <v>0.81784831326262064</v>
      </c>
      <c r="M34" s="20">
        <f t="shared" si="16"/>
        <v>35.805459288152129</v>
      </c>
      <c r="N34" s="37">
        <f t="shared" si="18"/>
        <v>0.27580977333243051</v>
      </c>
      <c r="O34" s="533">
        <v>2605.292307692308</v>
      </c>
      <c r="P34" s="14">
        <f t="shared" si="17"/>
        <v>116.26027494331065</v>
      </c>
      <c r="Q34" s="15">
        <f t="shared" si="19"/>
        <v>26.777378174799939</v>
      </c>
    </row>
    <row r="35" spans="2:17" ht="15.75" customHeight="1" x14ac:dyDescent="0.2">
      <c r="B35" s="13" t="s">
        <v>44</v>
      </c>
      <c r="C35" s="296">
        <v>15536</v>
      </c>
      <c r="D35" s="352">
        <v>156</v>
      </c>
      <c r="E35" s="200">
        <f t="shared" si="12"/>
        <v>15380</v>
      </c>
      <c r="F35" s="352">
        <v>15910</v>
      </c>
      <c r="G35" s="191">
        <v>640</v>
      </c>
      <c r="H35" s="202">
        <f t="shared" si="13"/>
        <v>16550</v>
      </c>
      <c r="I35" s="352">
        <v>627273.78</v>
      </c>
      <c r="J35" s="191">
        <v>2206.89</v>
      </c>
      <c r="K35" s="200">
        <f t="shared" si="14"/>
        <v>629480.67000000004</v>
      </c>
      <c r="L35" s="36">
        <f t="shared" si="15"/>
        <v>1.0344603381014303</v>
      </c>
      <c r="M35" s="20">
        <f t="shared" si="16"/>
        <v>39.426384663733501</v>
      </c>
      <c r="N35" s="37">
        <f t="shared" si="18"/>
        <v>0.3037017939054833</v>
      </c>
      <c r="O35" s="533">
        <v>2357.1692307692306</v>
      </c>
      <c r="P35" s="14">
        <f t="shared" si="17"/>
        <v>79.091478696741859</v>
      </c>
      <c r="Q35" s="15">
        <f t="shared" si="19"/>
        <v>24.685008634059482</v>
      </c>
    </row>
    <row r="36" spans="2:17" ht="15.75" customHeight="1" x14ac:dyDescent="0.2">
      <c r="B36" s="13" t="s">
        <v>45</v>
      </c>
      <c r="C36" s="296">
        <v>14910</v>
      </c>
      <c r="D36" s="352">
        <v>138</v>
      </c>
      <c r="E36" s="200">
        <f t="shared" si="12"/>
        <v>14772</v>
      </c>
      <c r="F36" s="352">
        <v>13640</v>
      </c>
      <c r="G36" s="191">
        <v>20</v>
      </c>
      <c r="H36" s="202">
        <f t="shared" si="13"/>
        <v>13660</v>
      </c>
      <c r="I36" s="352">
        <v>550395.79</v>
      </c>
      <c r="J36" s="191">
        <v>68.97</v>
      </c>
      <c r="K36" s="200">
        <f t="shared" si="14"/>
        <v>550464.76</v>
      </c>
      <c r="L36" s="36">
        <f t="shared" si="15"/>
        <v>0.92336853506634176</v>
      </c>
      <c r="M36" s="20">
        <f t="shared" si="16"/>
        <v>40.351597507331384</v>
      </c>
      <c r="N36" s="37">
        <f t="shared" si="18"/>
        <v>0.31082871671977674</v>
      </c>
      <c r="O36" s="533">
        <v>2481</v>
      </c>
      <c r="P36" s="14">
        <f t="shared" si="17"/>
        <v>72.116082224909306</v>
      </c>
      <c r="Q36" s="15">
        <f t="shared" si="19"/>
        <v>20.508996239830669</v>
      </c>
    </row>
    <row r="37" spans="2:17" ht="15.75" customHeight="1" x14ac:dyDescent="0.2">
      <c r="B37" s="13" t="s">
        <v>46</v>
      </c>
      <c r="C37" s="296">
        <v>44783</v>
      </c>
      <c r="D37" s="352">
        <v>236</v>
      </c>
      <c r="E37" s="200">
        <f t="shared" si="12"/>
        <v>44547</v>
      </c>
      <c r="F37" s="352">
        <v>41940</v>
      </c>
      <c r="G37" s="191">
        <v>1460</v>
      </c>
      <c r="H37" s="202">
        <f t="shared" si="13"/>
        <v>43400</v>
      </c>
      <c r="I37" s="352">
        <v>1746840.9599999997</v>
      </c>
      <c r="J37" s="191">
        <v>5034.47</v>
      </c>
      <c r="K37" s="200">
        <f t="shared" si="14"/>
        <v>1751875.4299999997</v>
      </c>
      <c r="L37" s="36">
        <f t="shared" si="15"/>
        <v>0.9414775405751229</v>
      </c>
      <c r="M37" s="20">
        <f t="shared" si="16"/>
        <v>41.650952789699566</v>
      </c>
      <c r="N37" s="37">
        <f t="shared" si="18"/>
        <v>0.3208376620882516</v>
      </c>
      <c r="O37" s="533">
        <v>7178.4</v>
      </c>
      <c r="P37" s="14">
        <f>C37/4838*12</f>
        <v>111.0781314592807</v>
      </c>
      <c r="Q37" s="15">
        <f t="shared" si="19"/>
        <v>22.558863449425832</v>
      </c>
    </row>
    <row r="38" spans="2:17" ht="15.75" customHeight="1" x14ac:dyDescent="0.2">
      <c r="B38" s="13" t="s">
        <v>47</v>
      </c>
      <c r="C38" s="296">
        <v>32765</v>
      </c>
      <c r="D38" s="352">
        <v>197</v>
      </c>
      <c r="E38" s="200">
        <f t="shared" si="12"/>
        <v>32568</v>
      </c>
      <c r="F38" s="352">
        <v>16540</v>
      </c>
      <c r="G38" s="191">
        <v>8800</v>
      </c>
      <c r="H38" s="202">
        <f t="shared" si="13"/>
        <v>25340</v>
      </c>
      <c r="I38" s="352">
        <v>580229.05999999994</v>
      </c>
      <c r="J38" s="191">
        <v>30344.82</v>
      </c>
      <c r="K38" s="200">
        <f t="shared" si="14"/>
        <v>610573.87999999989</v>
      </c>
      <c r="L38" s="36">
        <f t="shared" si="15"/>
        <v>0.50786047654139033</v>
      </c>
      <c r="M38" s="20">
        <f t="shared" si="16"/>
        <v>35.080354292623937</v>
      </c>
      <c r="N38" s="37">
        <f t="shared" si="18"/>
        <v>0.27022428306265422</v>
      </c>
      <c r="O38" s="533">
        <v>4962.461538461539</v>
      </c>
      <c r="P38" s="14">
        <f t="shared" ref="P38:P56" si="20">C38/O38*12</f>
        <v>79.230840773809518</v>
      </c>
      <c r="Q38" s="15">
        <f t="shared" si="19"/>
        <v>11.373201042499552</v>
      </c>
    </row>
    <row r="39" spans="2:17" ht="15.75" customHeight="1" x14ac:dyDescent="0.2">
      <c r="B39" s="13" t="s">
        <v>48</v>
      </c>
      <c r="C39" s="296">
        <v>9789</v>
      </c>
      <c r="D39" s="352">
        <v>71</v>
      </c>
      <c r="E39" s="200">
        <f t="shared" si="12"/>
        <v>9718</v>
      </c>
      <c r="F39" s="352">
        <v>8030</v>
      </c>
      <c r="G39" s="191">
        <v>0</v>
      </c>
      <c r="H39" s="202">
        <f t="shared" si="13"/>
        <v>8030</v>
      </c>
      <c r="I39" s="352">
        <v>291278.87</v>
      </c>
      <c r="J39" s="191">
        <v>0</v>
      </c>
      <c r="K39" s="200">
        <f t="shared" si="14"/>
        <v>291278.87</v>
      </c>
      <c r="L39" s="36">
        <f t="shared" si="15"/>
        <v>0.82630170817040538</v>
      </c>
      <c r="M39" s="20">
        <f t="shared" si="16"/>
        <v>36.27383188044832</v>
      </c>
      <c r="N39" s="37">
        <f t="shared" si="18"/>
        <v>0.27941765160252102</v>
      </c>
      <c r="O39" s="533">
        <v>1736.8615384615382</v>
      </c>
      <c r="P39" s="14">
        <f t="shared" si="20"/>
        <v>67.632334183673478</v>
      </c>
      <c r="Q39" s="15">
        <f t="shared" si="19"/>
        <v>15.501917862875837</v>
      </c>
    </row>
    <row r="40" spans="2:17" ht="15.75" customHeight="1" x14ac:dyDescent="0.2">
      <c r="B40" s="13" t="s">
        <v>49</v>
      </c>
      <c r="C40" s="296">
        <v>43639</v>
      </c>
      <c r="D40" s="352">
        <v>231</v>
      </c>
      <c r="E40" s="200">
        <f t="shared" si="12"/>
        <v>43408</v>
      </c>
      <c r="F40" s="352">
        <v>44710</v>
      </c>
      <c r="G40" s="191">
        <v>1800</v>
      </c>
      <c r="H40" s="202">
        <f t="shared" si="13"/>
        <v>46510</v>
      </c>
      <c r="I40" s="352">
        <v>1620364.1900000002</v>
      </c>
      <c r="J40" s="191">
        <v>6206.88</v>
      </c>
      <c r="K40" s="200">
        <f t="shared" si="14"/>
        <v>1626571.07</v>
      </c>
      <c r="L40" s="36">
        <f t="shared" si="15"/>
        <v>1.0299944710652413</v>
      </c>
      <c r="M40" s="20">
        <f t="shared" si="16"/>
        <v>36.241650413777684</v>
      </c>
      <c r="N40" s="37">
        <f t="shared" si="18"/>
        <v>0.27916975747675371</v>
      </c>
      <c r="O40" s="533">
        <v>5024.4923076923069</v>
      </c>
      <c r="P40" s="14">
        <f t="shared" si="20"/>
        <v>104.2230673133451</v>
      </c>
      <c r="Q40" s="15">
        <f t="shared" si="19"/>
        <v>29.924197093006335</v>
      </c>
    </row>
    <row r="41" spans="2:17" ht="15.75" customHeight="1" x14ac:dyDescent="0.2">
      <c r="B41" s="13" t="s">
        <v>50</v>
      </c>
      <c r="C41" s="296">
        <v>19146</v>
      </c>
      <c r="D41" s="352">
        <v>126</v>
      </c>
      <c r="E41" s="200">
        <f t="shared" si="12"/>
        <v>19020</v>
      </c>
      <c r="F41" s="352">
        <v>19880</v>
      </c>
      <c r="G41" s="191">
        <v>2260</v>
      </c>
      <c r="H41" s="202">
        <f t="shared" si="13"/>
        <v>22140</v>
      </c>
      <c r="I41" s="352">
        <v>697195.95</v>
      </c>
      <c r="J41" s="191">
        <v>7793.12</v>
      </c>
      <c r="K41" s="200">
        <f t="shared" si="14"/>
        <v>704989.07</v>
      </c>
      <c r="L41" s="36">
        <f t="shared" si="15"/>
        <v>1.0452155625657202</v>
      </c>
      <c r="M41" s="20">
        <f t="shared" si="16"/>
        <v>35.070218812877265</v>
      </c>
      <c r="N41" s="37">
        <f t="shared" si="18"/>
        <v>0.27014620937145961</v>
      </c>
      <c r="O41" s="533">
        <v>2667</v>
      </c>
      <c r="P41" s="14">
        <f t="shared" si="20"/>
        <v>86.146231721034866</v>
      </c>
      <c r="Q41" s="15">
        <f t="shared" si="19"/>
        <v>24.434362723995594</v>
      </c>
    </row>
    <row r="42" spans="2:17" ht="15.75" customHeight="1" x14ac:dyDescent="0.2">
      <c r="B42" s="13" t="s">
        <v>51</v>
      </c>
      <c r="C42" s="296">
        <v>44081</v>
      </c>
      <c r="D42" s="352">
        <v>238</v>
      </c>
      <c r="E42" s="200">
        <f t="shared" si="12"/>
        <v>43843</v>
      </c>
      <c r="F42" s="352">
        <v>48680</v>
      </c>
      <c r="G42" s="191">
        <v>1180</v>
      </c>
      <c r="H42" s="202">
        <f t="shared" si="13"/>
        <v>49860</v>
      </c>
      <c r="I42" s="352">
        <v>1754543.9300000002</v>
      </c>
      <c r="J42" s="191">
        <v>4068.95</v>
      </c>
      <c r="K42" s="200">
        <f t="shared" si="14"/>
        <v>1758612.8800000001</v>
      </c>
      <c r="L42" s="36">
        <f t="shared" si="15"/>
        <v>1.1103254795520379</v>
      </c>
      <c r="M42" s="20">
        <f t="shared" si="16"/>
        <v>36.042397904683654</v>
      </c>
      <c r="N42" s="37">
        <f t="shared" si="18"/>
        <v>0.27763491361602083</v>
      </c>
      <c r="O42" s="533">
        <v>8436.1846153846163</v>
      </c>
      <c r="P42" s="14">
        <f t="shared" si="20"/>
        <v>62.702752976190467</v>
      </c>
      <c r="Q42" s="15">
        <f t="shared" si="19"/>
        <v>19.26929488250622</v>
      </c>
    </row>
    <row r="43" spans="2:17" ht="15.75" customHeight="1" x14ac:dyDescent="0.2">
      <c r="B43" s="13" t="s">
        <v>52</v>
      </c>
      <c r="C43" s="296">
        <v>38675</v>
      </c>
      <c r="D43" s="352">
        <v>294</v>
      </c>
      <c r="E43" s="200">
        <f t="shared" si="12"/>
        <v>38381</v>
      </c>
      <c r="F43" s="352">
        <v>34880</v>
      </c>
      <c r="G43" s="191">
        <v>1500</v>
      </c>
      <c r="H43" s="202">
        <f t="shared" si="13"/>
        <v>36380</v>
      </c>
      <c r="I43" s="352">
        <v>1272128.1399999999</v>
      </c>
      <c r="J43" s="191">
        <v>5172.3999999999996</v>
      </c>
      <c r="K43" s="200">
        <f t="shared" si="14"/>
        <v>1277300.5399999998</v>
      </c>
      <c r="L43" s="36">
        <f t="shared" si="15"/>
        <v>0.9087829915843777</v>
      </c>
      <c r="M43" s="20">
        <f t="shared" si="16"/>
        <v>36.471563646788987</v>
      </c>
      <c r="N43" s="37">
        <f t="shared" si="18"/>
        <v>0.28094078116821514</v>
      </c>
      <c r="O43" s="533">
        <v>4838.3999999999996</v>
      </c>
      <c r="P43" s="14">
        <f t="shared" si="20"/>
        <v>95.9201388888889</v>
      </c>
      <c r="Q43" s="15">
        <f t="shared" si="19"/>
        <v>24.402424331936984</v>
      </c>
    </row>
    <row r="44" spans="2:17" ht="15.75" customHeight="1" x14ac:dyDescent="0.2">
      <c r="B44" s="13" t="s">
        <v>53</v>
      </c>
      <c r="C44" s="296">
        <v>55903</v>
      </c>
      <c r="D44" s="352">
        <v>257</v>
      </c>
      <c r="E44" s="200">
        <f t="shared" si="12"/>
        <v>55646</v>
      </c>
      <c r="F44" s="352">
        <v>59325</v>
      </c>
      <c r="G44" s="191">
        <v>6260</v>
      </c>
      <c r="H44" s="202">
        <f t="shared" si="13"/>
        <v>65585</v>
      </c>
      <c r="I44" s="352">
        <v>2223805.48</v>
      </c>
      <c r="J44" s="191">
        <v>21586.2</v>
      </c>
      <c r="K44" s="200">
        <f t="shared" si="14"/>
        <v>2245391.6800000002</v>
      </c>
      <c r="L44" s="36">
        <f t="shared" si="15"/>
        <v>1.0661143658124572</v>
      </c>
      <c r="M44" s="20">
        <f t="shared" si="16"/>
        <v>37.485132406236829</v>
      </c>
      <c r="N44" s="37">
        <f t="shared" si="18"/>
        <v>0.28874831039302928</v>
      </c>
      <c r="O44" s="533">
        <v>7257.3692307692309</v>
      </c>
      <c r="P44" s="14">
        <f t="shared" si="20"/>
        <v>92.435148146499373</v>
      </c>
      <c r="Q44" s="15">
        <f t="shared" si="19"/>
        <v>28.599243041157653</v>
      </c>
    </row>
    <row r="45" spans="2:17" ht="15.75" customHeight="1" x14ac:dyDescent="0.2">
      <c r="B45" s="13" t="s">
        <v>54</v>
      </c>
      <c r="C45" s="296">
        <v>43595</v>
      </c>
      <c r="D45" s="352">
        <v>145</v>
      </c>
      <c r="E45" s="200">
        <f t="shared" si="12"/>
        <v>43450</v>
      </c>
      <c r="F45" s="352">
        <v>19930</v>
      </c>
      <c r="G45" s="191">
        <v>16400</v>
      </c>
      <c r="H45" s="202">
        <f t="shared" si="13"/>
        <v>36330</v>
      </c>
      <c r="I45" s="352">
        <v>732773.80999999994</v>
      </c>
      <c r="J45" s="191">
        <v>56551.72</v>
      </c>
      <c r="K45" s="200">
        <f t="shared" si="14"/>
        <v>789325.52999999991</v>
      </c>
      <c r="L45" s="36">
        <f t="shared" si="15"/>
        <v>0.45868814729574225</v>
      </c>
      <c r="M45" s="20">
        <f t="shared" si="16"/>
        <v>36.767376317109878</v>
      </c>
      <c r="N45" s="37">
        <f t="shared" si="18"/>
        <v>0.28321942881502976</v>
      </c>
      <c r="O45" s="533">
        <v>4651.9846153846156</v>
      </c>
      <c r="P45" s="14">
        <f t="shared" si="20"/>
        <v>112.45523002589465</v>
      </c>
      <c r="Q45" s="15">
        <f t="shared" si="19"/>
        <v>15.684097324235829</v>
      </c>
    </row>
    <row r="46" spans="2:17" ht="15.75" customHeight="1" x14ac:dyDescent="0.2">
      <c r="B46" s="13" t="s">
        <v>55</v>
      </c>
      <c r="C46" s="296">
        <v>27095</v>
      </c>
      <c r="D46" s="352">
        <v>169</v>
      </c>
      <c r="E46" s="200">
        <f t="shared" si="12"/>
        <v>26926</v>
      </c>
      <c r="F46" s="352">
        <v>21230</v>
      </c>
      <c r="G46" s="191">
        <v>2040</v>
      </c>
      <c r="H46" s="202">
        <f t="shared" si="13"/>
        <v>23270</v>
      </c>
      <c r="I46" s="352">
        <v>792106.05</v>
      </c>
      <c r="J46" s="191">
        <v>7034.48</v>
      </c>
      <c r="K46" s="200">
        <f t="shared" si="14"/>
        <v>799140.53</v>
      </c>
      <c r="L46" s="36">
        <f t="shared" si="15"/>
        <v>0.78845725321250837</v>
      </c>
      <c r="M46" s="20">
        <f t="shared" si="16"/>
        <v>37.310694771549699</v>
      </c>
      <c r="N46" s="37">
        <f t="shared" si="18"/>
        <v>0.28740461573192988</v>
      </c>
      <c r="O46" s="533">
        <v>5086.5230769230766</v>
      </c>
      <c r="P46" s="14">
        <f t="shared" si="20"/>
        <v>63.9218568524971</v>
      </c>
      <c r="Q46" s="15">
        <f t="shared" si="19"/>
        <v>14.522580303966709</v>
      </c>
    </row>
    <row r="47" spans="2:17" ht="15.75" customHeight="1" x14ac:dyDescent="0.2">
      <c r="B47" s="13" t="s">
        <v>56</v>
      </c>
      <c r="C47" s="296">
        <v>13426</v>
      </c>
      <c r="D47" s="352">
        <v>113</v>
      </c>
      <c r="E47" s="200">
        <f t="shared" si="12"/>
        <v>13313</v>
      </c>
      <c r="F47" s="352">
        <v>13060</v>
      </c>
      <c r="G47" s="191">
        <v>160</v>
      </c>
      <c r="H47" s="202">
        <f t="shared" si="13"/>
        <v>13220</v>
      </c>
      <c r="I47" s="352">
        <v>470001.13</v>
      </c>
      <c r="J47" s="191">
        <v>551.72</v>
      </c>
      <c r="K47" s="200">
        <f t="shared" si="14"/>
        <v>470552.85</v>
      </c>
      <c r="L47" s="36">
        <f t="shared" si="15"/>
        <v>0.98099601892886656</v>
      </c>
      <c r="M47" s="20">
        <f t="shared" si="16"/>
        <v>35.987835375191423</v>
      </c>
      <c r="N47" s="37">
        <f t="shared" si="18"/>
        <v>0.2772146179630427</v>
      </c>
      <c r="O47" s="533">
        <v>2481.2307692307691</v>
      </c>
      <c r="P47" s="14">
        <f t="shared" si="20"/>
        <v>64.932291666666671</v>
      </c>
      <c r="Q47" s="15">
        <f t="shared" si="19"/>
        <v>17.530039654402302</v>
      </c>
    </row>
    <row r="48" spans="2:17" ht="15.75" customHeight="1" x14ac:dyDescent="0.2">
      <c r="B48" s="13" t="s">
        <v>57</v>
      </c>
      <c r="C48" s="296">
        <v>10514</v>
      </c>
      <c r="D48" s="352">
        <v>90</v>
      </c>
      <c r="E48" s="200">
        <f t="shared" si="12"/>
        <v>10424</v>
      </c>
      <c r="F48" s="352">
        <v>3960</v>
      </c>
      <c r="G48" s="191">
        <v>3060</v>
      </c>
      <c r="H48" s="202">
        <f t="shared" si="13"/>
        <v>7020</v>
      </c>
      <c r="I48" s="352">
        <v>150636.34</v>
      </c>
      <c r="J48" s="191">
        <v>10551.73</v>
      </c>
      <c r="K48" s="200">
        <f t="shared" si="14"/>
        <v>161188.07</v>
      </c>
      <c r="L48" s="36">
        <f t="shared" si="15"/>
        <v>0.37989255564082886</v>
      </c>
      <c r="M48" s="20">
        <f t="shared" si="16"/>
        <v>38.039479797979794</v>
      </c>
      <c r="N48" s="37">
        <f t="shared" si="18"/>
        <v>0.2930184533126774</v>
      </c>
      <c r="O48" s="533">
        <v>2481.2307692307691</v>
      </c>
      <c r="P48" s="14">
        <f t="shared" si="20"/>
        <v>50.848958333333336</v>
      </c>
      <c r="Q48" s="15">
        <f t="shared" si="19"/>
        <v>6.0049222078169846</v>
      </c>
    </row>
    <row r="49" spans="1:17" ht="15.75" customHeight="1" x14ac:dyDescent="0.2">
      <c r="B49" s="13" t="s">
        <v>58</v>
      </c>
      <c r="C49" s="296">
        <v>47397</v>
      </c>
      <c r="D49" s="352">
        <v>264</v>
      </c>
      <c r="E49" s="200">
        <f t="shared" si="12"/>
        <v>47133</v>
      </c>
      <c r="F49" s="352">
        <v>58210</v>
      </c>
      <c r="G49" s="191">
        <v>3620</v>
      </c>
      <c r="H49" s="202">
        <f t="shared" si="13"/>
        <v>61830</v>
      </c>
      <c r="I49" s="352">
        <v>2197975.7400000002</v>
      </c>
      <c r="J49" s="191">
        <v>12482.75</v>
      </c>
      <c r="K49" s="200">
        <f t="shared" si="14"/>
        <v>2210458.4900000002</v>
      </c>
      <c r="L49" s="36">
        <f t="shared" si="15"/>
        <v>1.2350158063352641</v>
      </c>
      <c r="M49" s="20">
        <f t="shared" si="16"/>
        <v>37.759418313004645</v>
      </c>
      <c r="N49" s="37">
        <f t="shared" si="18"/>
        <v>0.29086113718754397</v>
      </c>
      <c r="O49" s="533">
        <v>7948.5538461538463</v>
      </c>
      <c r="P49" s="14">
        <f t="shared" si="20"/>
        <v>71.555657923260355</v>
      </c>
      <c r="Q49" s="15">
        <f t="shared" si="19"/>
        <v>25.706082178290028</v>
      </c>
    </row>
    <row r="50" spans="1:17" ht="15.75" customHeight="1" x14ac:dyDescent="0.2">
      <c r="B50" s="13" t="s">
        <v>59</v>
      </c>
      <c r="C50" s="296">
        <v>18919</v>
      </c>
      <c r="D50" s="352">
        <v>91</v>
      </c>
      <c r="E50" s="200">
        <f t="shared" si="12"/>
        <v>18828</v>
      </c>
      <c r="F50" s="352">
        <v>9830</v>
      </c>
      <c r="G50" s="191">
        <v>8740</v>
      </c>
      <c r="H50" s="202">
        <f t="shared" si="13"/>
        <v>18570</v>
      </c>
      <c r="I50" s="352">
        <v>365547.24</v>
      </c>
      <c r="J50" s="191">
        <v>30137.93</v>
      </c>
      <c r="K50" s="200">
        <f t="shared" si="14"/>
        <v>395685.17</v>
      </c>
      <c r="L50" s="36">
        <f t="shared" si="15"/>
        <v>0.52209475249628212</v>
      </c>
      <c r="M50" s="20">
        <f t="shared" si="16"/>
        <v>37.1869013224822</v>
      </c>
      <c r="N50" s="37">
        <f t="shared" si="18"/>
        <v>0.28645103368589131</v>
      </c>
      <c r="O50" s="533">
        <v>2481.2307692307691</v>
      </c>
      <c r="P50" s="14">
        <f t="shared" si="20"/>
        <v>91.49813988095238</v>
      </c>
      <c r="Q50" s="15">
        <f t="shared" si="19"/>
        <v>14.740908955835497</v>
      </c>
    </row>
    <row r="51" spans="1:17" ht="15.75" customHeight="1" x14ac:dyDescent="0.2">
      <c r="B51" s="13" t="s">
        <v>60</v>
      </c>
      <c r="C51" s="296">
        <v>22885</v>
      </c>
      <c r="D51" s="352">
        <v>159</v>
      </c>
      <c r="E51" s="200">
        <f t="shared" si="12"/>
        <v>22726</v>
      </c>
      <c r="F51" s="352">
        <v>21010</v>
      </c>
      <c r="G51" s="191">
        <v>480</v>
      </c>
      <c r="H51" s="202">
        <f t="shared" si="13"/>
        <v>21490</v>
      </c>
      <c r="I51" s="352">
        <v>749238.44</v>
      </c>
      <c r="J51" s="191">
        <v>1655.17</v>
      </c>
      <c r="K51" s="200">
        <f t="shared" si="14"/>
        <v>750893.61</v>
      </c>
      <c r="L51" s="36">
        <f t="shared" si="15"/>
        <v>0.92449177153920614</v>
      </c>
      <c r="M51" s="20">
        <f t="shared" si="16"/>
        <v>35.661039504997618</v>
      </c>
      <c r="N51" s="37">
        <f t="shared" si="18"/>
        <v>0.27469730645032731</v>
      </c>
      <c r="O51" s="533">
        <v>5210.584615384616</v>
      </c>
      <c r="P51" s="14">
        <f t="shared" si="20"/>
        <v>52.704258786848058</v>
      </c>
      <c r="Q51" s="15">
        <f t="shared" si="19"/>
        <v>13.320901107563255</v>
      </c>
    </row>
    <row r="52" spans="1:17" ht="15.75" customHeight="1" x14ac:dyDescent="0.2">
      <c r="B52" s="13" t="s">
        <v>61</v>
      </c>
      <c r="C52" s="296">
        <v>16104</v>
      </c>
      <c r="D52" s="352">
        <v>67</v>
      </c>
      <c r="E52" s="200">
        <f t="shared" si="12"/>
        <v>16037</v>
      </c>
      <c r="F52" s="352">
        <v>9170</v>
      </c>
      <c r="G52" s="191">
        <v>760</v>
      </c>
      <c r="H52" s="202">
        <f t="shared" si="13"/>
        <v>9930</v>
      </c>
      <c r="I52" s="352">
        <v>339338.42000000004</v>
      </c>
      <c r="J52" s="191">
        <v>2620.6999999999998</v>
      </c>
      <c r="K52" s="200">
        <f t="shared" si="14"/>
        <v>341959.12000000005</v>
      </c>
      <c r="L52" s="36">
        <f t="shared" si="15"/>
        <v>0.57180270624181584</v>
      </c>
      <c r="M52" s="20">
        <f t="shared" si="16"/>
        <v>37.005280261723016</v>
      </c>
      <c r="N52" s="37">
        <f t="shared" si="18"/>
        <v>0.28505200502947181</v>
      </c>
      <c r="O52" s="533">
        <v>2481.2307692307695</v>
      </c>
      <c r="P52" s="14">
        <f t="shared" si="20"/>
        <v>77.883928571428569</v>
      </c>
      <c r="Q52" s="15">
        <f t="shared" si="19"/>
        <v>12.739391406904698</v>
      </c>
    </row>
    <row r="53" spans="1:17" ht="15.75" customHeight="1" x14ac:dyDescent="0.2">
      <c r="B53" s="13" t="s">
        <v>62</v>
      </c>
      <c r="C53" s="296">
        <v>22960</v>
      </c>
      <c r="D53" s="352">
        <v>211</v>
      </c>
      <c r="E53" s="200">
        <f t="shared" si="12"/>
        <v>22749</v>
      </c>
      <c r="F53" s="352">
        <v>20060</v>
      </c>
      <c r="G53" s="191">
        <v>940</v>
      </c>
      <c r="H53" s="202">
        <f t="shared" si="13"/>
        <v>21000</v>
      </c>
      <c r="I53" s="352">
        <v>743501.34000000008</v>
      </c>
      <c r="J53" s="191">
        <v>3241.38</v>
      </c>
      <c r="K53" s="200">
        <f t="shared" si="14"/>
        <v>746742.72000000009</v>
      </c>
      <c r="L53" s="36">
        <f t="shared" si="15"/>
        <v>0.88179700206602485</v>
      </c>
      <c r="M53" s="20">
        <f t="shared" si="16"/>
        <v>37.063875373878368</v>
      </c>
      <c r="N53" s="37">
        <f t="shared" si="18"/>
        <v>0.285503363702793</v>
      </c>
      <c r="O53" s="533">
        <v>2605.292307692308</v>
      </c>
      <c r="P53" s="14">
        <f t="shared" si="20"/>
        <v>105.75396825396824</v>
      </c>
      <c r="Q53" s="15">
        <f t="shared" si="19"/>
        <v>26.494528102091049</v>
      </c>
    </row>
    <row r="54" spans="1:17" ht="15.75" customHeight="1" x14ac:dyDescent="0.2">
      <c r="B54" s="13" t="s">
        <v>63</v>
      </c>
      <c r="C54" s="296">
        <v>18213</v>
      </c>
      <c r="D54" s="352">
        <v>110</v>
      </c>
      <c r="E54" s="200">
        <f t="shared" si="12"/>
        <v>18103</v>
      </c>
      <c r="F54" s="352">
        <v>10380</v>
      </c>
      <c r="G54" s="191">
        <v>3820</v>
      </c>
      <c r="H54" s="202">
        <f t="shared" si="13"/>
        <v>14200</v>
      </c>
      <c r="I54" s="352">
        <v>371442.07000000007</v>
      </c>
      <c r="J54" s="191">
        <v>13172.43</v>
      </c>
      <c r="K54" s="200">
        <f t="shared" si="14"/>
        <v>384614.50000000006</v>
      </c>
      <c r="L54" s="36">
        <f t="shared" si="15"/>
        <v>0.57338562669170856</v>
      </c>
      <c r="M54" s="20">
        <f t="shared" si="16"/>
        <v>35.784399807321776</v>
      </c>
      <c r="N54" s="37">
        <f t="shared" si="18"/>
        <v>0.27564755196312551</v>
      </c>
      <c r="O54" s="533">
        <v>2481.2307692307691</v>
      </c>
      <c r="P54" s="14">
        <f t="shared" si="20"/>
        <v>88.083705357142861</v>
      </c>
      <c r="Q54" s="15">
        <f t="shared" si="19"/>
        <v>14.328480715095267</v>
      </c>
    </row>
    <row r="55" spans="1:17" ht="15.75" customHeight="1" x14ac:dyDescent="0.2">
      <c r="B55" s="13" t="s">
        <v>65</v>
      </c>
      <c r="C55" s="296">
        <v>12690</v>
      </c>
      <c r="D55" s="352">
        <v>121</v>
      </c>
      <c r="E55" s="200">
        <f t="shared" si="12"/>
        <v>12569</v>
      </c>
      <c r="F55" s="352">
        <v>14260</v>
      </c>
      <c r="G55" s="353">
        <v>520</v>
      </c>
      <c r="H55" s="202">
        <f t="shared" si="13"/>
        <v>14780</v>
      </c>
      <c r="I55" s="352">
        <v>536730.09</v>
      </c>
      <c r="J55" s="191">
        <v>1793.1</v>
      </c>
      <c r="K55" s="200">
        <f t="shared" si="14"/>
        <v>538523.18999999994</v>
      </c>
      <c r="L55" s="36">
        <f t="shared" si="15"/>
        <v>1.1345373538069854</v>
      </c>
      <c r="M55" s="20">
        <f t="shared" si="16"/>
        <v>37.638856241234222</v>
      </c>
      <c r="N55" s="37">
        <f t="shared" si="18"/>
        <v>0.28993244646974353</v>
      </c>
      <c r="O55" s="533">
        <v>2740</v>
      </c>
      <c r="P55" s="14">
        <f t="shared" si="20"/>
        <v>55.576642335766422</v>
      </c>
      <c r="Q55" s="15">
        <f t="shared" si="19"/>
        <v>18.167513658418827</v>
      </c>
    </row>
    <row r="56" spans="1:17" ht="15.75" customHeight="1" x14ac:dyDescent="0.2">
      <c r="B56" s="388" t="s">
        <v>180</v>
      </c>
      <c r="C56" s="296">
        <v>600</v>
      </c>
      <c r="D56" s="352">
        <v>0</v>
      </c>
      <c r="E56" s="200">
        <f t="shared" si="12"/>
        <v>600</v>
      </c>
      <c r="F56" s="14">
        <v>600</v>
      </c>
      <c r="G56" s="353">
        <v>0</v>
      </c>
      <c r="H56" s="202">
        <f t="shared" si="13"/>
        <v>600</v>
      </c>
      <c r="I56" s="14">
        <v>29569.84</v>
      </c>
      <c r="J56" s="191">
        <v>0</v>
      </c>
      <c r="K56" s="200">
        <f t="shared" si="14"/>
        <v>29569.84</v>
      </c>
      <c r="L56" s="36">
        <f t="shared" si="15"/>
        <v>1</v>
      </c>
      <c r="M56" s="20">
        <f t="shared" si="16"/>
        <v>49.28306666666667</v>
      </c>
      <c r="N56" s="37">
        <f t="shared" si="18"/>
        <v>0.37962790358503173</v>
      </c>
      <c r="O56" s="533">
        <v>2357</v>
      </c>
      <c r="P56" s="14">
        <f t="shared" si="20"/>
        <v>3.0547305897327108</v>
      </c>
      <c r="Q56" s="15">
        <f t="shared" si="19"/>
        <v>1.1596609697972968</v>
      </c>
    </row>
    <row r="57" spans="1:17" ht="15.75" customHeight="1" thickBot="1" x14ac:dyDescent="0.25">
      <c r="B57" s="490" t="s">
        <v>35</v>
      </c>
      <c r="C57" s="491">
        <f>SUM(C29:C56)</f>
        <v>693808</v>
      </c>
      <c r="D57" s="491">
        <f t="shared" ref="D57:K57" si="21">SUM(D29:D56)</f>
        <v>4437</v>
      </c>
      <c r="E57" s="491">
        <f t="shared" si="21"/>
        <v>689371</v>
      </c>
      <c r="F57" s="491">
        <f t="shared" si="21"/>
        <v>612015</v>
      </c>
      <c r="G57" s="491">
        <f t="shared" si="21"/>
        <v>73940</v>
      </c>
      <c r="H57" s="491">
        <f t="shared" si="21"/>
        <v>685955</v>
      </c>
      <c r="I57" s="491">
        <f t="shared" si="21"/>
        <v>22830024.169999998</v>
      </c>
      <c r="J57" s="491">
        <f t="shared" si="21"/>
        <v>254965.45000000004</v>
      </c>
      <c r="K57" s="491">
        <f t="shared" si="21"/>
        <v>23084989.620000001</v>
      </c>
      <c r="L57" s="484">
        <f t="shared" ref="L57" si="22">F57/E57</f>
        <v>0.8877875628652786</v>
      </c>
      <c r="M57" s="483">
        <f t="shared" ref="M57" si="23">I57/F57</f>
        <v>37.303046771729448</v>
      </c>
      <c r="N57" s="492">
        <f>M57/129.8194</f>
        <v>0.28734570312086982</v>
      </c>
      <c r="O57" s="575">
        <f>SUM(O29:O56)</f>
        <v>109423.09230769231</v>
      </c>
      <c r="P57" s="493">
        <f>(C57/O57)*12</f>
        <v>76.087193520253976</v>
      </c>
      <c r="Q57" s="494">
        <f>(K57*12/O57)/129.8194</f>
        <v>19.501245437876726</v>
      </c>
    </row>
    <row r="58" spans="1:17" ht="17.25" customHeight="1" thickTop="1" thickBot="1" x14ac:dyDescent="0.25">
      <c r="B58" s="26" t="s">
        <v>36</v>
      </c>
      <c r="C58" s="42"/>
      <c r="D58" s="28">
        <f>D57/C57</f>
        <v>6.3951410188409471E-3</v>
      </c>
      <c r="E58" s="28">
        <f>E57/C57</f>
        <v>0.99360485898115902</v>
      </c>
      <c r="F58" s="30"/>
      <c r="G58" s="30"/>
      <c r="H58" s="30"/>
      <c r="I58" s="30"/>
      <c r="J58" s="30"/>
      <c r="K58" s="30"/>
      <c r="L58" s="32"/>
      <c r="M58" s="30"/>
      <c r="N58" s="43"/>
      <c r="O58" s="534"/>
      <c r="P58" s="34"/>
      <c r="Q58" s="34"/>
    </row>
    <row r="59" spans="1:17" ht="18.75" customHeight="1" thickTop="1" x14ac:dyDescent="0.2">
      <c r="I59" s="44"/>
      <c r="M59" s="45"/>
      <c r="N59" s="46"/>
      <c r="O59" s="535"/>
    </row>
    <row r="60" spans="1:17" s="48" customFormat="1" ht="15" customHeight="1" thickBot="1" x14ac:dyDescent="0.25">
      <c r="B60" s="49" t="s">
        <v>68</v>
      </c>
      <c r="C60" s="52">
        <f t="shared" ref="C60:K60" si="24">C26+C57</f>
        <v>1758999</v>
      </c>
      <c r="D60" s="334">
        <f t="shared" si="24"/>
        <v>9018</v>
      </c>
      <c r="E60" s="23">
        <f t="shared" si="24"/>
        <v>1749981</v>
      </c>
      <c r="F60" s="52">
        <f t="shared" si="24"/>
        <v>1548527</v>
      </c>
      <c r="G60" s="52">
        <f t="shared" si="24"/>
        <v>153600</v>
      </c>
      <c r="H60" s="52">
        <f t="shared" si="24"/>
        <v>1701797</v>
      </c>
      <c r="I60" s="52">
        <f t="shared" si="24"/>
        <v>37794162.219999999</v>
      </c>
      <c r="J60" s="52">
        <f t="shared" si="24"/>
        <v>495318.91000000003</v>
      </c>
      <c r="K60" s="52">
        <f t="shared" si="24"/>
        <v>38289481.129999995</v>
      </c>
      <c r="L60" s="471">
        <f>F60/(E60)</f>
        <v>0.88488217872079755</v>
      </c>
      <c r="M60" s="53">
        <f>I60/F60</f>
        <v>24.406524535897663</v>
      </c>
      <c r="N60" s="212">
        <f>M60/129.8194</f>
        <v>0.18800367692269154</v>
      </c>
      <c r="O60" s="536">
        <f>O57+O26</f>
        <v>198311.6556153846</v>
      </c>
      <c r="P60" s="477">
        <f>(C60/O60)*12</f>
        <v>106.43846391428386</v>
      </c>
      <c r="Q60" s="473">
        <f>(K60*12/O60)/129.8194</f>
        <v>17.847315019099586</v>
      </c>
    </row>
    <row r="61" spans="1:17" ht="16.5" customHeight="1" thickTop="1" thickBot="1" x14ac:dyDescent="0.25">
      <c r="B61" s="26" t="s">
        <v>36</v>
      </c>
      <c r="C61" s="546"/>
      <c r="D61" s="547">
        <f>D60/C60</f>
        <v>5.1267794921998249E-3</v>
      </c>
      <c r="E61" s="547">
        <f>E60/C60</f>
        <v>0.99487322050780014</v>
      </c>
      <c r="G61" s="56"/>
      <c r="N61" s="46"/>
    </row>
    <row r="62" spans="1:17" ht="16.5" customHeight="1" thickTop="1" x14ac:dyDescent="0.2">
      <c r="F62" s="604"/>
      <c r="G62" s="153"/>
      <c r="H62" s="45"/>
      <c r="O62" s="538"/>
    </row>
    <row r="63" spans="1:17" s="16" customFormat="1" ht="15" customHeight="1" x14ac:dyDescent="0.25">
      <c r="B63" s="48" t="s">
        <v>69</v>
      </c>
      <c r="C63" s="47"/>
      <c r="D63" s="47"/>
      <c r="E63" s="47"/>
      <c r="F63" s="604"/>
      <c r="G63" s="604"/>
      <c r="H63" s="47"/>
      <c r="I63" s="47"/>
      <c r="J63" s="47"/>
      <c r="K63" s="47"/>
      <c r="L63" s="38"/>
      <c r="M63" s="60"/>
      <c r="N63"/>
      <c r="O63" s="539"/>
      <c r="P63"/>
      <c r="Q63" s="61"/>
    </row>
    <row r="64" spans="1:17" ht="16.5" customHeight="1" x14ac:dyDescent="0.25">
      <c r="A64" s="16">
        <v>1</v>
      </c>
      <c r="B64" s="16" t="s">
        <v>70</v>
      </c>
      <c r="E64" s="16"/>
      <c r="F64" s="604"/>
      <c r="G64" s="604"/>
      <c r="N64"/>
      <c r="O64" s="540"/>
      <c r="P64"/>
      <c r="Q64" s="62"/>
    </row>
    <row r="65" spans="1:17" ht="16.5" customHeight="1" x14ac:dyDescent="0.25">
      <c r="A65" s="16">
        <v>2</v>
      </c>
      <c r="B65" s="16" t="s">
        <v>152</v>
      </c>
      <c r="C65" s="47"/>
      <c r="E65" s="16"/>
      <c r="N65"/>
      <c r="O65" s="540"/>
      <c r="P65"/>
    </row>
    <row r="66" spans="1:17" ht="16.5" customHeight="1" x14ac:dyDescent="0.2">
      <c r="A66" s="16">
        <v>3</v>
      </c>
      <c r="B66" s="16" t="s">
        <v>153</v>
      </c>
      <c r="C66" s="47"/>
      <c r="E66" s="16"/>
    </row>
    <row r="67" spans="1:17" ht="16.5" customHeight="1" x14ac:dyDescent="0.2">
      <c r="A67" s="16">
        <v>4</v>
      </c>
      <c r="B67" s="16" t="s">
        <v>154</v>
      </c>
      <c r="C67" s="47"/>
      <c r="E67" s="16"/>
    </row>
    <row r="68" spans="1:17" x14ac:dyDescent="0.2">
      <c r="A68" s="16">
        <v>5</v>
      </c>
      <c r="B68" s="16" t="s">
        <v>155</v>
      </c>
      <c r="C68" s="47"/>
      <c r="E68" s="16"/>
    </row>
    <row r="69" spans="1:17" x14ac:dyDescent="0.2">
      <c r="A69" s="16">
        <v>6</v>
      </c>
      <c r="B69" s="16" t="s">
        <v>135</v>
      </c>
      <c r="C69" s="47"/>
      <c r="E69" s="16"/>
      <c r="F69" s="1"/>
      <c r="I69" s="1"/>
      <c r="J69" s="1"/>
      <c r="K69" s="1"/>
      <c r="O69" s="1"/>
      <c r="P69" s="1"/>
      <c r="Q69" s="1"/>
    </row>
    <row r="70" spans="1:17" x14ac:dyDescent="0.2">
      <c r="A70" s="1">
        <v>7</v>
      </c>
      <c r="B70" s="16" t="s">
        <v>156</v>
      </c>
      <c r="F70" s="1"/>
      <c r="I70" s="1"/>
      <c r="J70" s="1"/>
      <c r="K70" s="1"/>
      <c r="O70" s="1"/>
      <c r="P70" s="1"/>
      <c r="Q70" s="1"/>
    </row>
    <row r="71" spans="1:17" x14ac:dyDescent="0.2">
      <c r="F71" s="1"/>
      <c r="I71" s="1"/>
      <c r="J71" s="1"/>
      <c r="K71" s="1"/>
      <c r="O71" s="1"/>
      <c r="P71" s="1"/>
      <c r="Q71" s="1"/>
    </row>
    <row r="72" spans="1:17" x14ac:dyDescent="0.2">
      <c r="F72" s="1"/>
      <c r="I72" s="1"/>
      <c r="J72" s="1"/>
      <c r="K72" s="1"/>
      <c r="O72" s="1"/>
      <c r="P72" s="1"/>
      <c r="Q72" s="1"/>
    </row>
    <row r="73" spans="1:17" x14ac:dyDescent="0.2">
      <c r="F73" s="1"/>
      <c r="I73" s="1"/>
      <c r="J73" s="1"/>
      <c r="K73" s="1"/>
      <c r="O73" s="1"/>
      <c r="P73" s="1"/>
      <c r="Q73" s="1"/>
    </row>
    <row r="74" spans="1:17" x14ac:dyDescent="0.2">
      <c r="F74" s="1"/>
      <c r="I74" s="1"/>
      <c r="J74" s="1"/>
      <c r="K74" s="1"/>
      <c r="O74" s="1"/>
      <c r="P74" s="1"/>
      <c r="Q74" s="1"/>
    </row>
    <row r="75" spans="1:17" x14ac:dyDescent="0.2">
      <c r="F75" s="1"/>
      <c r="I75" s="1"/>
      <c r="J75" s="1"/>
      <c r="K75" s="1"/>
      <c r="O75" s="1"/>
      <c r="P75" s="1"/>
      <c r="Q75" s="1"/>
    </row>
    <row r="76" spans="1:17" x14ac:dyDescent="0.2">
      <c r="F76" s="1"/>
      <c r="I76" s="1"/>
      <c r="J76" s="1"/>
      <c r="K76" s="1"/>
      <c r="O76" s="1"/>
      <c r="P76" s="1"/>
      <c r="Q76" s="1"/>
    </row>
    <row r="77" spans="1:17" x14ac:dyDescent="0.2">
      <c r="F77" s="1"/>
      <c r="I77" s="1"/>
      <c r="J77" s="1"/>
      <c r="K77" s="1"/>
      <c r="O77" s="1"/>
      <c r="P77" s="1"/>
      <c r="Q77" s="1"/>
    </row>
    <row r="78" spans="1:17" x14ac:dyDescent="0.2">
      <c r="C78" s="1"/>
      <c r="F78" s="1"/>
      <c r="I78" s="1"/>
      <c r="J78" s="1"/>
      <c r="K78" s="1"/>
      <c r="O78" s="1"/>
      <c r="P78" s="1"/>
      <c r="Q78" s="1"/>
    </row>
    <row r="79" spans="1:17" x14ac:dyDescent="0.2">
      <c r="C79" s="1"/>
      <c r="F79" s="1"/>
      <c r="I79" s="1"/>
      <c r="J79" s="1"/>
      <c r="K79" s="1"/>
      <c r="O79" s="1"/>
      <c r="P79" s="1"/>
      <c r="Q79" s="1"/>
    </row>
    <row r="80" spans="1:17" x14ac:dyDescent="0.2">
      <c r="C80" s="1"/>
      <c r="F80" s="1"/>
      <c r="I80" s="1"/>
      <c r="J80" s="1"/>
      <c r="K80" s="1"/>
      <c r="O80" s="1"/>
      <c r="P80" s="1"/>
      <c r="Q80" s="1"/>
    </row>
    <row r="81" spans="3:17" x14ac:dyDescent="0.2">
      <c r="C81" s="1"/>
      <c r="F81" s="1"/>
      <c r="I81" s="1"/>
      <c r="J81" s="1"/>
      <c r="K81" s="1"/>
      <c r="O81" s="1"/>
      <c r="P81" s="1"/>
      <c r="Q81" s="1"/>
    </row>
    <row r="82" spans="3:17" x14ac:dyDescent="0.2">
      <c r="C82" s="1"/>
      <c r="F82" s="1"/>
      <c r="I82" s="1"/>
      <c r="J82" s="1"/>
      <c r="K82" s="1"/>
      <c r="O82" s="1"/>
      <c r="P82" s="1"/>
      <c r="Q82" s="1"/>
    </row>
    <row r="83" spans="3:17" x14ac:dyDescent="0.2">
      <c r="C83" s="1"/>
      <c r="F83" s="1"/>
      <c r="I83" s="1"/>
      <c r="J83" s="1"/>
      <c r="K83" s="1"/>
      <c r="O83" s="1"/>
      <c r="P83" s="1"/>
      <c r="Q83" s="1"/>
    </row>
    <row r="84" spans="3:17" x14ac:dyDescent="0.2">
      <c r="C84" s="1"/>
      <c r="F84" s="1"/>
      <c r="I84" s="1"/>
      <c r="J84" s="1"/>
      <c r="K84" s="1"/>
      <c r="O84" s="1"/>
      <c r="P84" s="1"/>
      <c r="Q84" s="1"/>
    </row>
    <row r="85" spans="3:17" x14ac:dyDescent="0.2">
      <c r="C85" s="1"/>
      <c r="F85" s="1"/>
      <c r="I85" s="1"/>
      <c r="J85" s="1"/>
      <c r="K85" s="1"/>
      <c r="O85" s="1"/>
      <c r="P85" s="1"/>
      <c r="Q85" s="1"/>
    </row>
    <row r="86" spans="3:17" x14ac:dyDescent="0.2">
      <c r="C86" s="1"/>
      <c r="F86" s="1"/>
      <c r="I86" s="1"/>
      <c r="J86" s="1"/>
      <c r="K86" s="1"/>
      <c r="O86" s="1"/>
      <c r="P86" s="1"/>
      <c r="Q86" s="1"/>
    </row>
    <row r="87" spans="3:17" x14ac:dyDescent="0.2">
      <c r="C87" s="1"/>
      <c r="F87" s="1"/>
      <c r="I87" s="1"/>
      <c r="J87" s="1"/>
      <c r="K87" s="1"/>
      <c r="O87" s="1"/>
      <c r="P87" s="1"/>
      <c r="Q87" s="1"/>
    </row>
    <row r="88" spans="3:17" x14ac:dyDescent="0.2">
      <c r="C88" s="1"/>
      <c r="F88" s="1"/>
      <c r="I88" s="1"/>
      <c r="J88" s="1"/>
      <c r="K88" s="1"/>
      <c r="O88" s="1"/>
      <c r="P88" s="1"/>
      <c r="Q88" s="1"/>
    </row>
    <row r="89" spans="3:17" x14ac:dyDescent="0.2">
      <c r="C89" s="1"/>
      <c r="F89" s="1"/>
      <c r="I89" s="1"/>
      <c r="J89" s="1"/>
      <c r="K89" s="1"/>
      <c r="O89" s="1"/>
      <c r="P89" s="1"/>
      <c r="Q89" s="1"/>
    </row>
    <row r="90" spans="3:17" x14ac:dyDescent="0.2">
      <c r="C90" s="1"/>
      <c r="F90" s="1"/>
      <c r="I90" s="1"/>
      <c r="J90" s="1"/>
      <c r="K90" s="1"/>
      <c r="O90" s="1"/>
      <c r="P90" s="1"/>
      <c r="Q90" s="1"/>
    </row>
    <row r="91" spans="3:17" x14ac:dyDescent="0.2">
      <c r="C91" s="1"/>
      <c r="F91" s="1"/>
      <c r="I91" s="1"/>
      <c r="J91" s="1"/>
      <c r="K91" s="1"/>
      <c r="O91" s="1"/>
      <c r="P91" s="1"/>
      <c r="Q91" s="1"/>
    </row>
    <row r="92" spans="3:17" x14ac:dyDescent="0.2">
      <c r="C92" s="1"/>
      <c r="F92" s="1"/>
      <c r="I92" s="1"/>
      <c r="J92" s="1"/>
      <c r="K92" s="1"/>
      <c r="O92" s="1"/>
      <c r="P92" s="1"/>
      <c r="Q92" s="1"/>
    </row>
    <row r="93" spans="3:17" x14ac:dyDescent="0.2">
      <c r="C93" s="1"/>
      <c r="F93" s="1"/>
      <c r="I93" s="1"/>
      <c r="J93" s="1"/>
      <c r="K93" s="1"/>
      <c r="O93" s="1"/>
      <c r="P93" s="1"/>
      <c r="Q93" s="1"/>
    </row>
    <row r="94" spans="3:17" x14ac:dyDescent="0.2">
      <c r="C94" s="1"/>
      <c r="F94" s="1"/>
      <c r="I94" s="1"/>
      <c r="J94" s="1"/>
      <c r="K94" s="1"/>
      <c r="O94" s="1"/>
      <c r="P94" s="1"/>
      <c r="Q94" s="1"/>
    </row>
    <row r="95" spans="3:17" x14ac:dyDescent="0.2">
      <c r="C95" s="1"/>
      <c r="F95" s="1"/>
      <c r="I95" s="1"/>
      <c r="J95" s="1"/>
      <c r="K95" s="1"/>
      <c r="O95" s="1"/>
      <c r="P95" s="1"/>
      <c r="Q95" s="1"/>
    </row>
    <row r="96" spans="3:17" x14ac:dyDescent="0.2">
      <c r="C96" s="1"/>
      <c r="F96" s="1"/>
      <c r="I96" s="1"/>
      <c r="J96" s="1"/>
      <c r="K96" s="1"/>
      <c r="O96" s="1"/>
      <c r="P96" s="1"/>
      <c r="Q96" s="1"/>
    </row>
    <row r="97" spans="3:17" x14ac:dyDescent="0.2">
      <c r="C97" s="1"/>
      <c r="F97" s="1"/>
      <c r="I97" s="1"/>
      <c r="J97" s="1"/>
      <c r="K97" s="1"/>
      <c r="O97" s="1"/>
      <c r="P97" s="1"/>
      <c r="Q97" s="1"/>
    </row>
    <row r="98" spans="3:17" x14ac:dyDescent="0.2">
      <c r="C98" s="1"/>
      <c r="F98" s="1"/>
      <c r="I98" s="1"/>
      <c r="J98" s="1"/>
      <c r="K98" s="1"/>
      <c r="O98" s="1"/>
      <c r="P98" s="1"/>
      <c r="Q98" s="1"/>
    </row>
    <row r="99" spans="3:17" x14ac:dyDescent="0.2">
      <c r="C99" s="1"/>
      <c r="F99" s="1"/>
      <c r="I99" s="1"/>
      <c r="J99" s="1"/>
      <c r="K99" s="1"/>
      <c r="O99" s="1"/>
      <c r="P99" s="1"/>
      <c r="Q99" s="1"/>
    </row>
    <row r="100" spans="3:17" x14ac:dyDescent="0.2">
      <c r="C100" s="1"/>
      <c r="F100" s="1"/>
      <c r="I100" s="1"/>
      <c r="J100" s="1"/>
      <c r="K100" s="1"/>
      <c r="O100" s="1"/>
      <c r="P100" s="1"/>
      <c r="Q100" s="1"/>
    </row>
    <row r="101" spans="3:17" x14ac:dyDescent="0.2">
      <c r="C101" s="1"/>
      <c r="F101" s="1"/>
      <c r="I101" s="1"/>
      <c r="J101" s="1"/>
      <c r="K101" s="1"/>
      <c r="O101" s="1"/>
      <c r="P101" s="1"/>
      <c r="Q101" s="1"/>
    </row>
    <row r="102" spans="3:17" x14ac:dyDescent="0.2">
      <c r="C102" s="1"/>
      <c r="F102" s="1"/>
      <c r="I102" s="1"/>
      <c r="J102" s="1"/>
      <c r="K102" s="1"/>
      <c r="O102" s="1"/>
      <c r="P102" s="1"/>
      <c r="Q102" s="1"/>
    </row>
    <row r="103" spans="3:17" x14ac:dyDescent="0.2">
      <c r="C103" s="1"/>
      <c r="F103" s="1"/>
      <c r="I103" s="1"/>
      <c r="J103" s="1"/>
      <c r="K103" s="1"/>
      <c r="O103" s="1"/>
      <c r="P103" s="1"/>
      <c r="Q103" s="1"/>
    </row>
    <row r="104" spans="3:17" x14ac:dyDescent="0.2">
      <c r="C104" s="1"/>
      <c r="F104" s="1"/>
      <c r="I104" s="1"/>
      <c r="J104" s="1"/>
      <c r="K104" s="1"/>
      <c r="O104" s="1"/>
      <c r="P104" s="1"/>
      <c r="Q104" s="1"/>
    </row>
    <row r="105" spans="3:17" x14ac:dyDescent="0.2">
      <c r="C105" s="1"/>
      <c r="F105" s="1"/>
      <c r="I105" s="1"/>
      <c r="J105" s="1"/>
      <c r="K105" s="1"/>
      <c r="O105" s="1"/>
      <c r="P105" s="1"/>
      <c r="Q105" s="1"/>
    </row>
    <row r="106" spans="3:17" x14ac:dyDescent="0.2">
      <c r="C106" s="1"/>
      <c r="F106" s="1"/>
      <c r="I106" s="1"/>
      <c r="J106" s="1"/>
      <c r="K106" s="1"/>
      <c r="O106" s="1"/>
      <c r="P106" s="1"/>
      <c r="Q106" s="1"/>
    </row>
    <row r="107" spans="3:17" x14ac:dyDescent="0.2">
      <c r="C107" s="1"/>
      <c r="F107" s="1"/>
      <c r="I107" s="1"/>
      <c r="J107" s="1"/>
      <c r="K107" s="1"/>
      <c r="O107" s="1"/>
      <c r="P107" s="1"/>
      <c r="Q107" s="1"/>
    </row>
    <row r="108" spans="3:17" x14ac:dyDescent="0.2">
      <c r="C108" s="1"/>
      <c r="F108" s="1"/>
      <c r="I108" s="1"/>
      <c r="J108" s="1"/>
      <c r="K108" s="1"/>
      <c r="O108" s="1"/>
      <c r="P108" s="1"/>
      <c r="Q108" s="1"/>
    </row>
    <row r="109" spans="3:17" x14ac:dyDescent="0.2">
      <c r="C109" s="1"/>
      <c r="F109" s="1"/>
      <c r="I109" s="1"/>
      <c r="J109" s="1"/>
      <c r="K109" s="1"/>
      <c r="O109" s="1"/>
      <c r="P109" s="1"/>
      <c r="Q109" s="1"/>
    </row>
    <row r="110" spans="3:17" x14ac:dyDescent="0.2">
      <c r="C110" s="1"/>
      <c r="F110" s="1"/>
      <c r="I110" s="1"/>
      <c r="J110" s="1"/>
      <c r="K110" s="1"/>
      <c r="O110" s="1"/>
      <c r="P110" s="1"/>
      <c r="Q110" s="1"/>
    </row>
    <row r="111" spans="3:17" x14ac:dyDescent="0.2">
      <c r="C111" s="1"/>
      <c r="F111" s="1"/>
      <c r="I111" s="1"/>
      <c r="J111" s="1"/>
      <c r="K111" s="1"/>
      <c r="O111" s="1"/>
      <c r="P111" s="1"/>
      <c r="Q111" s="1"/>
    </row>
    <row r="112" spans="3:17" x14ac:dyDescent="0.2">
      <c r="C112" s="1"/>
      <c r="F112" s="1"/>
      <c r="I112" s="1"/>
      <c r="J112" s="1"/>
      <c r="K112" s="1"/>
      <c r="O112" s="1"/>
      <c r="P112" s="1"/>
      <c r="Q112" s="1"/>
    </row>
    <row r="113" spans="3:17" x14ac:dyDescent="0.2">
      <c r="C113" s="1"/>
      <c r="F113" s="1"/>
      <c r="I113" s="1"/>
      <c r="J113" s="1"/>
      <c r="K113" s="1"/>
      <c r="O113" s="1"/>
      <c r="P113" s="1"/>
      <c r="Q113" s="1"/>
    </row>
  </sheetData>
  <mergeCells count="5">
    <mergeCell ref="B28:Q28"/>
    <mergeCell ref="B1:Q1"/>
    <mergeCell ref="B2:Q2"/>
    <mergeCell ref="B3:Q3"/>
    <mergeCell ref="B5:Q5"/>
  </mergeCells>
  <conditionalFormatting sqref="P57">
    <cfRule type="cellIs" dxfId="8" priority="3" operator="between">
      <formula>0</formula>
      <formula>79</formula>
    </cfRule>
  </conditionalFormatting>
  <conditionalFormatting sqref="P6:P25">
    <cfRule type="cellIs" dxfId="7" priority="2" operator="between">
      <formula>0</formula>
      <formula>140</formula>
    </cfRule>
  </conditionalFormatting>
  <conditionalFormatting sqref="P29:P56">
    <cfRule type="cellIs" dxfId="6" priority="1" operator="between">
      <formula>0</formula>
      <formula>79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8">
    <tabColor rgb="FF00B0F0"/>
  </sheetPr>
  <dimension ref="A1:O38"/>
  <sheetViews>
    <sheetView workbookViewId="0">
      <pane ySplit="4" topLeftCell="A5" activePane="bottomLeft" state="frozen"/>
      <selection pane="bottomLeft" activeCell="R38" sqref="R38"/>
    </sheetView>
  </sheetViews>
  <sheetFormatPr defaultColWidth="9.140625" defaultRowHeight="12" x14ac:dyDescent="0.2"/>
  <cols>
    <col min="1" max="1" width="10.7109375" style="16" customWidth="1"/>
    <col min="2" max="2" width="11.140625" style="16" customWidth="1"/>
    <col min="3" max="3" width="11" style="16" customWidth="1"/>
    <col min="4" max="4" width="10.5703125" style="16" customWidth="1"/>
    <col min="5" max="5" width="10.7109375" style="16" customWidth="1"/>
    <col min="6" max="6" width="11.85546875" style="16" customWidth="1"/>
    <col min="7" max="7" width="11.42578125" style="16" customWidth="1"/>
    <col min="8" max="8" width="11.7109375" style="16" customWidth="1"/>
    <col min="9" max="9" width="11.140625" style="16" customWidth="1"/>
    <col min="10" max="10" width="11.28515625" style="16" customWidth="1"/>
    <col min="11" max="11" width="8.42578125" style="16" customWidth="1"/>
    <col min="12" max="12" width="10.85546875" style="16" customWidth="1"/>
    <col min="13" max="13" width="9.28515625" style="16" customWidth="1"/>
    <col min="14" max="14" width="9.85546875" style="16" customWidth="1"/>
    <col min="15" max="15" width="13.28515625" style="16" customWidth="1"/>
    <col min="16" max="16384" width="9.140625" style="16"/>
  </cols>
  <sheetData>
    <row r="1" spans="1:15" ht="15.75" x14ac:dyDescent="0.25">
      <c r="A1" s="635" t="s">
        <v>0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</row>
    <row r="2" spans="1:15" ht="15.75" x14ac:dyDescent="0.25">
      <c r="A2" s="635" t="s">
        <v>1</v>
      </c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</row>
    <row r="3" spans="1:15" ht="15.75" x14ac:dyDescent="0.25">
      <c r="A3" s="635" t="s">
        <v>91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</row>
    <row r="4" spans="1:15" s="48" customFormat="1" ht="36" x14ac:dyDescent="0.2">
      <c r="A4" s="63" t="s">
        <v>71</v>
      </c>
      <c r="B4" s="64" t="s">
        <v>3</v>
      </c>
      <c r="C4" s="65" t="s">
        <v>6</v>
      </c>
      <c r="D4" s="65" t="s">
        <v>7</v>
      </c>
      <c r="E4" s="65" t="s">
        <v>8</v>
      </c>
      <c r="F4" s="65" t="s">
        <v>9</v>
      </c>
      <c r="G4" s="65" t="s">
        <v>10</v>
      </c>
      <c r="H4" s="65" t="s">
        <v>11</v>
      </c>
      <c r="I4" s="65" t="s">
        <v>72</v>
      </c>
      <c r="J4" s="65" t="s">
        <v>73</v>
      </c>
      <c r="K4" s="65" t="s">
        <v>74</v>
      </c>
      <c r="L4" s="65" t="s">
        <v>13</v>
      </c>
      <c r="M4" s="65" t="s">
        <v>14</v>
      </c>
      <c r="N4" s="66"/>
      <c r="O4" s="66"/>
    </row>
    <row r="5" spans="1:15" x14ac:dyDescent="0.2">
      <c r="A5" s="67">
        <v>45658</v>
      </c>
      <c r="B5" s="68">
        <f>'Jan 2025-Prodn &amp; Sales Analysis'!C57</f>
        <v>2244188</v>
      </c>
      <c r="C5" s="68">
        <f>'Jan 2025-Prodn &amp; Sales Analysis'!F57</f>
        <v>1836640</v>
      </c>
      <c r="D5" s="69">
        <f>'Jan 2025-Prodn &amp; Sales Analysis'!G57</f>
        <v>172680</v>
      </c>
      <c r="E5" s="70">
        <f t="shared" ref="E5:E14" si="0">C5+D5</f>
        <v>2009320</v>
      </c>
      <c r="F5" s="69">
        <v>46581760.469999999</v>
      </c>
      <c r="G5" s="68">
        <f>'Jan 2025-Prodn &amp; Sales Analysis'!J57</f>
        <v>536988.27999999991</v>
      </c>
      <c r="H5" s="58">
        <v>47118748.75</v>
      </c>
      <c r="I5" s="554">
        <f>'Jan 2025-Prodn &amp; Sales Analysis'!L22</f>
        <v>0.81196186328040043</v>
      </c>
      <c r="J5" s="71">
        <f>'Jan 2025-Prodn &amp; Sales Analysis'!L54</f>
        <v>0.86613495417067443</v>
      </c>
      <c r="K5" s="72">
        <f>'Jan 2025-Prodn &amp; Sales Analysis'!L57</f>
        <v>0.83162365027106644</v>
      </c>
      <c r="L5" s="219">
        <f t="shared" ref="L5" si="1">F5/C5</f>
        <v>25.362488277506749</v>
      </c>
      <c r="M5" s="73">
        <f>'Jan 2025-Prodn &amp; Sales Analysis'!N57</f>
        <v>0.19587282999824795</v>
      </c>
      <c r="O5" s="601"/>
    </row>
    <row r="6" spans="1:15" x14ac:dyDescent="0.2">
      <c r="A6" s="74">
        <v>45689</v>
      </c>
      <c r="B6" s="75">
        <f>'Feb 2025 -Prodn&amp; Sales Analysis'!C57</f>
        <v>2148173</v>
      </c>
      <c r="C6" s="75">
        <f>'Feb 2025 -Prodn&amp; Sales Analysis'!F57</f>
        <v>1949289</v>
      </c>
      <c r="D6" s="76">
        <f>'Feb 2025 -Prodn&amp; Sales Analysis'!G57</f>
        <v>180150</v>
      </c>
      <c r="E6" s="75">
        <f t="shared" si="0"/>
        <v>2129439</v>
      </c>
      <c r="F6" s="76">
        <v>53280034.259999998</v>
      </c>
      <c r="G6" s="75">
        <f>'Feb 2025 -Prodn&amp; Sales Analysis'!J57</f>
        <v>718177.4</v>
      </c>
      <c r="H6" s="105">
        <v>53998211.659999996</v>
      </c>
      <c r="I6" s="77">
        <f>'Feb 2025 -Prodn&amp; Sales Analysis'!L22</f>
        <v>0.9965340931078519</v>
      </c>
      <c r="J6" s="78">
        <f>'Feb 2025 -Prodn&amp; Sales Analysis'!L54</f>
        <v>0.81027562458888069</v>
      </c>
      <c r="K6" s="79">
        <f>'Feb 2025 -Prodn&amp; Sales Analysis'!L57</f>
        <v>0.91922142312482347</v>
      </c>
      <c r="L6" s="363">
        <f>'Feb 2025 -Prodn&amp; Sales Analysis'!M57</f>
        <v>27.292588636164265</v>
      </c>
      <c r="M6" s="80">
        <f>'Feb 2025 -Prodn&amp; Sales Analysis'!N57</f>
        <v>0.21107483773499486</v>
      </c>
      <c r="O6" s="586"/>
    </row>
    <row r="7" spans="1:15" x14ac:dyDescent="0.2">
      <c r="A7" s="74">
        <v>45717</v>
      </c>
      <c r="B7" s="75">
        <f>'March 2025 - Prodn &amp; Sales'!C57</f>
        <v>2398882</v>
      </c>
      <c r="C7" s="75">
        <f>'March 2025 - Prodn &amp; Sales'!F57</f>
        <v>1818470</v>
      </c>
      <c r="D7" s="76">
        <f>'March 2025 - Prodn &amp; Sales'!G57</f>
        <v>108900</v>
      </c>
      <c r="E7" s="75">
        <f t="shared" si="0"/>
        <v>1927370</v>
      </c>
      <c r="F7" s="76">
        <v>45926710.280000001</v>
      </c>
      <c r="G7" s="75">
        <f>'March 2025 - Prodn &amp; Sales'!J57</f>
        <v>342431.04000000004</v>
      </c>
      <c r="H7" s="105">
        <v>46124500.649999999</v>
      </c>
      <c r="I7" s="77">
        <f>'March 2025 - Prodn &amp; Sales'!L22</f>
        <v>0.7265793721083379</v>
      </c>
      <c r="J7" s="78">
        <f>'March 2025 - Prodn &amp; Sales'!L54</f>
        <v>0.83037583573347906</v>
      </c>
      <c r="K7" s="79">
        <f>'March 2025 - Prodn &amp; Sales'!L57</f>
        <v>0.76359428098969495</v>
      </c>
      <c r="L7" s="402">
        <f>'March 2025 - Prodn &amp; Sales'!M57</f>
        <v>25.118626218744332</v>
      </c>
      <c r="M7" s="80">
        <f>'March 2025 - Prodn &amp; Sales'!N57</f>
        <v>0.19421397967711962</v>
      </c>
      <c r="N7" s="81"/>
      <c r="O7" s="586"/>
    </row>
    <row r="8" spans="1:15" x14ac:dyDescent="0.2">
      <c r="A8" s="74">
        <v>45748</v>
      </c>
      <c r="B8" s="75">
        <f>'April 2025 - Prodn &amp; Sales'!C57</f>
        <v>1910357</v>
      </c>
      <c r="C8" s="75">
        <f>'April 2025 - Prodn &amp; Sales'!F57</f>
        <v>1370795</v>
      </c>
      <c r="D8" s="76">
        <f>'April 2025 - Prodn &amp; Sales'!G57</f>
        <v>314200</v>
      </c>
      <c r="E8" s="75">
        <f t="shared" si="0"/>
        <v>1684995</v>
      </c>
      <c r="F8" s="76">
        <v>31867251.110000003</v>
      </c>
      <c r="G8" s="75">
        <f>'April 2025 - Prodn &amp; Sales'!J57</f>
        <v>968319.24</v>
      </c>
      <c r="H8" s="105">
        <v>32835570.350000001</v>
      </c>
      <c r="I8" s="77">
        <f>'April 2025 - Prodn &amp; Sales'!L22</f>
        <v>0.76980511104263261</v>
      </c>
      <c r="J8" s="78">
        <f>'April 2025 - Prodn &amp; Sales'!L54</f>
        <v>0.65214813341341094</v>
      </c>
      <c r="K8" s="79">
        <f>'April 2025 - Prodn &amp; Sales'!L57</f>
        <v>0.72125581471213596</v>
      </c>
      <c r="L8" s="363">
        <f>'April 2025 - Prodn &amp; Sales'!M57</f>
        <v>23.192696435280254</v>
      </c>
      <c r="M8" s="82">
        <f>'April 2025 - Prodn &amp; Sales'!N57</f>
        <v>0.17931101575557976</v>
      </c>
      <c r="O8" s="586"/>
    </row>
    <row r="9" spans="1:15" x14ac:dyDescent="0.2">
      <c r="A9" s="74">
        <v>45778</v>
      </c>
      <c r="B9" s="75">
        <f>'May 2025 - Prodn &amp; Sales'!C57</f>
        <v>1973086</v>
      </c>
      <c r="C9" s="75">
        <f>'May 2025 - Prodn &amp; Sales'!F57</f>
        <v>1652596</v>
      </c>
      <c r="D9" s="76">
        <f>'May 2025 - Prodn &amp; Sales'!G57</f>
        <v>356180</v>
      </c>
      <c r="E9" s="75">
        <f t="shared" si="0"/>
        <v>2008776</v>
      </c>
      <c r="F9" s="76">
        <v>40792976.229999997</v>
      </c>
      <c r="G9" s="75">
        <f>'May 2025 - Prodn &amp; Sales'!J57</f>
        <v>1109620.82</v>
      </c>
      <c r="H9" s="105">
        <v>41902597.049999997</v>
      </c>
      <c r="I9" s="77">
        <f>'May 2025 - Prodn &amp; Sales'!L22</f>
        <v>0.76823429863385007</v>
      </c>
      <c r="J9" s="78">
        <f>'May 2025 - Prodn &amp; Sales'!L54</f>
        <v>0.97478861033029818</v>
      </c>
      <c r="K9" s="77">
        <f>'May 2025 - Prodn &amp; Sales'!L57</f>
        <v>0.84207125776482172</v>
      </c>
      <c r="L9" s="363">
        <f>'May 2025 - Prodn &amp; Sales'!M57</f>
        <v>24.616169130265359</v>
      </c>
      <c r="M9" s="82">
        <f>'May 2025 - Prodn &amp; Sales'!N57</f>
        <v>0.19046615086512603</v>
      </c>
      <c r="O9" s="586"/>
    </row>
    <row r="10" spans="1:15" x14ac:dyDescent="0.2">
      <c r="A10" s="74">
        <v>45809</v>
      </c>
      <c r="B10" s="75">
        <f>'June 2025 - Prodn &amp; Sales'!C56</f>
        <v>1891594</v>
      </c>
      <c r="C10" s="75">
        <f>'June 2025 - Prodn &amp; Sales'!F56</f>
        <v>1541705</v>
      </c>
      <c r="D10" s="75">
        <f>'June 2025 - Prodn &amp; Sales'!G56</f>
        <v>140800</v>
      </c>
      <c r="E10" s="75">
        <f t="shared" si="0"/>
        <v>1682505</v>
      </c>
      <c r="F10" s="75">
        <v>37390185.299999997</v>
      </c>
      <c r="G10" s="75">
        <f>'June 2025 - Prodn &amp; Sales'!J56</f>
        <v>445112.18000000005</v>
      </c>
      <c r="H10" s="105">
        <v>37972844.869999997</v>
      </c>
      <c r="I10" s="77">
        <f>'June 2025 - Prodn &amp; Sales'!L21</f>
        <v>0.75353480239796533</v>
      </c>
      <c r="J10" s="78">
        <f>'June 2025 - Prodn &amp; Sales'!L53</f>
        <v>0.92455756622512031</v>
      </c>
      <c r="K10" s="77">
        <f>'June 2025 - Prodn &amp; Sales'!L56</f>
        <v>0.82017276930966754</v>
      </c>
      <c r="L10" s="515">
        <f>'June 2025 - Prodn &amp; Sales'!M56</f>
        <v>24.252490132677789</v>
      </c>
      <c r="M10" s="82">
        <f>'June 2025 - Prodn &amp; Sales'!N56</f>
        <v>0.18766295118770937</v>
      </c>
      <c r="O10" s="586"/>
    </row>
    <row r="11" spans="1:15" x14ac:dyDescent="0.2">
      <c r="A11" s="74">
        <v>45839</v>
      </c>
      <c r="B11" s="75">
        <f>'July 2025- Prodn &amp; Sales'!C55</f>
        <v>1750813</v>
      </c>
      <c r="C11" s="75">
        <f>'July 2025- Prodn &amp; Sales'!H55</f>
        <v>1725576</v>
      </c>
      <c r="D11" s="75">
        <f>'July 2025- Prodn &amp; Sales'!G55</f>
        <v>316360</v>
      </c>
      <c r="E11" s="75">
        <f t="shared" si="0"/>
        <v>2041936</v>
      </c>
      <c r="F11" s="76">
        <v>33142226.990000002</v>
      </c>
      <c r="G11" s="75">
        <f>'July 2025- Prodn &amp; Sales'!J55</f>
        <v>990724.39999999991</v>
      </c>
      <c r="H11" s="105">
        <v>34132951.390000001</v>
      </c>
      <c r="I11" s="77">
        <f>'July 2025- Prodn &amp; Sales'!L21</f>
        <v>0.82111690049277797</v>
      </c>
      <c r="J11" s="78">
        <f>'July 2025- Prodn &amp; Sales'!L52</f>
        <v>0.79617061094923369</v>
      </c>
      <c r="K11" s="77">
        <f>'July 2025- Prodn &amp; Sales'!L55</f>
        <v>0.81141542362751318</v>
      </c>
      <c r="L11" s="402">
        <f>'July 2025- Prodn &amp; Sales'!M55</f>
        <v>23.426085447511234</v>
      </c>
      <c r="M11" s="82">
        <f>'July 2025- Prodn &amp; Sales'!N55</f>
        <v>0.18126117459158148</v>
      </c>
      <c r="O11" s="586"/>
    </row>
    <row r="12" spans="1:15" x14ac:dyDescent="0.2">
      <c r="A12" s="74">
        <v>45870</v>
      </c>
      <c r="B12" s="75">
        <f>'Aug 2025 - Prodn &amp; Sales'!C56</f>
        <v>1223729</v>
      </c>
      <c r="C12" s="75">
        <f>'Aug 2025 - Prodn &amp; Sales'!F56</f>
        <v>1111820</v>
      </c>
      <c r="D12" s="75">
        <f>'Aug 2025 - Prodn &amp; Sales'!G56</f>
        <v>64980</v>
      </c>
      <c r="E12" s="75">
        <f t="shared" si="0"/>
        <v>1176800</v>
      </c>
      <c r="F12" s="76">
        <f>'Aug 2025 - Prodn &amp; Sales'!I56</f>
        <v>27262932.650000002</v>
      </c>
      <c r="G12" s="84">
        <f>'Aug 2025 - Prodn &amp; Sales'!J56</f>
        <v>213465.51</v>
      </c>
      <c r="H12" s="83">
        <v>27594784.850000001</v>
      </c>
      <c r="I12" s="77">
        <f>'Aug 2025 - Prodn &amp; Sales'!L22</f>
        <v>0.87923460180669333</v>
      </c>
      <c r="J12" s="78">
        <f>'Aug 2025 - Prodn &amp; Sales'!L53</f>
        <v>0.97313172063662079</v>
      </c>
      <c r="K12" s="77">
        <f>'Aug 2025 - Prodn &amp; Sales'!L56</f>
        <v>0.91441815249404335</v>
      </c>
      <c r="L12" s="402">
        <f>'Aug 2025 - Prodn &amp; Sales'!M56</f>
        <v>24.520994990196257</v>
      </c>
      <c r="M12" s="82">
        <f>'Aug 2025 - Prodn &amp; Sales'!N56</f>
        <v>0.18972871898228644</v>
      </c>
      <c r="O12" s="586"/>
    </row>
    <row r="13" spans="1:15" x14ac:dyDescent="0.2">
      <c r="A13" s="74">
        <v>45901</v>
      </c>
      <c r="B13" s="75">
        <f>'Sept 2025 - Prodn &amp; Sales'!C57</f>
        <v>1620942</v>
      </c>
      <c r="C13" s="75">
        <f>'Sept 2025 - Prodn &amp; Sales'!F57</f>
        <v>1385360</v>
      </c>
      <c r="D13" s="75">
        <f>'Sept 2025 - Prodn &amp; Sales'!G57</f>
        <v>103440</v>
      </c>
      <c r="E13" s="75">
        <f t="shared" si="0"/>
        <v>1488800</v>
      </c>
      <c r="F13" s="76">
        <f>'Sept 2025 - Prodn &amp; Sales'!I57</f>
        <v>32770209.77</v>
      </c>
      <c r="G13" s="84">
        <f>'Sept 2025 - Prodn &amp; Sales'!J57</f>
        <v>342634.79</v>
      </c>
      <c r="H13" s="75">
        <v>33255585.420000002</v>
      </c>
      <c r="I13" s="77">
        <f>'Sept 2025 - Prodn &amp; Sales'!L23</f>
        <v>0.87871927974451047</v>
      </c>
      <c r="J13" s="78">
        <f>'Sept 2025 - Prodn &amp; Sales'!L54</f>
        <v>0.8302743010021999</v>
      </c>
      <c r="K13" s="77">
        <f>'Sept 2025 - Prodn &amp; Sales'!L57</f>
        <v>0.86043250186016296</v>
      </c>
      <c r="L13" s="402">
        <f>'Sept 2025 - Prodn &amp; Sales'!M57</f>
        <v>23.654652776173702</v>
      </c>
      <c r="M13" s="82">
        <f>'Sept 2025 - Prodn &amp; Sales'!N57</f>
        <v>0.18302973223470323</v>
      </c>
      <c r="O13" s="586"/>
    </row>
    <row r="14" spans="1:15" x14ac:dyDescent="0.2">
      <c r="A14" s="74">
        <v>45931</v>
      </c>
      <c r="B14" s="106">
        <f>'Oct 2025 - Prodn &amp; Sales'!C57</f>
        <v>1931952</v>
      </c>
      <c r="C14" s="106">
        <f>'Oct 2025 - Prodn &amp; Sales'!F57</f>
        <v>1622733</v>
      </c>
      <c r="D14" s="106">
        <f>'Oct 2025 - Prodn &amp; Sales'!G57</f>
        <v>165889</v>
      </c>
      <c r="E14" s="75">
        <f t="shared" si="0"/>
        <v>1788622</v>
      </c>
      <c r="F14" s="86">
        <f>'Oct 2025 - Prodn &amp; Sales'!I57</f>
        <v>42069032.879999995</v>
      </c>
      <c r="G14" s="223">
        <f>'Oct 2025 - Prodn &amp; Sales'!J57</f>
        <v>605416.30999999994</v>
      </c>
      <c r="H14" s="128">
        <v>42803755.57</v>
      </c>
      <c r="I14" s="224">
        <f>'Oct 2025 - Prodn &amp; Sales'!L23</f>
        <v>0.84354156278937242</v>
      </c>
      <c r="J14" s="88">
        <f>'Oct 2025 - Prodn &amp; Sales'!L54</f>
        <v>0.84564242838690074</v>
      </c>
      <c r="K14" s="224">
        <f>'Oct 2025 - Prodn &amp; Sales'!L57</f>
        <v>0.84449124691460176</v>
      </c>
      <c r="L14" s="603">
        <f>'Oct 2025 - Prodn &amp; Sales'!M57</f>
        <v>25.924802712461013</v>
      </c>
      <c r="M14" s="108">
        <f>'Oct 2025 - Prodn &amp; Sales'!N57</f>
        <v>0.20059519552443772</v>
      </c>
    </row>
    <row r="15" spans="1:15" x14ac:dyDescent="0.2">
      <c r="A15" s="74">
        <v>45962</v>
      </c>
      <c r="B15" s="106"/>
      <c r="C15" s="106"/>
      <c r="D15" s="106"/>
      <c r="E15" s="106"/>
      <c r="F15" s="86"/>
      <c r="G15" s="223"/>
      <c r="H15" s="106"/>
      <c r="I15" s="224"/>
      <c r="J15" s="88"/>
      <c r="K15" s="224"/>
      <c r="L15" s="225"/>
      <c r="M15" s="108"/>
    </row>
    <row r="16" spans="1:15" x14ac:dyDescent="0.2">
      <c r="A16" s="74">
        <v>45992</v>
      </c>
      <c r="B16" s="85"/>
      <c r="C16" s="85"/>
      <c r="D16" s="85"/>
      <c r="E16" s="85"/>
      <c r="F16" s="220"/>
      <c r="G16" s="85"/>
      <c r="H16" s="85"/>
      <c r="I16" s="87"/>
      <c r="J16" s="221"/>
      <c r="K16" s="87"/>
      <c r="L16" s="222"/>
      <c r="M16" s="89"/>
    </row>
    <row r="17" spans="1:15" ht="12.75" thickBot="1" x14ac:dyDescent="0.25">
      <c r="A17" s="90" t="s">
        <v>75</v>
      </c>
      <c r="B17" s="91">
        <f>SUM(B5:B16)</f>
        <v>19093716</v>
      </c>
      <c r="C17" s="91">
        <f t="shared" ref="C17:H17" si="2">SUM(C5:C16)</f>
        <v>16014984</v>
      </c>
      <c r="D17" s="91">
        <f t="shared" si="2"/>
        <v>1923579</v>
      </c>
      <c r="E17" s="91">
        <f t="shared" si="2"/>
        <v>17938563</v>
      </c>
      <c r="F17" s="91">
        <f t="shared" si="2"/>
        <v>391083319.93999994</v>
      </c>
      <c r="G17" s="91">
        <f t="shared" si="2"/>
        <v>6272889.9699999997</v>
      </c>
      <c r="H17" s="91">
        <f t="shared" si="2"/>
        <v>397739550.56</v>
      </c>
      <c r="I17" s="92">
        <f>(I5+I6+I7+I8+I9+I10+I11+I12+I13+I16)/10</f>
        <v>0.74057203226150203</v>
      </c>
      <c r="J17" s="92">
        <f>(J5+J6+J7+J8+J9+J10+J11+J12+J13+J16)/10</f>
        <v>0.76578573570499187</v>
      </c>
      <c r="K17" s="92">
        <f>(K5+K6+K7+K8+K9+K10+K11+K12+K13+K16)/10</f>
        <v>0.74842052741539289</v>
      </c>
      <c r="L17" s="93">
        <f>(L5+L6+L7+L8+L9+L10+L11+L12+L13+L16)/5</f>
        <v>44.287358408903984</v>
      </c>
      <c r="M17" s="93">
        <f>(M5+M6+M7+M8+M9+M10+M11+M12+M13+M16)/5</f>
        <v>0.34252427820546977</v>
      </c>
      <c r="N17" s="94"/>
      <c r="O17" s="94"/>
    </row>
    <row r="19" spans="1:15" ht="15" x14ac:dyDescent="0.25">
      <c r="B19" s="636" t="s">
        <v>18</v>
      </c>
      <c r="C19" s="636"/>
      <c r="D19" s="636"/>
      <c r="E19" s="636"/>
      <c r="G19" s="636" t="s">
        <v>37</v>
      </c>
      <c r="H19" s="636"/>
      <c r="I19" s="636"/>
      <c r="J19" s="636"/>
      <c r="L19" s="636" t="s">
        <v>76</v>
      </c>
      <c r="M19" s="636"/>
      <c r="N19" s="636"/>
      <c r="O19" s="636"/>
    </row>
    <row r="20" spans="1:15" ht="24" x14ac:dyDescent="0.2">
      <c r="A20" s="95" t="s">
        <v>71</v>
      </c>
      <c r="B20" s="96" t="s">
        <v>77</v>
      </c>
      <c r="C20" s="96" t="s">
        <v>78</v>
      </c>
      <c r="D20" s="64" t="s">
        <v>79</v>
      </c>
      <c r="E20" s="64" t="s">
        <v>80</v>
      </c>
      <c r="F20" s="7"/>
      <c r="G20" s="96" t="s">
        <v>77</v>
      </c>
      <c r="H20" s="97" t="s">
        <v>78</v>
      </c>
      <c r="I20" s="64" t="s">
        <v>79</v>
      </c>
      <c r="J20" s="64" t="s">
        <v>80</v>
      </c>
      <c r="K20" s="98"/>
      <c r="L20" s="64" t="s">
        <v>77</v>
      </c>
      <c r="M20" s="99" t="s">
        <v>78</v>
      </c>
      <c r="N20" s="64" t="s">
        <v>79</v>
      </c>
      <c r="O20" s="64" t="s">
        <v>81</v>
      </c>
    </row>
    <row r="21" spans="1:15" x14ac:dyDescent="0.2">
      <c r="A21" s="67">
        <v>45658</v>
      </c>
      <c r="B21" s="68">
        <f>'Jan 2025-Prodn &amp; Sales Analysis'!C22</f>
        <v>1430948</v>
      </c>
      <c r="C21" s="100">
        <f>'Jan 2025-Prodn &amp; Sales Analysis'!O22</f>
        <v>86952.369230769225</v>
      </c>
      <c r="D21" s="70">
        <f>'Jan 2025-Prodn &amp; Sales Analysis'!P22</f>
        <v>197.48025444168906</v>
      </c>
      <c r="E21" s="101">
        <f>'Jan 2025-Prodn &amp; Sales Analysis'!Q22</f>
        <v>22.433722206790197</v>
      </c>
      <c r="G21" s="68">
        <f>'Jan 2025-Prodn &amp; Sales Analysis'!C54</f>
        <v>813240</v>
      </c>
      <c r="H21" s="102">
        <f>'Jan 2025-Prodn &amp; Sales Analysis'!O54</f>
        <v>106988.30769230764</v>
      </c>
      <c r="I21" s="103">
        <f t="shared" ref="I21:I30" si="3">(G21*12)/H21</f>
        <v>91.214453340695783</v>
      </c>
      <c r="J21" s="101">
        <f>'Jan 2025-Prodn &amp; Sales Analysis'!Q54</f>
        <v>22.582944658897048</v>
      </c>
      <c r="L21" s="70">
        <f t="shared" ref="L21:M28" si="4">B21+G21</f>
        <v>2244188</v>
      </c>
      <c r="M21" s="103">
        <f t="shared" si="4"/>
        <v>193940.67692307686</v>
      </c>
      <c r="N21" s="103">
        <f t="shared" ref="N21:N28" si="5">(L21*12)/M21</f>
        <v>138.85821389950809</v>
      </c>
      <c r="O21" s="73">
        <f>'Jan 2025-Prodn &amp; Sales Analysis'!Q57</f>
        <v>22.516041490572736</v>
      </c>
    </row>
    <row r="22" spans="1:15" x14ac:dyDescent="0.2">
      <c r="A22" s="74">
        <v>45689</v>
      </c>
      <c r="B22" s="75">
        <f>'Feb 2025 -Prodn&amp; Sales Analysis'!C22</f>
        <v>1256796</v>
      </c>
      <c r="C22" s="76">
        <f>'Feb 2025 -Prodn&amp; Sales Analysis'!C70</f>
        <v>86952.369230769211</v>
      </c>
      <c r="D22" s="75">
        <f>B22/C22*12</f>
        <v>173.44613071984242</v>
      </c>
      <c r="E22" s="82">
        <f>'Feb 2025 -Prodn&amp; Sales Analysis'!Q22</f>
        <v>27.014415972463844</v>
      </c>
      <c r="G22" s="75">
        <f>'Feb 2025 -Prodn&amp; Sales Analysis'!C54</f>
        <v>891377</v>
      </c>
      <c r="H22" s="76">
        <f>'Feb 2025 -Prodn&amp; Sales Analysis'!C71</f>
        <v>106988.30769230764</v>
      </c>
      <c r="I22" s="105">
        <f t="shared" si="3"/>
        <v>99.978439053009438</v>
      </c>
      <c r="J22" s="82">
        <f>'Feb 2025 -Prodn&amp; Sales Analysis'!Q54</f>
        <v>24.816109326177536</v>
      </c>
      <c r="L22" s="106">
        <f t="shared" si="4"/>
        <v>2148173</v>
      </c>
      <c r="M22" s="105">
        <f t="shared" si="4"/>
        <v>193940.67692307686</v>
      </c>
      <c r="N22" s="105">
        <f t="shared" si="5"/>
        <v>132.91732507577262</v>
      </c>
      <c r="O22" s="82">
        <f>'Feb 2025 -Prodn&amp; Sales Analysis'!Q57</f>
        <v>25.801709532503295</v>
      </c>
    </row>
    <row r="23" spans="1:15" x14ac:dyDescent="0.2">
      <c r="A23" s="74">
        <v>45717</v>
      </c>
      <c r="B23" s="75">
        <f>'March 2025 - Prodn &amp; Sales'!C22</f>
        <v>1541219</v>
      </c>
      <c r="C23" s="76">
        <f>'March 2025 - Prodn &amp; Sales'!O22</f>
        <v>86952.369230769225</v>
      </c>
      <c r="D23" s="75">
        <f>B23/C23*12</f>
        <v>212.69837916567587</v>
      </c>
      <c r="E23" s="82">
        <f>'March 2025 - Prodn &amp; Sales'!Q22</f>
        <v>21.303186337836248</v>
      </c>
      <c r="G23" s="75">
        <f>'March 2025 - Prodn &amp; Sales'!C54</f>
        <v>857663</v>
      </c>
      <c r="H23" s="76">
        <v>106988.30769230766</v>
      </c>
      <c r="I23" s="105">
        <f t="shared" si="3"/>
        <v>96.197016496410853</v>
      </c>
      <c r="J23" s="82">
        <f>'March 2025 - Prodn &amp; Sales'!Q54</f>
        <v>22.595708514832079</v>
      </c>
      <c r="L23" s="75">
        <f t="shared" si="4"/>
        <v>2398882</v>
      </c>
      <c r="M23" s="105">
        <f t="shared" si="4"/>
        <v>193940.67692307688</v>
      </c>
      <c r="N23" s="105">
        <f t="shared" si="5"/>
        <v>148.42984182950792</v>
      </c>
      <c r="O23" s="82">
        <f>'March 2025 - Prodn &amp; Sales'!Q57</f>
        <v>22.016212416560361</v>
      </c>
    </row>
    <row r="24" spans="1:15" x14ac:dyDescent="0.2">
      <c r="A24" s="74">
        <v>45748</v>
      </c>
      <c r="B24" s="75">
        <f>'April 2025 - Prodn &amp; Sales'!C22</f>
        <v>1122033</v>
      </c>
      <c r="C24" s="76">
        <v>86952.369230769225</v>
      </c>
      <c r="D24" s="75">
        <f t="shared" ref="D24:D30" si="6">B24/C24*12</f>
        <v>154.84794858511398</v>
      </c>
      <c r="E24" s="82">
        <f>'April 2025 - Prodn &amp; Sales'!Q22</f>
        <v>15.040932556885281</v>
      </c>
      <c r="G24" s="75">
        <f>'April 2025 - Prodn &amp; Sales'!C54</f>
        <v>788324</v>
      </c>
      <c r="H24" s="76">
        <v>106988.30769230766</v>
      </c>
      <c r="I24" s="105">
        <f t="shared" si="3"/>
        <v>88.419830204307047</v>
      </c>
      <c r="J24" s="82">
        <f>'April 2025 - Prodn &amp; Sales'!Q54</f>
        <v>16.184722451673807</v>
      </c>
      <c r="L24" s="75">
        <f t="shared" si="4"/>
        <v>1910357</v>
      </c>
      <c r="M24" s="105">
        <f t="shared" si="4"/>
        <v>193940.67692307688</v>
      </c>
      <c r="N24" s="105">
        <f t="shared" si="5"/>
        <v>118.20255741962018</v>
      </c>
      <c r="O24" s="82">
        <f>'April 2025 - Prodn &amp; Sales'!Q57</f>
        <v>15.671909756410699</v>
      </c>
    </row>
    <row r="25" spans="1:15" x14ac:dyDescent="0.2">
      <c r="A25" s="74">
        <v>45778</v>
      </c>
      <c r="B25" s="75">
        <f>'May 2025 - Prodn &amp; Sales'!C22</f>
        <v>1266595</v>
      </c>
      <c r="C25" s="76">
        <v>86952.369230769225</v>
      </c>
      <c r="D25" s="75">
        <f t="shared" si="6"/>
        <v>174.79845729863777</v>
      </c>
      <c r="E25" s="82">
        <f>'May 2025 - Prodn &amp; Sales'!Q22</f>
        <v>17.901121503288085</v>
      </c>
      <c r="G25" s="75">
        <f>'May 2025 - Prodn &amp; Sales'!C54</f>
        <v>706491</v>
      </c>
      <c r="H25" s="76">
        <v>106988.30769230766</v>
      </c>
      <c r="I25" s="105">
        <f t="shared" si="3"/>
        <v>79.241294519602448</v>
      </c>
      <c r="J25" s="82">
        <f>'May 2025 - Prodn &amp; Sales'!Q54</f>
        <v>21.718688862108067</v>
      </c>
      <c r="L25" s="75">
        <f t="shared" si="4"/>
        <v>1973086</v>
      </c>
      <c r="M25" s="105">
        <f t="shared" si="4"/>
        <v>193940.67692307688</v>
      </c>
      <c r="N25" s="105">
        <f t="shared" si="5"/>
        <v>122.08388861812148</v>
      </c>
      <c r="O25" s="82">
        <f>'May 2025 - Prodn &amp; Sales'!Q57</f>
        <v>20.007100907410415</v>
      </c>
    </row>
    <row r="26" spans="1:15" x14ac:dyDescent="0.2">
      <c r="A26" s="74">
        <v>45809</v>
      </c>
      <c r="B26" s="75">
        <f>'June 2025 - Prodn &amp; Sales'!C21</f>
        <v>1152562</v>
      </c>
      <c r="C26" s="76">
        <f>'June 2025 - Prodn &amp; Sales'!O21</f>
        <v>89832.558472527453</v>
      </c>
      <c r="D26" s="75">
        <f t="shared" si="6"/>
        <v>153.96137252652903</v>
      </c>
      <c r="E26" s="82">
        <f>'June 2025 - Prodn &amp; Sales'!Q21</f>
        <v>13.908560798331584</v>
      </c>
      <c r="G26" s="75">
        <f>'June 2025 - Prodn &amp; Sales'!C53</f>
        <v>739032</v>
      </c>
      <c r="H26" s="75">
        <f>'June 2025 - Prodn &amp; Sales'!O53</f>
        <v>106936.58461538459</v>
      </c>
      <c r="I26" s="105">
        <f t="shared" si="3"/>
        <v>82.931244081682934</v>
      </c>
      <c r="J26" s="82">
        <f>'June 2025 - Prodn &amp; Sales'!Q53</f>
        <v>21.16899511012787</v>
      </c>
      <c r="L26" s="75">
        <f t="shared" si="4"/>
        <v>1891594</v>
      </c>
      <c r="M26" s="105">
        <f t="shared" si="4"/>
        <v>196769.14308791206</v>
      </c>
      <c r="N26" s="105">
        <f t="shared" si="5"/>
        <v>115.35918510281125</v>
      </c>
      <c r="O26" s="82">
        <f>'June 2025 - Prodn &amp; Sales'!Q56</f>
        <v>17.85433215223215</v>
      </c>
    </row>
    <row r="27" spans="1:15" x14ac:dyDescent="0.2">
      <c r="A27" s="74">
        <v>45839</v>
      </c>
      <c r="B27" s="75">
        <f>'July 2025- Prodn &amp; Sales'!C21</f>
        <v>1068883</v>
      </c>
      <c r="C27" s="76">
        <f>'July 2025- Prodn &amp; Sales'!O21</f>
        <v>89827.98484615385</v>
      </c>
      <c r="D27" s="75">
        <f t="shared" si="6"/>
        <v>142.79064616631211</v>
      </c>
      <c r="E27" s="82">
        <f>'July 2025- Prodn &amp; Sales'!Q21</f>
        <v>14.455747230175646</v>
      </c>
      <c r="G27" s="75">
        <f>'July 2025- Prodn &amp; Sales'!C52</f>
        <v>681930</v>
      </c>
      <c r="H27" s="76">
        <f>'July 2025- Prodn &amp; Sales'!O52</f>
        <v>107066.09230769228</v>
      </c>
      <c r="I27" s="104">
        <f t="shared" si="3"/>
        <v>76.4309205988652</v>
      </c>
      <c r="J27" s="82">
        <f>'July 2025- Prodn &amp; Sales'!Q52</f>
        <v>17.360237768189105</v>
      </c>
      <c r="L27" s="75">
        <f t="shared" si="4"/>
        <v>1750813</v>
      </c>
      <c r="M27" s="105">
        <f t="shared" si="4"/>
        <v>196894.07715384613</v>
      </c>
      <c r="N27" s="105">
        <f t="shared" si="5"/>
        <v>106.70588117073585</v>
      </c>
      <c r="O27" s="82">
        <f>'July 2025- Prodn &amp; Sales'!Q55</f>
        <v>16.035136801182318</v>
      </c>
    </row>
    <row r="28" spans="1:15" x14ac:dyDescent="0.2">
      <c r="A28" s="74">
        <v>45870</v>
      </c>
      <c r="B28" s="75">
        <f>'Aug 2025 - Prodn &amp; Sales'!C22</f>
        <v>764179</v>
      </c>
      <c r="C28" s="76">
        <f>'Aug 2025 - Prodn &amp; Sales'!O22</f>
        <v>89827.98484615385</v>
      </c>
      <c r="D28" s="75">
        <f t="shared" si="6"/>
        <v>102.08564753740703</v>
      </c>
      <c r="E28" s="82">
        <f>'Aug 2025 - Prodn &amp; Sales'!Q22</f>
        <v>11.187801838466481</v>
      </c>
      <c r="G28" s="75">
        <f>'Aug 2025 - Prodn &amp; Sales'!C53</f>
        <v>459550</v>
      </c>
      <c r="H28" s="76">
        <f>'Aug 2025 - Prodn &amp; Sales'!O53</f>
        <v>107066.09230769229</v>
      </c>
      <c r="I28" s="104">
        <f t="shared" si="3"/>
        <v>51.506502956620906</v>
      </c>
      <c r="J28" s="82">
        <f>'Aug 2025 - Prodn &amp; Sales'!Q53</f>
        <v>14.44129040566399</v>
      </c>
      <c r="L28" s="75">
        <f t="shared" si="4"/>
        <v>1223729</v>
      </c>
      <c r="M28" s="105">
        <f t="shared" si="4"/>
        <v>196894.07715384616</v>
      </c>
      <c r="N28" s="105">
        <f t="shared" si="5"/>
        <v>74.581969210408758</v>
      </c>
      <c r="O28" s="82">
        <f>'Aug 2025 - Prodn &amp; Sales'!Q56</f>
        <v>12.956967840272673</v>
      </c>
    </row>
    <row r="29" spans="1:15" x14ac:dyDescent="0.2">
      <c r="A29" s="74">
        <v>45901</v>
      </c>
      <c r="B29" s="75">
        <f>'Sept 2025 - Prodn &amp; Sales'!C23</f>
        <v>1008542</v>
      </c>
      <c r="C29" s="76">
        <f>'Sept 2025 - Prodn &amp; Sales'!O23</f>
        <v>89827.984846153835</v>
      </c>
      <c r="D29" s="75">
        <f t="shared" si="6"/>
        <v>134.72977291795712</v>
      </c>
      <c r="E29" s="82">
        <f>'Sept 2025 - Prodn &amp; Sales'!Q23</f>
        <v>15.044963634391195</v>
      </c>
      <c r="G29" s="75">
        <f>'Sept 2025 - Prodn &amp; Sales'!C54</f>
        <v>612400</v>
      </c>
      <c r="H29" s="76">
        <f>'Sept 2025 - Prodn &amp; Sales'!O54</f>
        <v>104460.79999999999</v>
      </c>
      <c r="I29" s="104">
        <f t="shared" si="3"/>
        <v>70.349834579095713</v>
      </c>
      <c r="J29" s="82">
        <f>'Sept 2025 - Prodn &amp; Sales'!Q54</f>
        <v>16.49518322421055</v>
      </c>
      <c r="L29" s="75">
        <f t="shared" ref="L29" si="7">B29+G29</f>
        <v>1620942</v>
      </c>
      <c r="M29" s="105">
        <f t="shared" ref="M29" si="8">C29+H29</f>
        <v>194288.78484615381</v>
      </c>
      <c r="N29" s="105">
        <f t="shared" ref="N29" si="9">(L29*12)/M29</f>
        <v>100.11542362263667</v>
      </c>
      <c r="O29" s="82">
        <f>'Sept 2025 - Prodn &amp; Sales'!Q57</f>
        <v>15.824684906764992</v>
      </c>
    </row>
    <row r="30" spans="1:15" x14ac:dyDescent="0.2">
      <c r="A30" s="74">
        <v>45931</v>
      </c>
      <c r="B30" s="106">
        <f>'Oct 2025 - Prodn &amp; Sales'!C23</f>
        <v>1058008</v>
      </c>
      <c r="C30" s="86">
        <f>'Oct 2025 - Prodn &amp; Sales'!O23</f>
        <v>89827.984846153835</v>
      </c>
      <c r="D30" s="75">
        <f t="shared" si="6"/>
        <v>141.33786950407813</v>
      </c>
      <c r="E30" s="107">
        <f>'Oct 2025 - Prodn &amp; Sales'!Q23</f>
        <v>15.649060058832994</v>
      </c>
      <c r="G30" s="106">
        <f>'Oct 2025 - Prodn &amp; Sales'!C54</f>
        <v>873944</v>
      </c>
      <c r="H30" s="86">
        <f>'Oct 2025 - Prodn &amp; Sales'!O54</f>
        <v>104460.79999999999</v>
      </c>
      <c r="I30" s="104">
        <f t="shared" si="3"/>
        <v>100.39486582526652</v>
      </c>
      <c r="J30" s="108">
        <f>'Oct 2025 - Prodn &amp; Sales'!Q54</f>
        <v>24.474628432242071</v>
      </c>
      <c r="L30" s="75">
        <f t="shared" ref="L30" si="10">B30+G30</f>
        <v>1931952</v>
      </c>
      <c r="M30" s="105">
        <f t="shared" ref="M30" si="11">C30+H30</f>
        <v>194288.78484615381</v>
      </c>
      <c r="N30" s="105">
        <f>'Oct 2025 - Prodn &amp; Sales'!P57</f>
        <v>119.32456121107364</v>
      </c>
      <c r="O30" s="82">
        <f>'Oct 2025 - Prodn &amp; Sales'!Q57</f>
        <v>20.394192071836379</v>
      </c>
    </row>
    <row r="31" spans="1:15" x14ac:dyDescent="0.2">
      <c r="A31" s="74">
        <v>45962</v>
      </c>
      <c r="B31" s="106"/>
      <c r="C31" s="106"/>
      <c r="D31" s="75"/>
      <c r="E31" s="107"/>
      <c r="G31" s="75"/>
      <c r="H31" s="106"/>
      <c r="I31" s="109"/>
      <c r="J31" s="82"/>
      <c r="L31" s="75"/>
      <c r="M31" s="105"/>
      <c r="N31" s="109"/>
      <c r="O31" s="110"/>
    </row>
    <row r="32" spans="1:15" x14ac:dyDescent="0.2">
      <c r="A32" s="74">
        <v>45992</v>
      </c>
      <c r="B32" s="106"/>
      <c r="C32" s="106"/>
      <c r="D32" s="83"/>
      <c r="E32" s="107"/>
      <c r="F32" s="378"/>
      <c r="G32" s="167"/>
      <c r="H32" s="167"/>
      <c r="I32" s="167"/>
      <c r="K32" s="378"/>
      <c r="L32" s="111"/>
      <c r="M32" s="114"/>
      <c r="N32" s="112"/>
      <c r="O32" s="113"/>
    </row>
    <row r="33" spans="1:15" ht="12.75" thickBot="1" x14ac:dyDescent="0.25">
      <c r="A33" s="382" t="s">
        <v>75</v>
      </c>
      <c r="B33" s="381">
        <f>SUM(B21:B32)</f>
        <v>11669765</v>
      </c>
      <c r="C33" s="383">
        <f>(C21+C22+C23+C24+C25+C26+C27+C28+C29)/9</f>
        <v>88230.928796092805</v>
      </c>
      <c r="D33" s="383">
        <f>(D21+D22+D23+D24+D25+D26+D27+D28+D29)/9</f>
        <v>160.75984548435159</v>
      </c>
      <c r="E33" s="380">
        <f>SUM(E21:E32)/9</f>
        <v>19.326612459717946</v>
      </c>
      <c r="F33" s="379"/>
      <c r="G33" s="334">
        <f>SUM(G21:G32)</f>
        <v>7423951</v>
      </c>
      <c r="H33" s="383">
        <f>(H21+H22+H23+H24+H25+H26+H27+H28+H29)/9</f>
        <v>106719.01196581192</v>
      </c>
      <c r="I33" s="383">
        <f>(I21+I22+I23+I24+I25+I26+I27+I28+I29)/9</f>
        <v>81.80772620336559</v>
      </c>
      <c r="J33" s="380">
        <f>SUM(J21:J32)/9</f>
        <v>22.426500972680238</v>
      </c>
      <c r="K33" s="384"/>
      <c r="L33" s="383">
        <f>SUM(L21:L32)</f>
        <v>19093716</v>
      </c>
      <c r="M33" s="383">
        <f>(M21+M22+M23+M24+M25+M26+M27+M28+M29)/9</f>
        <v>194949.94076190473</v>
      </c>
      <c r="N33" s="383">
        <f>(N21+N22+N23+N24+N25+N26+N27+N28+N29)/9</f>
        <v>117.47269843879141</v>
      </c>
      <c r="O33" s="380">
        <f>SUM(O21:O32)/9</f>
        <v>21.008698652860669</v>
      </c>
    </row>
    <row r="34" spans="1:15" ht="12.75" thickTop="1" x14ac:dyDescent="0.2">
      <c r="M34" s="58"/>
    </row>
    <row r="36" spans="1:15" x14ac:dyDescent="0.2">
      <c r="J36" s="62">
        <f>G33/(H21+H22+H23+H24+H25+H26)/6+H27</f>
        <v>107068.01997140628</v>
      </c>
      <c r="M36" s="58"/>
    </row>
    <row r="37" spans="1:15" x14ac:dyDescent="0.2">
      <c r="N37" s="58"/>
    </row>
    <row r="38" spans="1:15" x14ac:dyDescent="0.2">
      <c r="M38" s="555"/>
    </row>
  </sheetData>
  <mergeCells count="6">
    <mergeCell ref="A1:N1"/>
    <mergeCell ref="A2:N2"/>
    <mergeCell ref="A3:N3"/>
    <mergeCell ref="B19:E19"/>
    <mergeCell ref="G19:J19"/>
    <mergeCell ref="L19:O1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30A0"/>
  </sheetPr>
  <dimension ref="A1:W4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8" sqref="C18"/>
    </sheetView>
  </sheetViews>
  <sheetFormatPr defaultRowHeight="15" x14ac:dyDescent="0.25"/>
  <cols>
    <col min="1" max="1" width="7.140625" customWidth="1"/>
    <col min="2" max="2" width="10.7109375" customWidth="1"/>
    <col min="3" max="3" width="10.28515625" customWidth="1"/>
    <col min="4" max="4" width="12.85546875" customWidth="1"/>
    <col min="5" max="5" width="12.5703125" customWidth="1"/>
    <col min="6" max="6" width="1" customWidth="1"/>
    <col min="7" max="7" width="6.85546875" customWidth="1"/>
    <col min="8" max="8" width="11.42578125" customWidth="1"/>
    <col min="9" max="9" width="10.7109375" customWidth="1"/>
    <col min="10" max="10" width="13" customWidth="1"/>
    <col min="11" max="11" width="12.28515625" customWidth="1"/>
    <col min="12" max="12" width="1" customWidth="1"/>
    <col min="13" max="13" width="8.5703125" customWidth="1"/>
    <col min="14" max="15" width="11" customWidth="1"/>
    <col min="16" max="16" width="13" customWidth="1"/>
    <col min="17" max="17" width="12.140625" customWidth="1"/>
    <col min="18" max="18" width="1.140625" customWidth="1"/>
    <col min="19" max="19" width="7.5703125" customWidth="1"/>
    <col min="20" max="21" width="7.85546875" customWidth="1"/>
    <col min="23" max="23" width="12" bestFit="1" customWidth="1"/>
  </cols>
  <sheetData>
    <row r="1" spans="1:23" x14ac:dyDescent="0.25">
      <c r="A1" s="620" t="s">
        <v>0</v>
      </c>
      <c r="B1" s="620"/>
      <c r="C1" s="620"/>
      <c r="D1" s="620"/>
      <c r="E1" s="620"/>
      <c r="F1" s="386"/>
      <c r="G1" s="620" t="s">
        <v>0</v>
      </c>
      <c r="H1" s="620"/>
      <c r="I1" s="620"/>
      <c r="J1" s="620"/>
      <c r="K1" s="620"/>
      <c r="L1" s="386"/>
      <c r="M1" s="620" t="s">
        <v>0</v>
      </c>
      <c r="N1" s="620"/>
      <c r="O1" s="620"/>
      <c r="P1" s="620"/>
      <c r="Q1" s="620"/>
      <c r="R1" s="386"/>
      <c r="S1" s="654" t="s">
        <v>0</v>
      </c>
      <c r="T1" s="654"/>
      <c r="U1" s="654"/>
    </row>
    <row r="2" spans="1:23" x14ac:dyDescent="0.25">
      <c r="A2" s="620" t="s">
        <v>82</v>
      </c>
      <c r="B2" s="620"/>
      <c r="C2" s="620"/>
      <c r="D2" s="620"/>
      <c r="E2" s="620"/>
      <c r="F2" s="386"/>
      <c r="G2" s="620" t="s">
        <v>82</v>
      </c>
      <c r="H2" s="620"/>
      <c r="I2" s="620"/>
      <c r="J2" s="620"/>
      <c r="K2" s="620"/>
      <c r="L2" s="386"/>
      <c r="M2" s="620" t="s">
        <v>82</v>
      </c>
      <c r="N2" s="620"/>
      <c r="O2" s="620"/>
      <c r="P2" s="620"/>
      <c r="Q2" s="620"/>
      <c r="R2" s="386"/>
      <c r="S2" s="655" t="s">
        <v>126</v>
      </c>
      <c r="T2" s="655"/>
      <c r="U2" s="655"/>
    </row>
    <row r="3" spans="1:23" x14ac:dyDescent="0.25">
      <c r="A3" s="620" t="s">
        <v>125</v>
      </c>
      <c r="B3" s="620"/>
      <c r="C3" s="620"/>
      <c r="D3" s="620"/>
      <c r="E3" s="620"/>
      <c r="F3" s="386"/>
      <c r="G3" s="620" t="s">
        <v>89</v>
      </c>
      <c r="H3" s="620"/>
      <c r="I3" s="620"/>
      <c r="J3" s="620"/>
      <c r="K3" s="620"/>
      <c r="L3" s="386"/>
      <c r="M3" s="621" t="s">
        <v>90</v>
      </c>
      <c r="N3" s="621"/>
      <c r="O3" s="621"/>
      <c r="P3" s="621"/>
      <c r="Q3" s="621"/>
      <c r="R3" s="386"/>
      <c r="S3" s="656"/>
      <c r="T3" s="656"/>
      <c r="U3" s="656"/>
    </row>
    <row r="4" spans="1:23" ht="15" customHeight="1" x14ac:dyDescent="0.25">
      <c r="A4" s="612" t="s">
        <v>71</v>
      </c>
      <c r="B4" s="115" t="s">
        <v>83</v>
      </c>
      <c r="C4" s="116" t="s">
        <v>84</v>
      </c>
      <c r="D4" s="115" t="s">
        <v>85</v>
      </c>
      <c r="E4" s="614" t="s">
        <v>86</v>
      </c>
      <c r="F4" s="386"/>
      <c r="G4" s="612" t="s">
        <v>71</v>
      </c>
      <c r="H4" s="115" t="s">
        <v>83</v>
      </c>
      <c r="I4" s="116" t="s">
        <v>84</v>
      </c>
      <c r="J4" s="115" t="s">
        <v>85</v>
      </c>
      <c r="K4" s="614" t="s">
        <v>86</v>
      </c>
      <c r="L4" s="386"/>
      <c r="M4" s="612" t="s">
        <v>71</v>
      </c>
      <c r="N4" s="115" t="s">
        <v>83</v>
      </c>
      <c r="O4" s="116" t="s">
        <v>84</v>
      </c>
      <c r="P4" s="115" t="s">
        <v>85</v>
      </c>
      <c r="Q4" s="616" t="s">
        <v>86</v>
      </c>
      <c r="R4" s="386"/>
      <c r="S4" s="649">
        <v>2023</v>
      </c>
      <c r="T4" s="649">
        <v>2024</v>
      </c>
      <c r="U4" s="649">
        <v>2025</v>
      </c>
    </row>
    <row r="5" spans="1:23" x14ac:dyDescent="0.25">
      <c r="A5" s="613"/>
      <c r="B5" s="117" t="s">
        <v>88</v>
      </c>
      <c r="C5" s="118" t="s">
        <v>88</v>
      </c>
      <c r="D5" s="119" t="s">
        <v>88</v>
      </c>
      <c r="E5" s="615"/>
      <c r="F5" s="386"/>
      <c r="G5" s="613"/>
      <c r="H5" s="117" t="s">
        <v>88</v>
      </c>
      <c r="I5" s="118" t="s">
        <v>88</v>
      </c>
      <c r="J5" s="119" t="s">
        <v>88</v>
      </c>
      <c r="K5" s="615"/>
      <c r="L5" s="386"/>
      <c r="M5" s="613"/>
      <c r="N5" s="117" t="s">
        <v>88</v>
      </c>
      <c r="O5" s="118" t="s">
        <v>88</v>
      </c>
      <c r="P5" s="119" t="s">
        <v>88</v>
      </c>
      <c r="Q5" s="617"/>
      <c r="R5" s="386"/>
      <c r="S5" s="650"/>
      <c r="T5" s="650"/>
      <c r="U5" s="650"/>
    </row>
    <row r="6" spans="1:23" s="411" customFormat="1" ht="15" customHeight="1" x14ac:dyDescent="0.2">
      <c r="A6" s="421">
        <v>44927</v>
      </c>
      <c r="B6" s="405">
        <v>106505.04999999999</v>
      </c>
      <c r="C6" s="121">
        <v>67635.7</v>
      </c>
      <c r="D6" s="405">
        <v>519240.74</v>
      </c>
      <c r="E6" s="406">
        <v>23162000.77</v>
      </c>
      <c r="F6" s="410"/>
      <c r="G6" s="421">
        <v>45292</v>
      </c>
      <c r="H6" s="122">
        <v>119460.60000000008</v>
      </c>
      <c r="I6" s="121">
        <v>183797.94</v>
      </c>
      <c r="J6" s="123">
        <v>304905.18000000023</v>
      </c>
      <c r="K6" s="124">
        <v>50550062.75</v>
      </c>
      <c r="L6" s="410"/>
      <c r="M6" s="421">
        <v>45658</v>
      </c>
      <c r="N6" s="403">
        <v>203820.02</v>
      </c>
      <c r="O6" s="121">
        <v>148686.79999999999</v>
      </c>
      <c r="P6" s="123">
        <v>538436.56000000006</v>
      </c>
      <c r="Q6" s="124">
        <v>47118748.75</v>
      </c>
      <c r="R6" s="410"/>
      <c r="S6" s="427">
        <v>0</v>
      </c>
      <c r="T6" s="427">
        <f>(K6-E6)/E6</f>
        <v>1.1824566561397278</v>
      </c>
      <c r="U6" s="427">
        <f>(Q6-K6)/K6</f>
        <v>-6.7879520090209977E-2</v>
      </c>
    </row>
    <row r="7" spans="1:23" s="411" customFormat="1" ht="15" customHeight="1" x14ac:dyDescent="0.2">
      <c r="A7" s="422">
        <v>44958</v>
      </c>
      <c r="B7" s="126">
        <v>202147.07000000004</v>
      </c>
      <c r="C7" s="127">
        <v>110442.62</v>
      </c>
      <c r="D7" s="126">
        <v>524095.01999999996</v>
      </c>
      <c r="E7" s="128">
        <v>41704577.920000002</v>
      </c>
      <c r="F7" s="410"/>
      <c r="G7" s="421">
        <v>45323</v>
      </c>
      <c r="H7" s="126">
        <v>153927.07</v>
      </c>
      <c r="I7" s="127">
        <v>203989.9</v>
      </c>
      <c r="J7" s="126">
        <v>788854.14</v>
      </c>
      <c r="K7" s="143">
        <v>57904875.25</v>
      </c>
      <c r="L7" s="410"/>
      <c r="M7" s="421">
        <v>45689</v>
      </c>
      <c r="N7" s="404">
        <v>220503.29</v>
      </c>
      <c r="O7" s="127">
        <v>182866</v>
      </c>
      <c r="P7" s="126">
        <v>714508.72</v>
      </c>
      <c r="Q7" s="128">
        <v>53998211.659999996</v>
      </c>
      <c r="R7" s="410"/>
      <c r="S7" s="428">
        <v>0</v>
      </c>
      <c r="T7" s="428">
        <f t="shared" ref="T7:T8" si="0">(K7-E7)/E7</f>
        <v>0.38845369352679443</v>
      </c>
      <c r="U7" s="428">
        <f t="shared" ref="U7:U8" si="1">(Q7-K7)/K7</f>
        <v>-6.7466920067322023E-2</v>
      </c>
    </row>
    <row r="8" spans="1:23" s="411" customFormat="1" ht="15" customHeight="1" x14ac:dyDescent="0.2">
      <c r="A8" s="422">
        <v>44986</v>
      </c>
      <c r="B8" s="126">
        <v>135474.9</v>
      </c>
      <c r="C8" s="127">
        <v>71278.3</v>
      </c>
      <c r="D8" s="126">
        <v>580036.59</v>
      </c>
      <c r="E8" s="128">
        <v>28466330.02</v>
      </c>
      <c r="F8" s="410"/>
      <c r="G8" s="421">
        <v>45352</v>
      </c>
      <c r="H8" s="126">
        <v>89751.08</v>
      </c>
      <c r="I8" s="127">
        <v>145569.56</v>
      </c>
      <c r="J8" s="126">
        <v>575637.93000000005</v>
      </c>
      <c r="K8" s="144">
        <v>34186320.340000004</v>
      </c>
      <c r="L8" s="410"/>
      <c r="M8" s="421">
        <v>45717</v>
      </c>
      <c r="N8" s="404">
        <v>172918.26</v>
      </c>
      <c r="O8" s="127">
        <v>168311.1</v>
      </c>
      <c r="P8" s="126">
        <v>343810.35</v>
      </c>
      <c r="Q8" s="385">
        <v>46124500.649999999</v>
      </c>
      <c r="R8" s="417"/>
      <c r="S8" s="428">
        <v>0</v>
      </c>
      <c r="T8" s="428">
        <f t="shared" si="0"/>
        <v>0.20093880440440437</v>
      </c>
      <c r="U8" s="428">
        <f t="shared" si="1"/>
        <v>0.34920927994791012</v>
      </c>
    </row>
    <row r="9" spans="1:23" s="411" customFormat="1" ht="15" customHeight="1" x14ac:dyDescent="0.2">
      <c r="A9" s="422">
        <v>45017</v>
      </c>
      <c r="B9" s="126">
        <v>95418.799999999988</v>
      </c>
      <c r="C9" s="127">
        <v>40806.9</v>
      </c>
      <c r="D9" s="126">
        <v>330276.63</v>
      </c>
      <c r="E9" s="128">
        <v>19862282.170000002</v>
      </c>
      <c r="F9" s="410"/>
      <c r="G9" s="421">
        <v>45383</v>
      </c>
      <c r="H9" s="126">
        <v>67407.700000000012</v>
      </c>
      <c r="I9" s="127">
        <v>146245.74999999983</v>
      </c>
      <c r="J9" s="126">
        <v>597310.34999999986</v>
      </c>
      <c r="K9" s="143">
        <v>29507537.760000002</v>
      </c>
      <c r="L9" s="410"/>
      <c r="M9" s="421">
        <v>45748</v>
      </c>
      <c r="N9" s="126">
        <v>115088</v>
      </c>
      <c r="O9" s="127">
        <v>116906.58</v>
      </c>
      <c r="P9" s="126">
        <v>969767.52</v>
      </c>
      <c r="Q9" s="128">
        <v>32835570.350000001</v>
      </c>
      <c r="R9" s="410"/>
      <c r="S9" s="428">
        <v>0</v>
      </c>
      <c r="T9" s="428">
        <f t="shared" ref="T9:T12" si="2">(K9-E9)/E9</f>
        <v>0.48560661395537907</v>
      </c>
      <c r="U9" s="428">
        <f t="shared" ref="U9:U16" si="3">(Q9-K9)/K9</f>
        <v>0.11278584533445665</v>
      </c>
    </row>
    <row r="10" spans="1:23" s="411" customFormat="1" ht="15" customHeight="1" x14ac:dyDescent="0.2">
      <c r="A10" s="422">
        <v>45047</v>
      </c>
      <c r="B10" s="126">
        <v>195270.20999999996</v>
      </c>
      <c r="C10" s="127">
        <v>77818.500000000015</v>
      </c>
      <c r="D10" s="126">
        <v>920620.97</v>
      </c>
      <c r="E10" s="128">
        <v>40731053.259999998</v>
      </c>
      <c r="F10" s="410"/>
      <c r="G10" s="421">
        <v>45413</v>
      </c>
      <c r="H10" s="126">
        <v>82739.64</v>
      </c>
      <c r="I10" s="127">
        <v>180991.87000000005</v>
      </c>
      <c r="J10" s="126">
        <v>17525.86</v>
      </c>
      <c r="K10" s="143">
        <v>35707980.100000001</v>
      </c>
      <c r="L10" s="410"/>
      <c r="M10" s="421">
        <v>45778</v>
      </c>
      <c r="N10" s="126">
        <v>128346.5</v>
      </c>
      <c r="O10" s="127">
        <v>170757.56</v>
      </c>
      <c r="P10" s="126">
        <v>1110034.6100000001</v>
      </c>
      <c r="Q10" s="128">
        <v>41902597.049999997</v>
      </c>
      <c r="R10" s="410"/>
      <c r="S10" s="428">
        <v>0</v>
      </c>
      <c r="T10" s="428">
        <f t="shared" si="2"/>
        <v>-0.12332293810169928</v>
      </c>
      <c r="U10" s="428">
        <f t="shared" si="3"/>
        <v>0.17347990372605801</v>
      </c>
    </row>
    <row r="11" spans="1:23" s="411" customFormat="1" ht="15" customHeight="1" x14ac:dyDescent="0.2">
      <c r="A11" s="422">
        <v>45078</v>
      </c>
      <c r="B11" s="126">
        <v>121466.03</v>
      </c>
      <c r="C11" s="127">
        <v>134894.81</v>
      </c>
      <c r="D11" s="126">
        <v>693543.49</v>
      </c>
      <c r="E11" s="128">
        <v>37895462.43</v>
      </c>
      <c r="F11" s="410"/>
      <c r="G11" s="421">
        <v>45444</v>
      </c>
      <c r="H11" s="126">
        <v>71663</v>
      </c>
      <c r="I11" s="127">
        <v>179664.1</v>
      </c>
      <c r="J11" s="126">
        <v>0</v>
      </c>
      <c r="K11" s="143">
        <v>33069559.449999999</v>
      </c>
      <c r="L11" s="410"/>
      <c r="M11" s="421">
        <v>45809</v>
      </c>
      <c r="N11" s="126">
        <v>88790.07</v>
      </c>
      <c r="O11" s="127">
        <v>188146.6</v>
      </c>
      <c r="P11" s="126">
        <v>445112.18</v>
      </c>
      <c r="Q11" s="128">
        <v>37972844.869999997</v>
      </c>
      <c r="R11" s="410"/>
      <c r="S11" s="428">
        <v>0</v>
      </c>
      <c r="T11" s="428">
        <f t="shared" si="2"/>
        <v>-0.12734777914148285</v>
      </c>
      <c r="U11" s="428">
        <f t="shared" si="3"/>
        <v>0.14827187000823497</v>
      </c>
    </row>
    <row r="12" spans="1:23" s="411" customFormat="1" ht="15" customHeight="1" x14ac:dyDescent="0.2">
      <c r="A12" s="422">
        <v>45108</v>
      </c>
      <c r="B12" s="126">
        <v>94724.420000000013</v>
      </c>
      <c r="C12" s="127">
        <v>111270.1</v>
      </c>
      <c r="D12" s="126">
        <v>1297948.3599999999</v>
      </c>
      <c r="E12" s="128">
        <v>31834255.309999999</v>
      </c>
      <c r="F12" s="410"/>
      <c r="G12" s="421">
        <v>45474</v>
      </c>
      <c r="H12" s="126">
        <v>81255.28</v>
      </c>
      <c r="I12" s="127">
        <v>163487.32999999999</v>
      </c>
      <c r="J12" s="126">
        <v>176340</v>
      </c>
      <c r="K12" s="143">
        <v>32555899.800000001</v>
      </c>
      <c r="L12" s="410"/>
      <c r="M12" s="421">
        <v>45839</v>
      </c>
      <c r="N12" s="126">
        <v>89077.119999999995</v>
      </c>
      <c r="O12" s="127">
        <v>152167.84</v>
      </c>
      <c r="P12" s="126">
        <v>991146.81</v>
      </c>
      <c r="Q12" s="131">
        <v>34132951.390000001</v>
      </c>
      <c r="R12" s="410"/>
      <c r="S12" s="428">
        <v>0</v>
      </c>
      <c r="T12" s="428">
        <f t="shared" si="2"/>
        <v>2.2668803870945713E-2</v>
      </c>
      <c r="U12" s="428">
        <f t="shared" si="3"/>
        <v>4.8441345491547431E-2</v>
      </c>
    </row>
    <row r="13" spans="1:23" s="411" customFormat="1" ht="15" customHeight="1" x14ac:dyDescent="0.2">
      <c r="A13" s="422">
        <v>45139</v>
      </c>
      <c r="B13" s="126">
        <v>82892.070000000022</v>
      </c>
      <c r="C13" s="127">
        <v>130808.9</v>
      </c>
      <c r="D13" s="126">
        <v>768991.58000000007</v>
      </c>
      <c r="E13" s="128">
        <v>32632319.09</v>
      </c>
      <c r="F13" s="410"/>
      <c r="G13" s="421">
        <v>45505</v>
      </c>
      <c r="H13" s="126">
        <v>94715.99</v>
      </c>
      <c r="I13" s="127">
        <v>166878.37999999998</v>
      </c>
      <c r="J13" s="126">
        <v>573099.50000000081</v>
      </c>
      <c r="K13" s="143">
        <v>35516616.640000001</v>
      </c>
      <c r="L13" s="410"/>
      <c r="M13" s="421">
        <v>45870</v>
      </c>
      <c r="N13" s="126">
        <v>67824.78</v>
      </c>
      <c r="O13" s="127">
        <v>133296.65</v>
      </c>
      <c r="P13" s="126">
        <v>214732.75</v>
      </c>
      <c r="Q13" s="132">
        <v>27594784.850000001</v>
      </c>
      <c r="R13" s="410"/>
      <c r="S13" s="428">
        <v>0</v>
      </c>
      <c r="T13" s="428">
        <f t="shared" ref="T13:T16" si="4">(K13-E13)/E13</f>
        <v>8.8387758836419264E-2</v>
      </c>
      <c r="U13" s="428">
        <f t="shared" si="3"/>
        <v>-0.22304578925116891</v>
      </c>
      <c r="W13" s="589"/>
    </row>
    <row r="14" spans="1:23" s="411" customFormat="1" ht="15" customHeight="1" x14ac:dyDescent="0.2">
      <c r="A14" s="422">
        <v>45170</v>
      </c>
      <c r="B14" s="126">
        <v>95826.419999999984</v>
      </c>
      <c r="C14" s="127">
        <v>120505.29999999999</v>
      </c>
      <c r="D14" s="126">
        <v>822620.91</v>
      </c>
      <c r="E14" s="407">
        <v>33552341.920000002</v>
      </c>
      <c r="F14" s="410"/>
      <c r="G14" s="421">
        <v>45536</v>
      </c>
      <c r="H14" s="126">
        <v>91741.9</v>
      </c>
      <c r="I14" s="127">
        <v>139998.95000000001</v>
      </c>
      <c r="J14" s="126">
        <v>346318.62</v>
      </c>
      <c r="K14" s="143">
        <v>31550758.07</v>
      </c>
      <c r="L14" s="410"/>
      <c r="M14" s="421">
        <v>45901</v>
      </c>
      <c r="N14" s="126">
        <v>86077.2</v>
      </c>
      <c r="O14" s="127">
        <v>153947.6</v>
      </c>
      <c r="P14" s="126">
        <v>331680.98</v>
      </c>
      <c r="Q14" s="133">
        <v>33255585.420000002</v>
      </c>
      <c r="R14" s="410"/>
      <c r="S14" s="428">
        <v>0</v>
      </c>
      <c r="T14" s="428">
        <f t="shared" si="4"/>
        <v>-5.9655563083269907E-2</v>
      </c>
      <c r="U14" s="428">
        <f t="shared" si="3"/>
        <v>5.4034433854729925E-2</v>
      </c>
      <c r="W14" s="589"/>
    </row>
    <row r="15" spans="1:23" s="411" customFormat="1" ht="15" customHeight="1" x14ac:dyDescent="0.2">
      <c r="A15" s="422">
        <v>45200</v>
      </c>
      <c r="B15" s="134">
        <v>106638.47999999989</v>
      </c>
      <c r="C15" s="135">
        <v>130084.73999999982</v>
      </c>
      <c r="D15" s="134">
        <v>761794.86000000255</v>
      </c>
      <c r="E15" s="128">
        <v>36997314.789999999</v>
      </c>
      <c r="F15" s="410"/>
      <c r="G15" s="421">
        <v>45566</v>
      </c>
      <c r="H15" s="134">
        <v>105668.1</v>
      </c>
      <c r="I15" s="135">
        <v>188921.87</v>
      </c>
      <c r="J15" s="134">
        <v>361293.04</v>
      </c>
      <c r="K15" s="144">
        <v>39549421.799999997</v>
      </c>
      <c r="L15" s="410"/>
      <c r="M15" s="421">
        <v>45931</v>
      </c>
      <c r="N15" s="134">
        <v>100271.4</v>
      </c>
      <c r="O15" s="135">
        <v>210098</v>
      </c>
      <c r="P15" s="134">
        <v>547720.71</v>
      </c>
      <c r="Q15" s="128">
        <v>42803755.57</v>
      </c>
      <c r="R15" s="410"/>
      <c r="S15" s="428">
        <v>0</v>
      </c>
      <c r="T15" s="428">
        <f t="shared" si="4"/>
        <v>6.8980871300687113E-2</v>
      </c>
      <c r="U15" s="428">
        <f t="shared" si="3"/>
        <v>8.2285242663143146E-2</v>
      </c>
    </row>
    <row r="16" spans="1:23" s="411" customFormat="1" ht="15" customHeight="1" x14ac:dyDescent="0.2">
      <c r="A16" s="422">
        <v>45231</v>
      </c>
      <c r="B16" s="134">
        <v>82125.08</v>
      </c>
      <c r="C16" s="135">
        <v>144345.49999999965</v>
      </c>
      <c r="D16" s="134">
        <v>841181.16000000376</v>
      </c>
      <c r="E16" s="412">
        <v>36273488.579999998</v>
      </c>
      <c r="F16" s="410"/>
      <c r="G16" s="421">
        <v>45597</v>
      </c>
      <c r="H16" s="134">
        <v>92000.8</v>
      </c>
      <c r="I16" s="135">
        <v>114018.93</v>
      </c>
      <c r="J16" s="134">
        <v>631234.98</v>
      </c>
      <c r="K16" s="145">
        <v>28057823.510000002</v>
      </c>
      <c r="L16" s="410"/>
      <c r="M16" s="421">
        <v>45962</v>
      </c>
      <c r="N16" s="134">
        <v>89735</v>
      </c>
      <c r="O16" s="135">
        <v>189648.35</v>
      </c>
      <c r="P16" s="134">
        <v>496146.5</v>
      </c>
      <c r="Q16" s="412">
        <v>38447512.399999999</v>
      </c>
      <c r="R16" s="410"/>
      <c r="S16" s="428">
        <v>0</v>
      </c>
      <c r="T16" s="428">
        <f t="shared" si="4"/>
        <v>-0.22649227828971052</v>
      </c>
      <c r="U16" s="428">
        <f t="shared" si="3"/>
        <v>0.37029561064481853</v>
      </c>
    </row>
    <row r="17" spans="1:21" s="411" customFormat="1" ht="15" customHeight="1" x14ac:dyDescent="0.2">
      <c r="A17" s="423">
        <v>45261</v>
      </c>
      <c r="B17" s="137">
        <v>100219.55</v>
      </c>
      <c r="C17" s="138">
        <v>159521.89999999991</v>
      </c>
      <c r="D17" s="137">
        <v>865645.99000000313</v>
      </c>
      <c r="E17" s="413">
        <v>42364661.890000001</v>
      </c>
      <c r="F17" s="410"/>
      <c r="G17" s="421">
        <v>45627</v>
      </c>
      <c r="H17" s="137">
        <v>118730.48</v>
      </c>
      <c r="I17" s="138">
        <v>121413.3</v>
      </c>
      <c r="J17" s="137">
        <v>1090420.04</v>
      </c>
      <c r="K17" s="144">
        <v>32914045.66</v>
      </c>
      <c r="L17" s="410"/>
      <c r="M17" s="421">
        <v>45992</v>
      </c>
      <c r="N17" s="137"/>
      <c r="O17" s="138"/>
      <c r="P17" s="137"/>
      <c r="Q17" s="413"/>
      <c r="R17" s="410"/>
      <c r="S17" s="430"/>
      <c r="T17" s="430"/>
      <c r="U17" s="430"/>
    </row>
    <row r="18" spans="1:21" s="415" customFormat="1" ht="16.5" customHeight="1" thickBot="1" x14ac:dyDescent="0.25">
      <c r="A18" s="21" t="s">
        <v>75</v>
      </c>
      <c r="B18" s="418">
        <f>SUM(B6:B17)</f>
        <v>1418708.0800000003</v>
      </c>
      <c r="C18" s="419">
        <f>SUM(C6:C17)</f>
        <v>1299413.2699999996</v>
      </c>
      <c r="D18" s="420">
        <f>SUM(D6:D17)</f>
        <v>8925996.3000000101</v>
      </c>
      <c r="E18" s="416">
        <f>SUM(E6:E17)</f>
        <v>405476088.14999998</v>
      </c>
      <c r="F18" s="414"/>
      <c r="G18" s="409" t="s">
        <v>75</v>
      </c>
      <c r="H18" s="424">
        <f>SUM(H6:H17)</f>
        <v>1169061.6400000001</v>
      </c>
      <c r="I18" s="425">
        <f>SUM(I6:I17)</f>
        <v>1934977.8799999994</v>
      </c>
      <c r="J18" s="426">
        <f>SUM(J6:J17)</f>
        <v>5462939.6400000015</v>
      </c>
      <c r="K18" s="365">
        <f>SUM(K6:K17)</f>
        <v>441070901.13</v>
      </c>
      <c r="L18" s="414"/>
      <c r="M18" s="408" t="s">
        <v>75</v>
      </c>
      <c r="N18" s="418">
        <f>SUM(N6:N17)</f>
        <v>1362451.64</v>
      </c>
      <c r="O18" s="419">
        <f>SUM(O6:O17)</f>
        <v>1814833.08</v>
      </c>
      <c r="P18" s="420">
        <f>SUM(P6:P17)</f>
        <v>6703097.6900000004</v>
      </c>
      <c r="Q18" s="416">
        <f>SUM(Q6:Q17)</f>
        <v>436187062.95999998</v>
      </c>
      <c r="R18" s="414"/>
      <c r="S18" s="431"/>
      <c r="T18" s="432"/>
      <c r="U18" s="431"/>
    </row>
    <row r="19" spans="1:21" ht="16.5" customHeight="1" thickTop="1" x14ac:dyDescent="0.25">
      <c r="F19" s="386"/>
      <c r="L19" s="386"/>
      <c r="R19" s="386"/>
    </row>
    <row r="20" spans="1:21" ht="15" customHeight="1" x14ac:dyDescent="0.25">
      <c r="A20" s="651" t="s">
        <v>127</v>
      </c>
      <c r="B20" s="652"/>
      <c r="C20" s="652"/>
      <c r="D20" s="653"/>
      <c r="E20" s="460"/>
      <c r="F20" s="386"/>
      <c r="G20" s="641" t="s">
        <v>128</v>
      </c>
      <c r="H20" s="642"/>
      <c r="I20" s="642"/>
      <c r="J20" s="643"/>
      <c r="K20" s="433"/>
      <c r="L20" s="574"/>
      <c r="M20" s="641" t="s">
        <v>129</v>
      </c>
      <c r="N20" s="642"/>
      <c r="O20" s="642"/>
      <c r="P20" s="643"/>
      <c r="Q20" s="433"/>
      <c r="R20" s="386"/>
      <c r="S20" s="638" t="s">
        <v>126</v>
      </c>
      <c r="T20" s="639"/>
      <c r="U20" s="640"/>
    </row>
    <row r="21" spans="1:21" ht="15" customHeight="1" x14ac:dyDescent="0.25">
      <c r="A21" s="637" t="s">
        <v>71</v>
      </c>
      <c r="B21" s="644" t="s">
        <v>103</v>
      </c>
      <c r="C21" s="644" t="s">
        <v>106</v>
      </c>
      <c r="D21" s="645" t="s">
        <v>130</v>
      </c>
      <c r="F21" s="386"/>
      <c r="G21" s="637" t="s">
        <v>71</v>
      </c>
      <c r="H21" s="644" t="s">
        <v>103</v>
      </c>
      <c r="I21" s="644" t="s">
        <v>106</v>
      </c>
      <c r="J21" s="645" t="s">
        <v>130</v>
      </c>
      <c r="L21" s="386"/>
      <c r="M21" s="647" t="s">
        <v>71</v>
      </c>
      <c r="N21" s="644" t="s">
        <v>103</v>
      </c>
      <c r="O21" s="644" t="s">
        <v>106</v>
      </c>
      <c r="P21" s="645" t="s">
        <v>130</v>
      </c>
      <c r="R21" s="386"/>
      <c r="S21" s="637">
        <v>2023</v>
      </c>
      <c r="T21" s="637">
        <v>2024</v>
      </c>
      <c r="U21" s="637">
        <v>2025</v>
      </c>
    </row>
    <row r="22" spans="1:21" x14ac:dyDescent="0.25">
      <c r="A22" s="637"/>
      <c r="B22" s="648"/>
      <c r="C22" s="648"/>
      <c r="D22" s="646"/>
      <c r="F22" s="386"/>
      <c r="G22" s="637"/>
      <c r="H22" s="648"/>
      <c r="I22" s="644"/>
      <c r="J22" s="646"/>
      <c r="L22" s="386"/>
      <c r="M22" s="647"/>
      <c r="N22" s="644"/>
      <c r="O22" s="644"/>
      <c r="P22" s="645"/>
      <c r="R22" s="386"/>
      <c r="S22" s="637"/>
      <c r="T22" s="637"/>
      <c r="U22" s="637"/>
    </row>
    <row r="23" spans="1:21" x14ac:dyDescent="0.25">
      <c r="A23" s="435">
        <v>44927</v>
      </c>
      <c r="B23" s="156">
        <v>1312644</v>
      </c>
      <c r="C23" s="156">
        <v>508518</v>
      </c>
      <c r="D23" s="156">
        <f t="shared" ref="D23:D26" si="5">C23+B23</f>
        <v>1821162</v>
      </c>
      <c r="F23" s="386"/>
      <c r="G23" s="435">
        <v>45292</v>
      </c>
      <c r="H23" s="68">
        <v>1130376</v>
      </c>
      <c r="I23" s="440">
        <v>933534</v>
      </c>
      <c r="J23" s="438">
        <f>H23+I23</f>
        <v>2063910</v>
      </c>
      <c r="L23" s="386"/>
      <c r="M23" s="435">
        <v>45658</v>
      </c>
      <c r="N23" s="446">
        <v>1430948</v>
      </c>
      <c r="O23" s="166">
        <v>813240</v>
      </c>
      <c r="P23" s="447">
        <f>N23+O23</f>
        <v>2244188</v>
      </c>
      <c r="R23" s="386"/>
      <c r="S23" s="427">
        <v>0</v>
      </c>
      <c r="T23" s="453">
        <f>(J23-D23)/D23</f>
        <v>0.13329291957552375</v>
      </c>
      <c r="U23" s="427">
        <f>(P23-J23)/J23</f>
        <v>8.7347801018455268E-2</v>
      </c>
    </row>
    <row r="24" spans="1:21" x14ac:dyDescent="0.25">
      <c r="A24" s="442">
        <v>44958</v>
      </c>
      <c r="B24" s="160">
        <v>1539266</v>
      </c>
      <c r="C24" s="160">
        <v>940142</v>
      </c>
      <c r="D24" s="160">
        <f t="shared" si="5"/>
        <v>2479408</v>
      </c>
      <c r="F24" s="386"/>
      <c r="G24" s="435">
        <v>45323</v>
      </c>
      <c r="H24" s="75">
        <v>1246853</v>
      </c>
      <c r="I24" s="436">
        <v>861834</v>
      </c>
      <c r="J24" s="439">
        <f t="shared" ref="J24:J34" si="6">H24+I24</f>
        <v>2108687</v>
      </c>
      <c r="L24" s="386"/>
      <c r="M24" s="435">
        <v>45689</v>
      </c>
      <c r="N24" s="434">
        <v>1256796</v>
      </c>
      <c r="O24" s="160">
        <v>891377</v>
      </c>
      <c r="P24" s="445">
        <f t="shared" ref="P24:P33" si="7">N24+O24</f>
        <v>2148173</v>
      </c>
      <c r="R24" s="386"/>
      <c r="S24" s="428">
        <v>0</v>
      </c>
      <c r="T24" s="453">
        <f t="shared" ref="T24:T25" si="8">(J24-D24)/D24</f>
        <v>-0.14951996605641346</v>
      </c>
      <c r="U24" s="427">
        <f t="shared" ref="U24:U25" si="9">(P24-J24)/J24</f>
        <v>1.8725396419667785E-2</v>
      </c>
    </row>
    <row r="25" spans="1:21" x14ac:dyDescent="0.25">
      <c r="A25" s="442">
        <v>44986</v>
      </c>
      <c r="B25" s="160">
        <v>1140326</v>
      </c>
      <c r="C25" s="160">
        <v>575763</v>
      </c>
      <c r="D25" s="160">
        <f t="shared" si="5"/>
        <v>1716089</v>
      </c>
      <c r="F25" s="386"/>
      <c r="G25" s="435">
        <v>45352</v>
      </c>
      <c r="H25" s="75">
        <v>1119218</v>
      </c>
      <c r="I25" s="436">
        <v>757562</v>
      </c>
      <c r="J25" s="439">
        <f t="shared" si="6"/>
        <v>1876780</v>
      </c>
      <c r="L25" s="386"/>
      <c r="M25" s="435">
        <v>45717</v>
      </c>
      <c r="N25" s="434">
        <v>1541219</v>
      </c>
      <c r="O25" s="160">
        <v>857663</v>
      </c>
      <c r="P25" s="445">
        <f t="shared" si="7"/>
        <v>2398882</v>
      </c>
      <c r="R25" s="386"/>
      <c r="S25" s="428">
        <v>0</v>
      </c>
      <c r="T25" s="453">
        <f t="shared" si="8"/>
        <v>9.3637917380741911E-2</v>
      </c>
      <c r="U25" s="427">
        <f t="shared" si="9"/>
        <v>0.27819030467076589</v>
      </c>
    </row>
    <row r="26" spans="1:21" x14ac:dyDescent="0.25">
      <c r="A26" s="442">
        <v>45017</v>
      </c>
      <c r="B26" s="160">
        <v>865121</v>
      </c>
      <c r="C26" s="160">
        <v>434023</v>
      </c>
      <c r="D26" s="160">
        <f t="shared" si="5"/>
        <v>1299144</v>
      </c>
      <c r="F26" s="386"/>
      <c r="G26" s="435">
        <v>45383</v>
      </c>
      <c r="H26" s="75">
        <v>982330</v>
      </c>
      <c r="I26" s="436">
        <v>653907</v>
      </c>
      <c r="J26" s="439">
        <f t="shared" si="6"/>
        <v>1636237</v>
      </c>
      <c r="L26" s="386"/>
      <c r="M26" s="435">
        <v>45748</v>
      </c>
      <c r="N26" s="160">
        <v>1122033</v>
      </c>
      <c r="O26" s="160">
        <v>788324</v>
      </c>
      <c r="P26" s="445">
        <f t="shared" si="7"/>
        <v>1910357</v>
      </c>
      <c r="R26" s="386"/>
      <c r="S26" s="428">
        <v>0</v>
      </c>
      <c r="T26" s="453">
        <f t="shared" ref="T26:T28" si="10">(J26-D26)/D26</f>
        <v>0.25947316078895027</v>
      </c>
      <c r="U26" s="427">
        <f t="shared" ref="U26:U28" si="11">(P26-J26)/J26</f>
        <v>0.16753074279581748</v>
      </c>
    </row>
    <row r="27" spans="1:21" x14ac:dyDescent="0.25">
      <c r="A27" s="442">
        <v>45047</v>
      </c>
      <c r="B27" s="160">
        <v>1471513</v>
      </c>
      <c r="C27" s="160">
        <v>878860</v>
      </c>
      <c r="D27" s="160">
        <f>C27+B27</f>
        <v>2350373</v>
      </c>
      <c r="F27" s="386"/>
      <c r="G27" s="435">
        <v>45413</v>
      </c>
      <c r="H27" s="75">
        <v>1007018</v>
      </c>
      <c r="I27" s="436">
        <v>678363</v>
      </c>
      <c r="J27" s="439">
        <f t="shared" si="6"/>
        <v>1685381</v>
      </c>
      <c r="L27" s="386"/>
      <c r="M27" s="435">
        <v>45778</v>
      </c>
      <c r="N27" s="160">
        <v>1266595</v>
      </c>
      <c r="O27" s="160">
        <v>706491</v>
      </c>
      <c r="P27" s="445">
        <f t="shared" si="7"/>
        <v>1973086</v>
      </c>
      <c r="R27" s="386"/>
      <c r="S27" s="428">
        <v>0</v>
      </c>
      <c r="T27" s="453">
        <f t="shared" si="10"/>
        <v>-0.28293041147086018</v>
      </c>
      <c r="U27" s="427">
        <f t="shared" si="11"/>
        <v>0.17070620826982147</v>
      </c>
    </row>
    <row r="28" spans="1:21" x14ac:dyDescent="0.25">
      <c r="A28" s="442">
        <v>45078</v>
      </c>
      <c r="B28" s="160">
        <v>986016</v>
      </c>
      <c r="C28" s="160">
        <v>610463</v>
      </c>
      <c r="D28" s="160">
        <f t="shared" ref="D28:D34" si="12">C28+B28</f>
        <v>1596479</v>
      </c>
      <c r="F28" s="386"/>
      <c r="G28" s="435">
        <v>45444</v>
      </c>
      <c r="H28" s="75">
        <v>1005233</v>
      </c>
      <c r="I28" s="436">
        <v>613127</v>
      </c>
      <c r="J28" s="439">
        <f t="shared" si="6"/>
        <v>1618360</v>
      </c>
      <c r="L28" s="386"/>
      <c r="M28" s="435">
        <v>45809</v>
      </c>
      <c r="N28" s="160">
        <v>1152562</v>
      </c>
      <c r="O28" s="160">
        <v>739032</v>
      </c>
      <c r="P28" s="160">
        <f t="shared" si="7"/>
        <v>1891594</v>
      </c>
      <c r="R28" s="386"/>
      <c r="S28" s="428">
        <v>0</v>
      </c>
      <c r="T28" s="453">
        <f t="shared" si="10"/>
        <v>1.3705786295967564E-2</v>
      </c>
      <c r="U28" s="427">
        <f t="shared" si="11"/>
        <v>0.16883388121307991</v>
      </c>
    </row>
    <row r="29" spans="1:21" x14ac:dyDescent="0.25">
      <c r="A29" s="442">
        <v>45108</v>
      </c>
      <c r="B29" s="160">
        <v>1094710</v>
      </c>
      <c r="C29" s="160">
        <v>827991</v>
      </c>
      <c r="D29" s="160">
        <f t="shared" si="12"/>
        <v>1922701</v>
      </c>
      <c r="F29" s="386"/>
      <c r="G29" s="435">
        <v>45474</v>
      </c>
      <c r="H29" s="75">
        <v>955438</v>
      </c>
      <c r="I29" s="436">
        <v>703972</v>
      </c>
      <c r="J29" s="439">
        <f t="shared" si="6"/>
        <v>1659410</v>
      </c>
      <c r="L29" s="386"/>
      <c r="M29" s="435">
        <v>45839</v>
      </c>
      <c r="N29" s="160">
        <v>1068883</v>
      </c>
      <c r="O29" s="160">
        <v>681930</v>
      </c>
      <c r="P29" s="160">
        <f t="shared" si="7"/>
        <v>1750813</v>
      </c>
      <c r="R29" s="386"/>
      <c r="S29" s="428">
        <v>0</v>
      </c>
      <c r="T29" s="453">
        <f t="shared" ref="T29" si="13">(J29-D29)/D29</f>
        <v>-0.13693808865757079</v>
      </c>
      <c r="U29" s="427">
        <f t="shared" ref="U29" si="14">(P29-J29)/J29</f>
        <v>5.5081625396978445E-2</v>
      </c>
    </row>
    <row r="30" spans="1:21" x14ac:dyDescent="0.25">
      <c r="A30" s="442">
        <v>45139</v>
      </c>
      <c r="B30" s="160">
        <v>1051834</v>
      </c>
      <c r="C30" s="160">
        <v>802328</v>
      </c>
      <c r="D30" s="160">
        <f t="shared" si="12"/>
        <v>1854162</v>
      </c>
      <c r="F30" s="386"/>
      <c r="G30" s="435">
        <v>45505</v>
      </c>
      <c r="H30" s="75">
        <v>990516</v>
      </c>
      <c r="I30" s="160">
        <v>624451</v>
      </c>
      <c r="J30" s="439">
        <f t="shared" si="6"/>
        <v>1614967</v>
      </c>
      <c r="L30" s="386"/>
      <c r="M30" s="435">
        <v>45870</v>
      </c>
      <c r="N30" s="160">
        <f>'Aug 2025 - Prodn &amp; Sales'!C22</f>
        <v>764179</v>
      </c>
      <c r="O30" s="160">
        <f>'Aug 2025 - Prodn &amp; Sales'!C53</f>
        <v>459550</v>
      </c>
      <c r="P30" s="160">
        <f t="shared" si="7"/>
        <v>1223729</v>
      </c>
      <c r="R30" s="386"/>
      <c r="S30" s="428">
        <v>0</v>
      </c>
      <c r="T30" s="453">
        <f t="shared" ref="T30:T31" si="15">(J30-D30)/D30</f>
        <v>-0.12900436962897524</v>
      </c>
      <c r="U30" s="427">
        <f t="shared" ref="U30:U31" si="16">(P30-J30)/J30</f>
        <v>-0.24225758173386824</v>
      </c>
    </row>
    <row r="31" spans="1:21" x14ac:dyDescent="0.25">
      <c r="A31" s="442">
        <v>45170</v>
      </c>
      <c r="B31" s="160">
        <v>1043265</v>
      </c>
      <c r="C31" s="160">
        <v>802105</v>
      </c>
      <c r="D31" s="160">
        <f t="shared" si="12"/>
        <v>1845370</v>
      </c>
      <c r="F31" s="386"/>
      <c r="G31" s="435">
        <v>45536</v>
      </c>
      <c r="H31" s="75">
        <v>886048</v>
      </c>
      <c r="I31" s="436">
        <v>594719</v>
      </c>
      <c r="J31" s="439">
        <f t="shared" si="6"/>
        <v>1480767</v>
      </c>
      <c r="L31" s="386"/>
      <c r="M31" s="435">
        <v>45901</v>
      </c>
      <c r="N31" s="160">
        <f>'Sept 2025 - Prodn &amp; Sales'!C23</f>
        <v>1008542</v>
      </c>
      <c r="O31" s="160">
        <f>'Sept 2025 - Prodn &amp; Sales'!C54</f>
        <v>612400</v>
      </c>
      <c r="P31" s="160">
        <f t="shared" si="7"/>
        <v>1620942</v>
      </c>
      <c r="R31" s="386"/>
      <c r="S31" s="428">
        <v>0</v>
      </c>
      <c r="T31" s="453">
        <f t="shared" si="15"/>
        <v>-0.19757717964419061</v>
      </c>
      <c r="U31" s="427">
        <f t="shared" si="16"/>
        <v>9.4663778974004686E-2</v>
      </c>
    </row>
    <row r="32" spans="1:21" x14ac:dyDescent="0.25">
      <c r="A32" s="442">
        <v>45200</v>
      </c>
      <c r="B32" s="160">
        <v>1124966</v>
      </c>
      <c r="C32" s="160">
        <v>752496</v>
      </c>
      <c r="D32" s="160">
        <f t="shared" si="12"/>
        <v>1877462</v>
      </c>
      <c r="F32" s="386"/>
      <c r="G32" s="435">
        <v>45566</v>
      </c>
      <c r="H32" s="75">
        <v>1035586</v>
      </c>
      <c r="I32" s="160">
        <v>749784</v>
      </c>
      <c r="J32" s="439">
        <f t="shared" si="6"/>
        <v>1785370</v>
      </c>
      <c r="L32" s="386"/>
      <c r="M32" s="435">
        <v>45931</v>
      </c>
      <c r="N32" s="160">
        <f>'Oct 2025 - Prodn &amp; Sales'!C23</f>
        <v>1058008</v>
      </c>
      <c r="O32" s="160">
        <f>'Oct 2025 - Prodn &amp; Sales'!C54</f>
        <v>873944</v>
      </c>
      <c r="P32" s="160">
        <f t="shared" si="7"/>
        <v>1931952</v>
      </c>
      <c r="R32" s="386"/>
      <c r="S32" s="428">
        <v>0</v>
      </c>
      <c r="T32" s="453">
        <f t="shared" ref="T32:T33" si="17">(J32-D32)/D32</f>
        <v>-4.9051325672636786E-2</v>
      </c>
      <c r="U32" s="427">
        <f t="shared" ref="U32:U33" si="18">(P32-J32)/J32</f>
        <v>8.2101749217249081E-2</v>
      </c>
    </row>
    <row r="33" spans="1:21" x14ac:dyDescent="0.25">
      <c r="A33" s="442">
        <v>45231</v>
      </c>
      <c r="B33" s="160">
        <v>1093530</v>
      </c>
      <c r="C33" s="160">
        <v>770790</v>
      </c>
      <c r="D33" s="160">
        <f t="shared" si="12"/>
        <v>1864320</v>
      </c>
      <c r="F33" s="386"/>
      <c r="G33" s="435">
        <v>45597</v>
      </c>
      <c r="H33" s="160">
        <v>933279</v>
      </c>
      <c r="I33" s="451">
        <v>710358</v>
      </c>
      <c r="J33" s="439">
        <f t="shared" si="6"/>
        <v>1643637</v>
      </c>
      <c r="L33" s="386"/>
      <c r="M33" s="435">
        <v>45962</v>
      </c>
      <c r="N33" s="429">
        <f>'Nov 2025 - Prodn &amp; Sales'!C26</f>
        <v>1065191</v>
      </c>
      <c r="O33" s="160">
        <f>'Nov 2025 - Prodn &amp; Sales'!C57</f>
        <v>693808</v>
      </c>
      <c r="P33" s="160">
        <f t="shared" si="7"/>
        <v>1758999</v>
      </c>
      <c r="R33" s="386"/>
      <c r="S33" s="428">
        <v>0</v>
      </c>
      <c r="T33" s="453">
        <f t="shared" si="17"/>
        <v>-0.11837184603501545</v>
      </c>
      <c r="U33" s="427">
        <f t="shared" si="18"/>
        <v>7.0187030347941784E-2</v>
      </c>
    </row>
    <row r="34" spans="1:21" x14ac:dyDescent="0.25">
      <c r="A34" s="443">
        <v>45261</v>
      </c>
      <c r="B34" s="168">
        <v>1355931</v>
      </c>
      <c r="C34" s="168">
        <v>840043</v>
      </c>
      <c r="D34" s="168">
        <f t="shared" si="12"/>
        <v>2195974</v>
      </c>
      <c r="F34" s="386"/>
      <c r="G34" s="435">
        <v>45627</v>
      </c>
      <c r="H34" s="168">
        <v>1236057</v>
      </c>
      <c r="I34" s="452">
        <v>680957</v>
      </c>
      <c r="J34" s="439">
        <f t="shared" si="6"/>
        <v>1917014</v>
      </c>
      <c r="L34" s="386"/>
      <c r="M34" s="444">
        <v>45992</v>
      </c>
      <c r="N34" s="430"/>
      <c r="O34" s="159"/>
      <c r="P34" s="430"/>
      <c r="R34" s="386"/>
      <c r="S34" s="448"/>
      <c r="T34" s="437"/>
      <c r="U34" s="448"/>
    </row>
    <row r="35" spans="1:21" s="441" customFormat="1" ht="15.75" thickBot="1" x14ac:dyDescent="0.3">
      <c r="A35" s="146" t="s">
        <v>75</v>
      </c>
      <c r="B35" s="364">
        <f>SUM(B23:B34)</f>
        <v>14079122</v>
      </c>
      <c r="C35" s="364">
        <f t="shared" ref="C35:D35" si="19">SUM(C23:C34)</f>
        <v>8743522</v>
      </c>
      <c r="D35" s="364">
        <f t="shared" si="19"/>
        <v>22822644</v>
      </c>
      <c r="F35" s="573"/>
      <c r="G35" s="146" t="s">
        <v>75</v>
      </c>
      <c r="H35" s="365">
        <f>SUM(H23:H34)</f>
        <v>12527952</v>
      </c>
      <c r="I35" s="365">
        <f t="shared" ref="I35:J35" si="20">SUM(I23:I34)</f>
        <v>8562568</v>
      </c>
      <c r="J35" s="365">
        <f t="shared" si="20"/>
        <v>21090520</v>
      </c>
      <c r="L35" s="573"/>
      <c r="M35" s="449"/>
      <c r="N35" s="450">
        <f>SUM(N23:N34)</f>
        <v>12734956</v>
      </c>
      <c r="O35" s="364">
        <f t="shared" ref="O35:P35" si="21">SUM(O23:O34)</f>
        <v>8117759</v>
      </c>
      <c r="P35" s="450">
        <f t="shared" si="21"/>
        <v>20852715</v>
      </c>
      <c r="R35" s="573"/>
      <c r="S35" s="449"/>
      <c r="T35" s="557"/>
      <c r="U35" s="558"/>
    </row>
    <row r="36" spans="1:21" ht="15.75" thickTop="1" x14ac:dyDescent="0.25">
      <c r="N36" s="141"/>
      <c r="O36" s="141"/>
      <c r="P36" s="141"/>
    </row>
    <row r="37" spans="1:21" x14ac:dyDescent="0.25">
      <c r="N37" s="141"/>
      <c r="O37" s="141"/>
      <c r="P37" s="141"/>
    </row>
    <row r="43" spans="1:21" x14ac:dyDescent="0.25">
      <c r="F43">
        <v>798944</v>
      </c>
    </row>
    <row r="44" spans="1:21" x14ac:dyDescent="0.25">
      <c r="F44">
        <v>971078</v>
      </c>
    </row>
  </sheetData>
  <mergeCells count="39">
    <mergeCell ref="G1:K1"/>
    <mergeCell ref="G2:K2"/>
    <mergeCell ref="G3:K3"/>
    <mergeCell ref="G4:G5"/>
    <mergeCell ref="K4:K5"/>
    <mergeCell ref="A1:E1"/>
    <mergeCell ref="A2:E2"/>
    <mergeCell ref="A3:E3"/>
    <mergeCell ref="A4:A5"/>
    <mergeCell ref="E4:E5"/>
    <mergeCell ref="U4:U5"/>
    <mergeCell ref="S1:U1"/>
    <mergeCell ref="S2:U3"/>
    <mergeCell ref="M1:Q1"/>
    <mergeCell ref="M2:Q2"/>
    <mergeCell ref="M3:Q3"/>
    <mergeCell ref="M4:M5"/>
    <mergeCell ref="Q4:Q5"/>
    <mergeCell ref="D21:D22"/>
    <mergeCell ref="G21:G22"/>
    <mergeCell ref="H21:H22"/>
    <mergeCell ref="S4:S5"/>
    <mergeCell ref="T4:T5"/>
    <mergeCell ref="G20:J20"/>
    <mergeCell ref="A20:D20"/>
    <mergeCell ref="S21:S22"/>
    <mergeCell ref="T21:T22"/>
    <mergeCell ref="A21:A22"/>
    <mergeCell ref="B21:B22"/>
    <mergeCell ref="C21:C22"/>
    <mergeCell ref="U21:U22"/>
    <mergeCell ref="S20:U20"/>
    <mergeCell ref="M20:P20"/>
    <mergeCell ref="I21:I22"/>
    <mergeCell ref="J21:J22"/>
    <mergeCell ref="M21:M22"/>
    <mergeCell ref="N21:N22"/>
    <mergeCell ref="O21:O22"/>
    <mergeCell ref="P21:P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9">
    <tabColor rgb="FF92D050"/>
  </sheetPr>
  <dimension ref="A1:Q64"/>
  <sheetViews>
    <sheetView workbookViewId="0">
      <pane ySplit="4" topLeftCell="A50" activePane="bottomLeft" state="frozen"/>
      <selection pane="bottomLeft" activeCell="H67" sqref="H67"/>
    </sheetView>
  </sheetViews>
  <sheetFormatPr defaultRowHeight="12" x14ac:dyDescent="0.2"/>
  <cols>
    <col min="1" max="1" width="26.7109375" style="141" customWidth="1"/>
    <col min="2" max="2" width="9.140625" style="141" customWidth="1"/>
    <col min="3" max="3" width="9.7109375" style="141" customWidth="1"/>
    <col min="4" max="4" width="9.85546875" style="141" customWidth="1"/>
    <col min="5" max="5" width="8.85546875" style="141" customWidth="1"/>
    <col min="6" max="6" width="8.7109375" style="141" customWidth="1"/>
    <col min="7" max="8" width="10.140625" style="141" customWidth="1"/>
    <col min="9" max="9" width="9.7109375" style="141" customWidth="1"/>
    <col min="10" max="14" width="8.7109375" style="141" customWidth="1"/>
    <col min="15" max="15" width="11.5703125" style="153" customWidth="1"/>
    <col min="16" max="16" width="10.7109375" style="141" customWidth="1"/>
    <col min="17" max="17" width="9.42578125" style="141" customWidth="1"/>
    <col min="18" max="16384" width="9.140625" style="141"/>
  </cols>
  <sheetData>
    <row r="1" spans="1:16" ht="13.5" customHeight="1" x14ac:dyDescent="0.25">
      <c r="A1" s="620" t="s">
        <v>0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</row>
    <row r="2" spans="1:16" ht="13.5" customHeight="1" x14ac:dyDescent="0.25">
      <c r="A2" s="620" t="s">
        <v>92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</row>
    <row r="3" spans="1:16" ht="13.5" customHeight="1" x14ac:dyDescent="0.25">
      <c r="A3" s="621" t="s">
        <v>91</v>
      </c>
      <c r="B3" s="620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P3" s="621"/>
    </row>
    <row r="4" spans="1:16" s="150" customFormat="1" ht="15" customHeight="1" x14ac:dyDescent="0.25">
      <c r="A4" s="481" t="s">
        <v>18</v>
      </c>
      <c r="B4" s="147" t="s">
        <v>93</v>
      </c>
      <c r="C4" s="517">
        <v>45658</v>
      </c>
      <c r="D4" s="457">
        <v>45689</v>
      </c>
      <c r="E4" s="457">
        <v>45717</v>
      </c>
      <c r="F4" s="457">
        <v>45748</v>
      </c>
      <c r="G4" s="458">
        <v>45778</v>
      </c>
      <c r="H4" s="148">
        <v>45809</v>
      </c>
      <c r="I4" s="457">
        <v>45839</v>
      </c>
      <c r="J4" s="457">
        <v>45870</v>
      </c>
      <c r="K4" s="457">
        <v>45901</v>
      </c>
      <c r="L4" s="457">
        <v>45931</v>
      </c>
      <c r="M4" s="458">
        <v>45962</v>
      </c>
      <c r="N4" s="148">
        <v>45992</v>
      </c>
      <c r="O4" s="459" t="s">
        <v>94</v>
      </c>
      <c r="P4" s="149" t="s">
        <v>95</v>
      </c>
    </row>
    <row r="5" spans="1:16" ht="13.5" customHeight="1" x14ac:dyDescent="0.2">
      <c r="A5" s="520" t="s">
        <v>19</v>
      </c>
      <c r="B5" s="526">
        <v>3349.6615384615388</v>
      </c>
      <c r="C5" s="523">
        <v>65175</v>
      </c>
      <c r="D5" s="160">
        <v>70724</v>
      </c>
      <c r="E5" s="352">
        <v>73612</v>
      </c>
      <c r="F5" s="152">
        <v>58102</v>
      </c>
      <c r="G5" s="352">
        <v>59245</v>
      </c>
      <c r="H5" s="154">
        <v>51535</v>
      </c>
      <c r="I5" s="153">
        <v>46052</v>
      </c>
      <c r="J5" s="151">
        <v>29393</v>
      </c>
      <c r="K5" s="155">
        <v>40361</v>
      </c>
      <c r="L5" s="186">
        <v>56589</v>
      </c>
      <c r="M5" s="155">
        <v>58201</v>
      </c>
      <c r="N5" s="186"/>
      <c r="O5" s="160">
        <f>SUM(C5:N5)</f>
        <v>608989</v>
      </c>
      <c r="P5" s="157">
        <f>(O5/B5)*12/11</f>
        <v>198.33395963604292</v>
      </c>
    </row>
    <row r="6" spans="1:16" ht="13.5" customHeight="1" x14ac:dyDescent="0.2">
      <c r="A6" s="604" t="s">
        <v>176</v>
      </c>
      <c r="B6" s="526"/>
      <c r="C6" s="523"/>
      <c r="D6" s="160"/>
      <c r="E6" s="352"/>
      <c r="F6" s="152"/>
      <c r="G6" s="352"/>
      <c r="H6" s="154"/>
      <c r="I6" s="153"/>
      <c r="J6" s="186"/>
      <c r="K6" s="155"/>
      <c r="L6" s="186"/>
      <c r="M6" s="155">
        <v>755</v>
      </c>
      <c r="N6" s="186"/>
      <c r="O6" s="160">
        <f t="shared" ref="O6:O25" si="0">SUM(C6:N6)</f>
        <v>755</v>
      </c>
      <c r="P6" s="157"/>
    </row>
    <row r="7" spans="1:16" ht="13.5" customHeight="1" x14ac:dyDescent="0.2">
      <c r="A7" s="521" t="s">
        <v>20</v>
      </c>
      <c r="B7" s="528">
        <v>10545.230769230768</v>
      </c>
      <c r="C7" s="523">
        <v>228840</v>
      </c>
      <c r="D7" s="160">
        <v>173760</v>
      </c>
      <c r="E7" s="352">
        <v>191820</v>
      </c>
      <c r="F7" s="134">
        <v>140800</v>
      </c>
      <c r="G7" s="352">
        <v>172866</v>
      </c>
      <c r="H7" s="160">
        <v>180582</v>
      </c>
      <c r="I7" s="159">
        <v>180208</v>
      </c>
      <c r="J7" s="128">
        <v>111985</v>
      </c>
      <c r="K7" s="161">
        <v>149054</v>
      </c>
      <c r="L7" s="128">
        <v>134444</v>
      </c>
      <c r="M7" s="161">
        <v>138127</v>
      </c>
      <c r="N7" s="128"/>
      <c r="O7" s="160">
        <f t="shared" si="0"/>
        <v>1802486</v>
      </c>
      <c r="P7" s="157">
        <f t="shared" ref="P7:P17" si="1">(O7/B7)*12/11</f>
        <v>186.46802584670237</v>
      </c>
    </row>
    <row r="8" spans="1:16" ht="13.5" customHeight="1" x14ac:dyDescent="0.2">
      <c r="A8" s="521" t="s">
        <v>21</v>
      </c>
      <c r="B8" s="528">
        <v>5768.8615384615377</v>
      </c>
      <c r="C8" s="523">
        <v>65543</v>
      </c>
      <c r="D8" s="160">
        <v>60710</v>
      </c>
      <c r="E8" s="352">
        <v>68114</v>
      </c>
      <c r="F8" s="134">
        <v>61653</v>
      </c>
      <c r="G8" s="352">
        <v>59916</v>
      </c>
      <c r="H8" s="160">
        <v>50988</v>
      </c>
      <c r="I8" s="160">
        <v>48232</v>
      </c>
      <c r="J8" s="162">
        <v>35711</v>
      </c>
      <c r="K8" s="163">
        <v>40705</v>
      </c>
      <c r="L8" s="162">
        <v>43051</v>
      </c>
      <c r="M8" s="163">
        <v>54958</v>
      </c>
      <c r="N8" s="162"/>
      <c r="O8" s="160">
        <f t="shared" si="0"/>
        <v>589581</v>
      </c>
      <c r="P8" s="157">
        <f t="shared" si="1"/>
        <v>111.4915427314621</v>
      </c>
    </row>
    <row r="9" spans="1:16" ht="13.5" customHeight="1" x14ac:dyDescent="0.2">
      <c r="A9" s="521" t="s">
        <v>22</v>
      </c>
      <c r="B9" s="528">
        <v>4962.4615384615381</v>
      </c>
      <c r="C9" s="523">
        <v>59098</v>
      </c>
      <c r="D9" s="160">
        <v>60082</v>
      </c>
      <c r="E9" s="352">
        <v>64646</v>
      </c>
      <c r="F9" s="134">
        <v>51398</v>
      </c>
      <c r="G9" s="352">
        <v>52197</v>
      </c>
      <c r="H9" s="160">
        <v>61114</v>
      </c>
      <c r="I9" s="153">
        <v>45221</v>
      </c>
      <c r="J9" s="128">
        <v>32238</v>
      </c>
      <c r="K9" s="161">
        <v>38402</v>
      </c>
      <c r="L9" s="128">
        <v>59941</v>
      </c>
      <c r="M9" s="161">
        <v>57634</v>
      </c>
      <c r="N9" s="128"/>
      <c r="O9" s="160">
        <f t="shared" si="0"/>
        <v>581971</v>
      </c>
      <c r="P9" s="157">
        <f t="shared" si="1"/>
        <v>127.93599499458877</v>
      </c>
    </row>
    <row r="10" spans="1:16" ht="13.5" customHeight="1" x14ac:dyDescent="0.2">
      <c r="A10" s="521" t="s">
        <v>23</v>
      </c>
      <c r="B10" s="434">
        <v>5148.5538461538463</v>
      </c>
      <c r="C10" s="523">
        <v>66101</v>
      </c>
      <c r="D10" s="160">
        <v>61225</v>
      </c>
      <c r="E10" s="352">
        <v>64057</v>
      </c>
      <c r="F10" s="134">
        <v>50967</v>
      </c>
      <c r="G10" s="352">
        <v>50986</v>
      </c>
      <c r="H10" s="154">
        <v>51633</v>
      </c>
      <c r="I10" s="159">
        <v>45883</v>
      </c>
      <c r="J10" s="164">
        <v>30124</v>
      </c>
      <c r="K10" s="165">
        <v>39010</v>
      </c>
      <c r="L10" s="164">
        <v>39330</v>
      </c>
      <c r="M10" s="165">
        <v>38609</v>
      </c>
      <c r="N10" s="164"/>
      <c r="O10" s="160">
        <f t="shared" si="0"/>
        <v>537925</v>
      </c>
      <c r="P10" s="157">
        <f t="shared" si="1"/>
        <v>113.97904931413967</v>
      </c>
    </row>
    <row r="11" spans="1:16" ht="13.5" customHeight="1" x14ac:dyDescent="0.2">
      <c r="A11" s="521" t="s">
        <v>24</v>
      </c>
      <c r="B11" s="434">
        <v>5492.6769230769232</v>
      </c>
      <c r="C11" s="523">
        <v>79831</v>
      </c>
      <c r="D11" s="160">
        <v>84656</v>
      </c>
      <c r="E11" s="352">
        <v>88701</v>
      </c>
      <c r="F11" s="134">
        <v>72048</v>
      </c>
      <c r="G11" s="352">
        <v>73120</v>
      </c>
      <c r="H11" s="160">
        <v>74680</v>
      </c>
      <c r="I11" s="159">
        <v>55023</v>
      </c>
      <c r="J11" s="128">
        <v>44045</v>
      </c>
      <c r="K11" s="161">
        <v>48016</v>
      </c>
      <c r="L11" s="128">
        <v>82346</v>
      </c>
      <c r="M11" s="161">
        <v>75884</v>
      </c>
      <c r="N11" s="128"/>
      <c r="O11" s="160">
        <f t="shared" si="0"/>
        <v>778350</v>
      </c>
      <c r="P11" s="157">
        <f t="shared" si="1"/>
        <v>154.58930186511526</v>
      </c>
    </row>
    <row r="12" spans="1:16" ht="13.5" customHeight="1" x14ac:dyDescent="0.2">
      <c r="A12" s="604" t="s">
        <v>177</v>
      </c>
      <c r="B12" s="526">
        <v>0</v>
      </c>
      <c r="C12" s="523">
        <v>0</v>
      </c>
      <c r="D12" s="160">
        <v>0</v>
      </c>
      <c r="E12" s="352">
        <v>0</v>
      </c>
      <c r="F12" s="134">
        <v>0</v>
      </c>
      <c r="G12" s="352">
        <v>0</v>
      </c>
      <c r="H12" s="160">
        <v>0</v>
      </c>
      <c r="I12" s="159">
        <v>0</v>
      </c>
      <c r="J12" s="131">
        <v>0</v>
      </c>
      <c r="K12" s="161">
        <v>0</v>
      </c>
      <c r="L12" s="128">
        <v>0</v>
      </c>
      <c r="M12" s="161">
        <v>2281</v>
      </c>
      <c r="N12" s="128"/>
      <c r="O12" s="160">
        <f t="shared" si="0"/>
        <v>2281</v>
      </c>
      <c r="P12" s="157" t="e">
        <f t="shared" si="1"/>
        <v>#DIV/0!</v>
      </c>
    </row>
    <row r="13" spans="1:16" ht="13.5" customHeight="1" x14ac:dyDescent="0.2">
      <c r="A13" s="521" t="s">
        <v>25</v>
      </c>
      <c r="B13" s="526">
        <v>8068</v>
      </c>
      <c r="C13" s="523">
        <v>68091</v>
      </c>
      <c r="D13" s="160">
        <v>70675</v>
      </c>
      <c r="E13" s="352">
        <v>90037</v>
      </c>
      <c r="F13" s="134">
        <v>74492</v>
      </c>
      <c r="G13" s="352">
        <v>71979</v>
      </c>
      <c r="H13" s="160">
        <v>72300</v>
      </c>
      <c r="I13" s="159">
        <v>62413</v>
      </c>
      <c r="J13" s="131">
        <v>49903</v>
      </c>
      <c r="K13" s="161">
        <v>92844</v>
      </c>
      <c r="L13" s="128">
        <v>91607</v>
      </c>
      <c r="M13" s="161">
        <v>90792</v>
      </c>
      <c r="N13" s="128"/>
      <c r="O13" s="160">
        <f t="shared" si="0"/>
        <v>835133</v>
      </c>
      <c r="P13" s="157">
        <f t="shared" si="1"/>
        <v>112.92193626898634</v>
      </c>
    </row>
    <row r="14" spans="1:16" ht="13.5" customHeight="1" x14ac:dyDescent="0.2">
      <c r="A14" s="521" t="s">
        <v>26</v>
      </c>
      <c r="B14" s="528">
        <v>2419.1999999999998</v>
      </c>
      <c r="C14" s="523">
        <v>40873</v>
      </c>
      <c r="D14" s="160">
        <v>40260</v>
      </c>
      <c r="E14" s="352">
        <v>40133</v>
      </c>
      <c r="F14" s="134">
        <v>39924</v>
      </c>
      <c r="G14" s="352">
        <v>34259</v>
      </c>
      <c r="H14" s="154">
        <v>32169</v>
      </c>
      <c r="I14" s="160">
        <v>40932</v>
      </c>
      <c r="J14" s="128">
        <v>23613</v>
      </c>
      <c r="K14" s="161">
        <v>23126</v>
      </c>
      <c r="L14" s="128">
        <v>22318</v>
      </c>
      <c r="M14" s="161">
        <v>24167</v>
      </c>
      <c r="N14" s="128"/>
      <c r="O14" s="160">
        <f t="shared" si="0"/>
        <v>361774</v>
      </c>
      <c r="P14" s="157">
        <f t="shared" si="1"/>
        <v>163.13762626262627</v>
      </c>
    </row>
    <row r="15" spans="1:16" ht="13.5" customHeight="1" x14ac:dyDescent="0.2">
      <c r="A15" s="521" t="s">
        <v>27</v>
      </c>
      <c r="B15" s="528">
        <v>8560</v>
      </c>
      <c r="C15" s="523">
        <v>198812</v>
      </c>
      <c r="D15" s="160">
        <v>136880</v>
      </c>
      <c r="E15" s="352">
        <v>195718</v>
      </c>
      <c r="F15" s="134">
        <v>152570</v>
      </c>
      <c r="G15" s="352">
        <v>139017</v>
      </c>
      <c r="H15" s="159">
        <v>136446</v>
      </c>
      <c r="I15" s="153">
        <v>124454</v>
      </c>
      <c r="J15" s="128">
        <v>108473</v>
      </c>
      <c r="K15" s="161">
        <v>123597</v>
      </c>
      <c r="L15" s="128">
        <v>130280</v>
      </c>
      <c r="M15" s="161">
        <v>123878</v>
      </c>
      <c r="N15" s="128"/>
      <c r="O15" s="160">
        <f t="shared" si="0"/>
        <v>1570125</v>
      </c>
      <c r="P15" s="157">
        <f t="shared" si="1"/>
        <v>200.10089209855568</v>
      </c>
    </row>
    <row r="16" spans="1:16" ht="13.5" customHeight="1" x14ac:dyDescent="0.2">
      <c r="A16" s="521" t="s">
        <v>28</v>
      </c>
      <c r="B16" s="528">
        <v>10048.984615384614</v>
      </c>
      <c r="C16" s="523">
        <v>137901</v>
      </c>
      <c r="D16" s="160">
        <v>137469</v>
      </c>
      <c r="E16" s="352">
        <v>143915</v>
      </c>
      <c r="F16" s="134">
        <v>102761</v>
      </c>
      <c r="G16" s="352">
        <v>122766</v>
      </c>
      <c r="H16" s="159">
        <v>107425</v>
      </c>
      <c r="I16" s="159">
        <v>92329</v>
      </c>
      <c r="J16" s="128">
        <v>67995</v>
      </c>
      <c r="K16" s="161">
        <v>91619</v>
      </c>
      <c r="L16" s="128">
        <v>58140</v>
      </c>
      <c r="M16" s="161">
        <v>55748</v>
      </c>
      <c r="N16" s="128"/>
      <c r="O16" s="160">
        <f t="shared" si="0"/>
        <v>1118068</v>
      </c>
      <c r="P16" s="157">
        <f t="shared" si="1"/>
        <v>121.3764964459409</v>
      </c>
    </row>
    <row r="17" spans="1:17" ht="13.5" customHeight="1" x14ac:dyDescent="0.2">
      <c r="A17" s="521" t="s">
        <v>29</v>
      </c>
      <c r="B17" s="528">
        <v>2233</v>
      </c>
      <c r="C17" s="523">
        <v>50302</v>
      </c>
      <c r="D17" s="160">
        <v>38310</v>
      </c>
      <c r="E17" s="352">
        <v>45670</v>
      </c>
      <c r="F17" s="134">
        <v>34870</v>
      </c>
      <c r="G17" s="352">
        <v>40333</v>
      </c>
      <c r="H17" s="159">
        <v>34390</v>
      </c>
      <c r="I17" s="159">
        <v>35137</v>
      </c>
      <c r="J17" s="128">
        <v>24215</v>
      </c>
      <c r="K17" s="161">
        <v>40930</v>
      </c>
      <c r="L17" s="128">
        <v>30453</v>
      </c>
      <c r="M17" s="161">
        <v>36416</v>
      </c>
      <c r="N17" s="128"/>
      <c r="O17" s="160">
        <f t="shared" si="0"/>
        <v>411026</v>
      </c>
      <c r="P17" s="157">
        <f t="shared" si="1"/>
        <v>200.80250783699057</v>
      </c>
    </row>
    <row r="18" spans="1:17" ht="13.5" customHeight="1" x14ac:dyDescent="0.2">
      <c r="A18" s="604" t="s">
        <v>178</v>
      </c>
      <c r="B18" s="528"/>
      <c r="C18" s="523"/>
      <c r="D18" s="160"/>
      <c r="E18" s="352"/>
      <c r="F18" s="134"/>
      <c r="G18" s="352"/>
      <c r="H18" s="159"/>
      <c r="I18" s="159"/>
      <c r="J18" s="162"/>
      <c r="K18" s="163">
        <v>213</v>
      </c>
      <c r="L18" s="162">
        <v>307</v>
      </c>
      <c r="M18" s="163">
        <v>3652</v>
      </c>
      <c r="N18" s="162"/>
      <c r="O18" s="160">
        <f t="shared" si="0"/>
        <v>4172</v>
      </c>
      <c r="P18" s="157"/>
    </row>
    <row r="19" spans="1:17" ht="13.5" customHeight="1" x14ac:dyDescent="0.2">
      <c r="A19" s="521" t="s">
        <v>30</v>
      </c>
      <c r="B19" s="528">
        <v>10330.231</v>
      </c>
      <c r="C19" s="523">
        <v>142086</v>
      </c>
      <c r="D19" s="160">
        <v>105693</v>
      </c>
      <c r="E19" s="352">
        <v>242948</v>
      </c>
      <c r="F19" s="134">
        <v>77150</v>
      </c>
      <c r="G19" s="352">
        <v>196466</v>
      </c>
      <c r="H19" s="160">
        <v>134729</v>
      </c>
      <c r="I19" s="159">
        <v>146667</v>
      </c>
      <c r="J19" s="162">
        <v>95693</v>
      </c>
      <c r="K19" s="163">
        <v>159778</v>
      </c>
      <c r="L19" s="162">
        <v>154260</v>
      </c>
      <c r="M19" s="161">
        <v>163985</v>
      </c>
      <c r="N19" s="162"/>
      <c r="O19" s="160">
        <f t="shared" si="0"/>
        <v>1619455</v>
      </c>
      <c r="P19" s="157">
        <f>(O19/B19)*12/11</f>
        <v>171.02020098274491</v>
      </c>
    </row>
    <row r="20" spans="1:17" ht="13.5" customHeight="1" x14ac:dyDescent="0.2">
      <c r="A20" s="521" t="s">
        <v>31</v>
      </c>
      <c r="B20" s="159">
        <v>0</v>
      </c>
      <c r="C20" s="524">
        <v>22288</v>
      </c>
      <c r="D20" s="160">
        <v>27130</v>
      </c>
      <c r="E20" s="352">
        <v>25897</v>
      </c>
      <c r="F20" s="134">
        <v>22938</v>
      </c>
      <c r="G20" s="352">
        <v>19196</v>
      </c>
      <c r="H20" s="160">
        <v>0</v>
      </c>
      <c r="I20" s="159">
        <v>0</v>
      </c>
      <c r="J20" s="128">
        <v>0</v>
      </c>
      <c r="K20" s="161"/>
      <c r="L20" s="128"/>
      <c r="N20" s="128"/>
      <c r="O20" s="160">
        <f t="shared" si="0"/>
        <v>117449</v>
      </c>
      <c r="P20" s="160">
        <f>(O20/2977)*12/5</f>
        <v>94.685119247564671</v>
      </c>
      <c r="Q20" s="141" t="s">
        <v>143</v>
      </c>
    </row>
    <row r="21" spans="1:17" ht="13.5" customHeight="1" x14ac:dyDescent="0.2">
      <c r="A21" s="604" t="s">
        <v>179</v>
      </c>
      <c r="B21" s="159"/>
      <c r="C21" s="524"/>
      <c r="D21" s="160"/>
      <c r="E21" s="352"/>
      <c r="F21" s="134"/>
      <c r="G21" s="352"/>
      <c r="H21" s="160"/>
      <c r="I21" s="159"/>
      <c r="J21" s="162"/>
      <c r="K21" s="163"/>
      <c r="L21" s="162"/>
      <c r="M21" s="161">
        <v>839</v>
      </c>
      <c r="N21" s="162"/>
      <c r="O21" s="160">
        <f t="shared" si="0"/>
        <v>839</v>
      </c>
      <c r="P21" s="160"/>
    </row>
    <row r="22" spans="1:17" ht="13.5" customHeight="1" x14ac:dyDescent="0.2">
      <c r="A22" s="521" t="s">
        <v>32</v>
      </c>
      <c r="B22" s="434">
        <v>4962.4615384615381</v>
      </c>
      <c r="C22" s="524">
        <v>76159</v>
      </c>
      <c r="D22" s="160">
        <v>64760</v>
      </c>
      <c r="E22" s="352">
        <v>79006</v>
      </c>
      <c r="F22" s="134">
        <v>54150</v>
      </c>
      <c r="G22" s="352">
        <v>60046</v>
      </c>
      <c r="H22" s="160">
        <v>49355</v>
      </c>
      <c r="I22" s="159">
        <v>43709</v>
      </c>
      <c r="J22" s="162">
        <v>35026</v>
      </c>
      <c r="K22" s="163">
        <v>38640</v>
      </c>
      <c r="L22" s="162">
        <v>56943</v>
      </c>
      <c r="M22" s="128">
        <v>53181</v>
      </c>
      <c r="N22" s="162"/>
      <c r="O22" s="160">
        <f t="shared" si="0"/>
        <v>610975</v>
      </c>
      <c r="P22" s="157">
        <f>(O22/B22)*12/11</f>
        <v>134.31200960497836</v>
      </c>
    </row>
    <row r="23" spans="1:17" ht="13.5" customHeight="1" x14ac:dyDescent="0.2">
      <c r="A23" s="388" t="s">
        <v>157</v>
      </c>
      <c r="B23" s="434"/>
      <c r="C23" s="605"/>
      <c r="D23" s="160"/>
      <c r="E23" s="352"/>
      <c r="F23" s="134"/>
      <c r="G23" s="352"/>
      <c r="H23" s="159"/>
      <c r="I23" s="159"/>
      <c r="J23" s="162">
        <v>535</v>
      </c>
      <c r="K23" s="163">
        <v>1255</v>
      </c>
      <c r="L23" s="162">
        <v>2123</v>
      </c>
      <c r="M23" s="163">
        <v>3290</v>
      </c>
      <c r="N23" s="162"/>
      <c r="O23" s="160">
        <f t="shared" si="0"/>
        <v>7203</v>
      </c>
      <c r="P23" s="160"/>
    </row>
    <row r="24" spans="1:17" ht="13.5" customHeight="1" x14ac:dyDescent="0.2">
      <c r="A24" s="521" t="s">
        <v>33</v>
      </c>
      <c r="B24" s="434">
        <v>2605.292307692308</v>
      </c>
      <c r="C24" s="523">
        <v>37140</v>
      </c>
      <c r="D24" s="160">
        <v>26607</v>
      </c>
      <c r="E24" s="352">
        <v>29735</v>
      </c>
      <c r="F24" s="134">
        <v>30554</v>
      </c>
      <c r="G24" s="352">
        <v>25146</v>
      </c>
      <c r="H24" s="159">
        <v>24105</v>
      </c>
      <c r="I24" s="159">
        <v>20898</v>
      </c>
      <c r="J24" s="128">
        <v>11028</v>
      </c>
      <c r="K24" s="128">
        <v>4253</v>
      </c>
      <c r="L24" s="128">
        <v>4638</v>
      </c>
      <c r="M24" s="163">
        <v>5059</v>
      </c>
      <c r="N24" s="128"/>
      <c r="O24" s="160">
        <f t="shared" si="0"/>
        <v>219163</v>
      </c>
      <c r="P24" s="157">
        <f>(O24/B24)*12/11</f>
        <v>91.769705988455968</v>
      </c>
    </row>
    <row r="25" spans="1:17" ht="13.5" customHeight="1" x14ac:dyDescent="0.2">
      <c r="A25" s="522" t="s">
        <v>34</v>
      </c>
      <c r="B25" s="527">
        <v>5334</v>
      </c>
      <c r="C25" s="523">
        <v>92708</v>
      </c>
      <c r="D25" s="168">
        <v>97855</v>
      </c>
      <c r="E25" s="355">
        <v>97210</v>
      </c>
      <c r="F25" s="137">
        <v>97656</v>
      </c>
      <c r="G25" s="352">
        <v>89057</v>
      </c>
      <c r="H25" s="168">
        <v>91111</v>
      </c>
      <c r="I25" s="168">
        <v>81725</v>
      </c>
      <c r="J25" s="179">
        <v>64202</v>
      </c>
      <c r="K25" s="179">
        <v>76739</v>
      </c>
      <c r="L25" s="179">
        <v>91545</v>
      </c>
      <c r="M25" s="179">
        <v>77735</v>
      </c>
      <c r="N25" s="179"/>
      <c r="O25" s="160">
        <f t="shared" si="0"/>
        <v>957543</v>
      </c>
      <c r="P25" s="157">
        <f>(O25/B25)*12/11</f>
        <v>195.83658860824215</v>
      </c>
    </row>
    <row r="26" spans="1:17" ht="13.5" customHeight="1" thickBot="1" x14ac:dyDescent="0.25">
      <c r="A26" s="169" t="s">
        <v>96</v>
      </c>
      <c r="B26" s="525">
        <f t="shared" ref="B26:O26" si="2">SUM(B5:B25)</f>
        <v>89828.615615384595</v>
      </c>
      <c r="C26" s="505">
        <f t="shared" si="2"/>
        <v>1430948</v>
      </c>
      <c r="D26" s="505">
        <f t="shared" si="2"/>
        <v>1256796</v>
      </c>
      <c r="E26" s="505">
        <f t="shared" si="2"/>
        <v>1541219</v>
      </c>
      <c r="F26" s="505">
        <f t="shared" si="2"/>
        <v>1122033</v>
      </c>
      <c r="G26" s="505">
        <f t="shared" si="2"/>
        <v>1266595</v>
      </c>
      <c r="H26" s="505">
        <f t="shared" si="2"/>
        <v>1152562</v>
      </c>
      <c r="I26" s="171">
        <f t="shared" si="2"/>
        <v>1068883</v>
      </c>
      <c r="J26" s="187">
        <f t="shared" si="2"/>
        <v>764179</v>
      </c>
      <c r="K26" s="187">
        <f t="shared" si="2"/>
        <v>1008542</v>
      </c>
      <c r="L26" s="170">
        <f t="shared" si="2"/>
        <v>1058315</v>
      </c>
      <c r="M26" s="171">
        <f t="shared" si="2"/>
        <v>1065191</v>
      </c>
      <c r="N26" s="187">
        <f t="shared" si="2"/>
        <v>0</v>
      </c>
      <c r="O26" s="561">
        <f t="shared" si="2"/>
        <v>12735263</v>
      </c>
      <c r="P26" s="507">
        <f>(O26-O20)/B26*12/10</f>
        <v>168.55850105527838</v>
      </c>
    </row>
    <row r="27" spans="1:17" ht="13.5" customHeight="1" thickTop="1" x14ac:dyDescent="0.2">
      <c r="A27" s="17"/>
      <c r="B27" s="16"/>
      <c r="C27" s="158"/>
    </row>
    <row r="28" spans="1:17" ht="15.75" customHeight="1" x14ac:dyDescent="0.25">
      <c r="A28" s="172" t="s">
        <v>37</v>
      </c>
      <c r="B28" s="147" t="s">
        <v>93</v>
      </c>
      <c r="C28" s="148">
        <v>45658</v>
      </c>
      <c r="D28" s="458">
        <v>45689</v>
      </c>
      <c r="E28" s="458">
        <v>45717</v>
      </c>
      <c r="F28" s="457">
        <v>45748</v>
      </c>
      <c r="G28" s="458">
        <v>45778</v>
      </c>
      <c r="H28" s="458">
        <v>45809</v>
      </c>
      <c r="I28" s="517">
        <v>45839</v>
      </c>
      <c r="J28" s="458">
        <v>45870</v>
      </c>
      <c r="K28" s="458">
        <v>45901</v>
      </c>
      <c r="L28" s="148">
        <v>45931</v>
      </c>
      <c r="M28" s="458">
        <v>45962</v>
      </c>
      <c r="N28" s="458">
        <v>45992</v>
      </c>
      <c r="O28" s="173" t="s">
        <v>94</v>
      </c>
      <c r="P28" s="174" t="s">
        <v>95</v>
      </c>
    </row>
    <row r="29" spans="1:17" ht="15" customHeight="1" x14ac:dyDescent="0.2">
      <c r="A29" s="73" t="s">
        <v>38</v>
      </c>
      <c r="B29" s="506">
        <v>3287.6307692307691</v>
      </c>
      <c r="C29" s="213">
        <v>18581</v>
      </c>
      <c r="D29" s="175">
        <v>16705</v>
      </c>
      <c r="E29" s="352">
        <v>21185</v>
      </c>
      <c r="F29" s="176">
        <v>16933</v>
      </c>
      <c r="G29" s="518">
        <v>20508</v>
      </c>
      <c r="H29" s="518">
        <v>14482</v>
      </c>
      <c r="I29" s="156">
        <v>14578</v>
      </c>
      <c r="J29" s="142">
        <v>17028</v>
      </c>
      <c r="K29" s="151">
        <v>12727</v>
      </c>
      <c r="L29" s="151">
        <v>19593</v>
      </c>
      <c r="M29" s="151">
        <v>15593</v>
      </c>
      <c r="N29" s="151"/>
      <c r="O29" s="156">
        <f t="shared" ref="O29:O57" si="3">SUM(C29:N29)</f>
        <v>187913</v>
      </c>
      <c r="P29" s="156">
        <f>(O29/B29)*12/11</f>
        <v>62.353717430368377</v>
      </c>
    </row>
    <row r="30" spans="1:17" ht="15" customHeight="1" x14ac:dyDescent="0.2">
      <c r="A30" s="80" t="s">
        <v>39</v>
      </c>
      <c r="B30" s="529">
        <v>5520.7384615384617</v>
      </c>
      <c r="C30" s="213">
        <v>44074</v>
      </c>
      <c r="D30" s="160">
        <v>44350</v>
      </c>
      <c r="E30" s="352">
        <v>53020</v>
      </c>
      <c r="F30" s="177">
        <v>46497</v>
      </c>
      <c r="G30" s="518">
        <v>43845</v>
      </c>
      <c r="H30" s="518">
        <v>45738</v>
      </c>
      <c r="I30" s="160">
        <v>37369</v>
      </c>
      <c r="J30" s="134">
        <v>31053</v>
      </c>
      <c r="K30" s="128">
        <v>31289</v>
      </c>
      <c r="L30" s="128">
        <v>45465</v>
      </c>
      <c r="M30" s="128">
        <v>33523</v>
      </c>
      <c r="N30" s="128"/>
      <c r="O30" s="160">
        <f t="shared" si="3"/>
        <v>456223</v>
      </c>
      <c r="P30" s="156">
        <f t="shared" ref="P30:P54" si="4">(O30/B30)*12/11</f>
        <v>90.150587942020536</v>
      </c>
    </row>
    <row r="31" spans="1:17" ht="15" customHeight="1" x14ac:dyDescent="0.2">
      <c r="A31" s="80" t="s">
        <v>40</v>
      </c>
      <c r="B31" s="530">
        <v>2481.2307692307691</v>
      </c>
      <c r="C31" s="213">
        <v>13905</v>
      </c>
      <c r="D31" s="160">
        <v>17817</v>
      </c>
      <c r="E31" s="352">
        <v>15502</v>
      </c>
      <c r="F31" s="177">
        <v>17289</v>
      </c>
      <c r="G31" s="518">
        <v>10670</v>
      </c>
      <c r="H31" s="518">
        <v>12849</v>
      </c>
      <c r="I31" s="160">
        <v>10721</v>
      </c>
      <c r="J31" s="134">
        <v>7192</v>
      </c>
      <c r="K31" s="128">
        <v>7770</v>
      </c>
      <c r="L31" s="128">
        <v>16966</v>
      </c>
      <c r="M31" s="128">
        <v>10255</v>
      </c>
      <c r="N31" s="128"/>
      <c r="O31" s="160">
        <f t="shared" si="3"/>
        <v>140936</v>
      </c>
      <c r="P31" s="156">
        <f t="shared" si="4"/>
        <v>61.964556277056289</v>
      </c>
    </row>
    <row r="32" spans="1:17" ht="15" customHeight="1" x14ac:dyDescent="0.2">
      <c r="A32" s="80" t="s">
        <v>41</v>
      </c>
      <c r="B32" s="530">
        <v>3225.5999999999995</v>
      </c>
      <c r="C32" s="213">
        <v>17268</v>
      </c>
      <c r="D32" s="160">
        <v>32152</v>
      </c>
      <c r="E32" s="352">
        <v>23432</v>
      </c>
      <c r="F32" s="177">
        <v>28540</v>
      </c>
      <c r="G32" s="518">
        <v>16621</v>
      </c>
      <c r="H32" s="518">
        <v>21232</v>
      </c>
      <c r="I32" s="160">
        <v>19529</v>
      </c>
      <c r="J32" s="134">
        <v>9184</v>
      </c>
      <c r="K32" s="128">
        <v>21245</v>
      </c>
      <c r="L32" s="128">
        <v>30445</v>
      </c>
      <c r="M32" s="128">
        <v>22362</v>
      </c>
      <c r="N32" s="128"/>
      <c r="O32" s="160">
        <f t="shared" si="3"/>
        <v>242010</v>
      </c>
      <c r="P32" s="156">
        <f t="shared" si="4"/>
        <v>81.848620129870142</v>
      </c>
    </row>
    <row r="33" spans="1:16" ht="15" customHeight="1" x14ac:dyDescent="0.2">
      <c r="A33" s="80" t="s">
        <v>42</v>
      </c>
      <c r="B33" s="530">
        <v>2357.1692307692306</v>
      </c>
      <c r="C33" s="213">
        <v>13815</v>
      </c>
      <c r="D33" s="160">
        <v>17052</v>
      </c>
      <c r="E33" s="352">
        <v>22023</v>
      </c>
      <c r="F33" s="177">
        <v>11304</v>
      </c>
      <c r="G33" s="518">
        <v>13825</v>
      </c>
      <c r="H33" s="518">
        <v>16112</v>
      </c>
      <c r="I33" s="157">
        <v>13463</v>
      </c>
      <c r="J33" s="142">
        <v>7696</v>
      </c>
      <c r="K33" s="128">
        <v>18591</v>
      </c>
      <c r="L33" s="128">
        <v>17770</v>
      </c>
      <c r="M33" s="128">
        <v>13209</v>
      </c>
      <c r="N33" s="128"/>
      <c r="O33" s="160">
        <f t="shared" si="3"/>
        <v>164860</v>
      </c>
      <c r="P33" s="156">
        <f t="shared" si="4"/>
        <v>76.297989291410346</v>
      </c>
    </row>
    <row r="34" spans="1:16" ht="15" customHeight="1" x14ac:dyDescent="0.2">
      <c r="A34" s="80" t="s">
        <v>43</v>
      </c>
      <c r="B34" s="530">
        <v>2605.292307692308</v>
      </c>
      <c r="C34" s="213">
        <v>26052</v>
      </c>
      <c r="D34" s="160">
        <v>28827</v>
      </c>
      <c r="E34" s="352">
        <v>27889</v>
      </c>
      <c r="F34" s="177">
        <v>31083</v>
      </c>
      <c r="G34" s="518">
        <v>20707</v>
      </c>
      <c r="H34" s="518">
        <v>27087</v>
      </c>
      <c r="I34" s="159">
        <v>23277</v>
      </c>
      <c r="J34" s="137">
        <v>16271</v>
      </c>
      <c r="K34" s="128">
        <v>20526</v>
      </c>
      <c r="L34" s="128">
        <v>30442</v>
      </c>
      <c r="M34" s="128">
        <v>25241</v>
      </c>
      <c r="N34" s="128"/>
      <c r="O34" s="160">
        <f t="shared" si="3"/>
        <v>277402</v>
      </c>
      <c r="P34" s="156">
        <f t="shared" si="4"/>
        <v>116.15601164708306</v>
      </c>
    </row>
    <row r="35" spans="1:16" ht="15" customHeight="1" x14ac:dyDescent="0.2">
      <c r="A35" s="80" t="s">
        <v>44</v>
      </c>
      <c r="B35" s="530">
        <v>2357.1692307692306</v>
      </c>
      <c r="C35" s="213">
        <v>18672</v>
      </c>
      <c r="D35" s="160">
        <v>17362</v>
      </c>
      <c r="E35" s="352">
        <v>19615</v>
      </c>
      <c r="F35" s="177">
        <v>17541</v>
      </c>
      <c r="G35" s="518">
        <v>16370</v>
      </c>
      <c r="H35" s="518">
        <v>15946</v>
      </c>
      <c r="I35" s="159">
        <v>16505</v>
      </c>
      <c r="J35" s="134">
        <v>11535</v>
      </c>
      <c r="K35" s="128">
        <v>10391</v>
      </c>
      <c r="L35" s="128">
        <v>26452</v>
      </c>
      <c r="M35" s="128">
        <v>15536</v>
      </c>
      <c r="N35" s="128"/>
      <c r="O35" s="160">
        <f t="shared" si="3"/>
        <v>185925</v>
      </c>
      <c r="P35" s="156">
        <f t="shared" si="4"/>
        <v>86.046971120984281</v>
      </c>
    </row>
    <row r="36" spans="1:16" ht="15" customHeight="1" x14ac:dyDescent="0.2">
      <c r="A36" s="80" t="s">
        <v>45</v>
      </c>
      <c r="B36" s="530">
        <v>2481.2307692307691</v>
      </c>
      <c r="C36" s="213">
        <v>16232</v>
      </c>
      <c r="D36" s="160">
        <v>19415</v>
      </c>
      <c r="E36" s="352">
        <v>14067</v>
      </c>
      <c r="F36" s="177">
        <v>16594</v>
      </c>
      <c r="G36" s="518">
        <v>18804</v>
      </c>
      <c r="H36" s="518">
        <v>16108</v>
      </c>
      <c r="I36" s="160">
        <v>16342</v>
      </c>
      <c r="J36" s="134">
        <v>10505</v>
      </c>
      <c r="K36" s="128">
        <v>13669</v>
      </c>
      <c r="L36" s="128">
        <v>14006</v>
      </c>
      <c r="M36" s="128">
        <v>14910</v>
      </c>
      <c r="N36" s="128"/>
      <c r="O36" s="160">
        <f t="shared" si="3"/>
        <v>170652</v>
      </c>
      <c r="P36" s="156">
        <f t="shared" si="4"/>
        <v>75.029626623376629</v>
      </c>
    </row>
    <row r="37" spans="1:16" ht="15" customHeight="1" x14ac:dyDescent="0.2">
      <c r="A37" s="80" t="s">
        <v>46</v>
      </c>
      <c r="B37" s="153">
        <v>7178.4</v>
      </c>
      <c r="C37" s="213">
        <v>33823</v>
      </c>
      <c r="D37" s="160">
        <v>48866</v>
      </c>
      <c r="E37" s="352">
        <v>30036</v>
      </c>
      <c r="F37" s="177">
        <v>43411</v>
      </c>
      <c r="G37" s="518">
        <v>38037</v>
      </c>
      <c r="H37" s="518">
        <v>40347</v>
      </c>
      <c r="I37" s="160">
        <v>32044</v>
      </c>
      <c r="J37" s="134">
        <v>28713</v>
      </c>
      <c r="K37" s="128">
        <v>22771</v>
      </c>
      <c r="L37" s="128">
        <v>55352</v>
      </c>
      <c r="M37" s="128">
        <v>44783</v>
      </c>
      <c r="N37" s="128"/>
      <c r="O37" s="160">
        <f t="shared" si="3"/>
        <v>418183</v>
      </c>
      <c r="P37" s="156">
        <f t="shared" si="4"/>
        <v>63.551715753320565</v>
      </c>
    </row>
    <row r="38" spans="1:16" ht="15" customHeight="1" x14ac:dyDescent="0.2">
      <c r="A38" s="80" t="s">
        <v>47</v>
      </c>
      <c r="B38" s="529">
        <v>4962.461538461539</v>
      </c>
      <c r="C38" s="213">
        <v>25543</v>
      </c>
      <c r="D38" s="160">
        <v>41052</v>
      </c>
      <c r="E38" s="352">
        <v>33436</v>
      </c>
      <c r="F38" s="177">
        <v>34696</v>
      </c>
      <c r="G38" s="518">
        <v>27598</v>
      </c>
      <c r="H38" s="518">
        <v>34144</v>
      </c>
      <c r="I38" s="160">
        <v>38395</v>
      </c>
      <c r="J38" s="134">
        <v>25532</v>
      </c>
      <c r="K38" s="128">
        <v>31489</v>
      </c>
      <c r="L38" s="128">
        <v>43353</v>
      </c>
      <c r="M38" s="128">
        <v>32765</v>
      </c>
      <c r="N38" s="128"/>
      <c r="O38" s="160">
        <f t="shared" si="3"/>
        <v>368003</v>
      </c>
      <c r="P38" s="156">
        <f t="shared" si="4"/>
        <v>80.898927895021643</v>
      </c>
    </row>
    <row r="39" spans="1:16" ht="15" customHeight="1" x14ac:dyDescent="0.2">
      <c r="A39" s="80" t="s">
        <v>97</v>
      </c>
      <c r="B39" s="529">
        <v>1736.8615384615382</v>
      </c>
      <c r="C39" s="213">
        <v>11207</v>
      </c>
      <c r="D39" s="160">
        <v>11026</v>
      </c>
      <c r="E39" s="352">
        <v>10560</v>
      </c>
      <c r="F39" s="177">
        <v>9409</v>
      </c>
      <c r="G39" s="518">
        <v>6496</v>
      </c>
      <c r="H39" s="518">
        <v>8964</v>
      </c>
      <c r="I39" s="160">
        <v>6815</v>
      </c>
      <c r="J39" s="134">
        <v>5234</v>
      </c>
      <c r="K39" s="128">
        <v>4664</v>
      </c>
      <c r="L39" s="128">
        <v>10766</v>
      </c>
      <c r="M39" s="128">
        <v>9789</v>
      </c>
      <c r="N39" s="128"/>
      <c r="O39" s="160">
        <f t="shared" si="3"/>
        <v>94930</v>
      </c>
      <c r="P39" s="156">
        <f t="shared" si="4"/>
        <v>59.624787414966001</v>
      </c>
    </row>
    <row r="40" spans="1:16" ht="15" customHeight="1" x14ac:dyDescent="0.2">
      <c r="A40" s="80" t="s">
        <v>49</v>
      </c>
      <c r="B40" s="530">
        <v>5024.4923076923069</v>
      </c>
      <c r="C40" s="213">
        <v>46727</v>
      </c>
      <c r="D40" s="160">
        <v>49471</v>
      </c>
      <c r="E40" s="352">
        <v>48855</v>
      </c>
      <c r="F40" s="177">
        <v>41995</v>
      </c>
      <c r="G40" s="518">
        <v>37743</v>
      </c>
      <c r="H40" s="518">
        <v>36231</v>
      </c>
      <c r="I40" s="160">
        <v>39372</v>
      </c>
      <c r="J40" s="134">
        <v>27719</v>
      </c>
      <c r="K40" s="128">
        <v>40885</v>
      </c>
      <c r="L40" s="128">
        <v>44734</v>
      </c>
      <c r="M40" s="128">
        <v>43639</v>
      </c>
      <c r="N40" s="128"/>
      <c r="O40" s="160">
        <f t="shared" si="3"/>
        <v>457371</v>
      </c>
      <c r="P40" s="156">
        <f t="shared" si="4"/>
        <v>99.303601491101517</v>
      </c>
    </row>
    <row r="41" spans="1:16" ht="15" customHeight="1" x14ac:dyDescent="0.2">
      <c r="A41" s="80" t="s">
        <v>50</v>
      </c>
      <c r="B41" s="506">
        <v>2667.3230769230763</v>
      </c>
      <c r="C41" s="213">
        <v>19767</v>
      </c>
      <c r="D41" s="160">
        <v>17681</v>
      </c>
      <c r="E41" s="352">
        <v>23170</v>
      </c>
      <c r="F41" s="177">
        <v>22034</v>
      </c>
      <c r="G41" s="518">
        <v>19115</v>
      </c>
      <c r="H41" s="518">
        <v>16945</v>
      </c>
      <c r="I41" s="160">
        <v>11315</v>
      </c>
      <c r="J41" s="134">
        <v>7260</v>
      </c>
      <c r="K41" s="128">
        <v>14613</v>
      </c>
      <c r="L41" s="128">
        <v>20272</v>
      </c>
      <c r="M41" s="128">
        <v>19146</v>
      </c>
      <c r="N41" s="128"/>
      <c r="O41" s="160">
        <f t="shared" si="3"/>
        <v>191318</v>
      </c>
      <c r="P41" s="156">
        <f t="shared" si="4"/>
        <v>78.247193697775117</v>
      </c>
    </row>
    <row r="42" spans="1:16" ht="15" customHeight="1" x14ac:dyDescent="0.2">
      <c r="A42" s="80" t="s">
        <v>51</v>
      </c>
      <c r="B42" s="529">
        <v>8436.1846153846163</v>
      </c>
      <c r="C42" s="213">
        <v>71685</v>
      </c>
      <c r="D42" s="160">
        <v>75777</v>
      </c>
      <c r="E42" s="352">
        <v>79513</v>
      </c>
      <c r="F42" s="177">
        <v>56639</v>
      </c>
      <c r="G42" s="518">
        <v>58712</v>
      </c>
      <c r="H42" s="518">
        <v>58731</v>
      </c>
      <c r="I42" s="160">
        <v>56467</v>
      </c>
      <c r="J42" s="134">
        <v>36241</v>
      </c>
      <c r="K42" s="128">
        <v>52016</v>
      </c>
      <c r="L42" s="128">
        <v>60053</v>
      </c>
      <c r="M42" s="128">
        <v>44081</v>
      </c>
      <c r="N42" s="128"/>
      <c r="O42" s="160">
        <f t="shared" si="3"/>
        <v>649915</v>
      </c>
      <c r="P42" s="156">
        <f t="shared" si="4"/>
        <v>84.042516154188945</v>
      </c>
    </row>
    <row r="43" spans="1:16" ht="15" customHeight="1" x14ac:dyDescent="0.2">
      <c r="A43" s="80" t="s">
        <v>52</v>
      </c>
      <c r="B43" s="530">
        <v>4838.3999999999996</v>
      </c>
      <c r="C43" s="213">
        <v>50790</v>
      </c>
      <c r="D43" s="160">
        <v>53881</v>
      </c>
      <c r="E43" s="352">
        <v>54770</v>
      </c>
      <c r="F43" s="177">
        <v>52109</v>
      </c>
      <c r="G43" s="518">
        <v>46534</v>
      </c>
      <c r="H43" s="518">
        <v>50291</v>
      </c>
      <c r="I43" s="160">
        <v>44618</v>
      </c>
      <c r="J43" s="134">
        <v>36260</v>
      </c>
      <c r="K43" s="128">
        <v>42891</v>
      </c>
      <c r="L43" s="128">
        <v>55705</v>
      </c>
      <c r="M43" s="128">
        <v>38675</v>
      </c>
      <c r="N43" s="128"/>
      <c r="O43" s="160">
        <f t="shared" si="3"/>
        <v>526524</v>
      </c>
      <c r="P43" s="156">
        <f t="shared" si="4"/>
        <v>118.71482683982686</v>
      </c>
    </row>
    <row r="44" spans="1:16" ht="15" customHeight="1" x14ac:dyDescent="0.2">
      <c r="A44" s="80" t="s">
        <v>53</v>
      </c>
      <c r="B44" s="530">
        <v>7257.3692307692309</v>
      </c>
      <c r="C44" s="213">
        <v>72219</v>
      </c>
      <c r="D44" s="160">
        <v>62267</v>
      </c>
      <c r="E44" s="352">
        <v>67438</v>
      </c>
      <c r="F44" s="177">
        <v>65138</v>
      </c>
      <c r="G44" s="518">
        <v>63765</v>
      </c>
      <c r="H44" s="518">
        <v>57534</v>
      </c>
      <c r="I44" s="153">
        <v>51445</v>
      </c>
      <c r="J44" s="134">
        <v>26542</v>
      </c>
      <c r="K44" s="128">
        <v>35027</v>
      </c>
      <c r="L44" s="128">
        <v>75744</v>
      </c>
      <c r="M44" s="128">
        <v>55903</v>
      </c>
      <c r="N44" s="128"/>
      <c r="O44" s="160">
        <f t="shared" si="3"/>
        <v>633022</v>
      </c>
      <c r="P44" s="156">
        <f t="shared" si="4"/>
        <v>95.154240136719466</v>
      </c>
    </row>
    <row r="45" spans="1:16" ht="15" customHeight="1" x14ac:dyDescent="0.2">
      <c r="A45" s="80" t="s">
        <v>98</v>
      </c>
      <c r="B45" s="530">
        <v>4652.3076923076915</v>
      </c>
      <c r="C45" s="213">
        <v>32560</v>
      </c>
      <c r="D45" s="160">
        <v>40850</v>
      </c>
      <c r="E45" s="352">
        <v>33272</v>
      </c>
      <c r="F45" s="177">
        <v>36121</v>
      </c>
      <c r="G45" s="518">
        <v>28256</v>
      </c>
      <c r="H45" s="518">
        <v>28721</v>
      </c>
      <c r="I45" s="159">
        <v>34556</v>
      </c>
      <c r="J45" s="134">
        <v>22132</v>
      </c>
      <c r="K45" s="128">
        <v>35342</v>
      </c>
      <c r="L45" s="128">
        <v>40297</v>
      </c>
      <c r="M45" s="128">
        <v>43595</v>
      </c>
      <c r="N45" s="128"/>
      <c r="O45" s="160">
        <f t="shared" si="3"/>
        <v>375702</v>
      </c>
      <c r="P45" s="156">
        <f t="shared" si="4"/>
        <v>88.097510822510827</v>
      </c>
    </row>
    <row r="46" spans="1:16" ht="15" customHeight="1" x14ac:dyDescent="0.2">
      <c r="A46" s="80" t="s">
        <v>55</v>
      </c>
      <c r="B46" s="530">
        <v>5086.5230769230766</v>
      </c>
      <c r="C46" s="213">
        <v>41838</v>
      </c>
      <c r="D46" s="160">
        <v>40457</v>
      </c>
      <c r="E46" s="352">
        <v>47966</v>
      </c>
      <c r="F46" s="177">
        <v>37047</v>
      </c>
      <c r="G46" s="518">
        <v>35402</v>
      </c>
      <c r="H46" s="518">
        <v>34783</v>
      </c>
      <c r="I46" s="159">
        <v>31648</v>
      </c>
      <c r="J46" s="134">
        <v>19004</v>
      </c>
      <c r="K46" s="128">
        <v>22242</v>
      </c>
      <c r="L46" s="128">
        <v>35016</v>
      </c>
      <c r="M46" s="128">
        <v>27095</v>
      </c>
      <c r="N46" s="128"/>
      <c r="O46" s="160">
        <f t="shared" si="3"/>
        <v>372498</v>
      </c>
      <c r="P46" s="156">
        <f t="shared" si="4"/>
        <v>79.889828159645234</v>
      </c>
    </row>
    <row r="47" spans="1:16" ht="15" customHeight="1" x14ac:dyDescent="0.2">
      <c r="A47" s="80" t="s">
        <v>56</v>
      </c>
      <c r="B47" s="506">
        <v>2481.2307692307691</v>
      </c>
      <c r="C47" s="213">
        <v>16742</v>
      </c>
      <c r="D47" s="160">
        <v>16608</v>
      </c>
      <c r="E47" s="352">
        <v>19269</v>
      </c>
      <c r="F47" s="177">
        <v>17221</v>
      </c>
      <c r="G47" s="518">
        <v>17495</v>
      </c>
      <c r="H47" s="518">
        <v>14362</v>
      </c>
      <c r="I47" s="159">
        <v>13508</v>
      </c>
      <c r="J47" s="137">
        <v>8974</v>
      </c>
      <c r="K47" s="128">
        <v>8970</v>
      </c>
      <c r="L47" s="128">
        <v>20641</v>
      </c>
      <c r="M47" s="128">
        <v>13426</v>
      </c>
      <c r="N47" s="128"/>
      <c r="O47" s="160">
        <f t="shared" si="3"/>
        <v>167216</v>
      </c>
      <c r="P47" s="156">
        <f t="shared" si="4"/>
        <v>73.518939393939391</v>
      </c>
    </row>
    <row r="48" spans="1:16" ht="15" customHeight="1" x14ac:dyDescent="0.2">
      <c r="A48" s="80" t="s">
        <v>57</v>
      </c>
      <c r="B48" s="530">
        <v>2481.2307692307691</v>
      </c>
      <c r="C48" s="213">
        <v>17868</v>
      </c>
      <c r="D48" s="160">
        <v>15182</v>
      </c>
      <c r="E48" s="352">
        <v>16899</v>
      </c>
      <c r="F48" s="177">
        <v>11835</v>
      </c>
      <c r="G48" s="518">
        <v>10380</v>
      </c>
      <c r="H48" s="518">
        <v>11668</v>
      </c>
      <c r="I48" s="159">
        <v>14842</v>
      </c>
      <c r="J48" s="134">
        <v>6015</v>
      </c>
      <c r="K48" s="128">
        <v>17136</v>
      </c>
      <c r="L48" s="128">
        <v>13636</v>
      </c>
      <c r="M48" s="128">
        <v>10514</v>
      </c>
      <c r="N48" s="128"/>
      <c r="O48" s="160">
        <f t="shared" si="3"/>
        <v>145975</v>
      </c>
      <c r="P48" s="156">
        <f t="shared" si="4"/>
        <v>64.180025703463215</v>
      </c>
    </row>
    <row r="49" spans="1:17" ht="15" customHeight="1" x14ac:dyDescent="0.2">
      <c r="A49" s="80" t="s">
        <v>58</v>
      </c>
      <c r="B49" s="506">
        <v>7948.5538461538463</v>
      </c>
      <c r="C49" s="213">
        <v>52420</v>
      </c>
      <c r="D49" s="160">
        <v>57071</v>
      </c>
      <c r="E49" s="352">
        <v>42150</v>
      </c>
      <c r="F49" s="177">
        <v>38550</v>
      </c>
      <c r="G49" s="518">
        <v>30621</v>
      </c>
      <c r="H49" s="518">
        <v>35235</v>
      </c>
      <c r="I49" s="160">
        <v>29610</v>
      </c>
      <c r="J49" s="134">
        <v>21923</v>
      </c>
      <c r="K49" s="128">
        <v>41132</v>
      </c>
      <c r="L49" s="128">
        <v>62285</v>
      </c>
      <c r="M49" s="128">
        <v>47397</v>
      </c>
      <c r="N49" s="128"/>
      <c r="O49" s="160">
        <f t="shared" si="3"/>
        <v>458394</v>
      </c>
      <c r="P49" s="156">
        <f t="shared" si="4"/>
        <v>62.912850752109371</v>
      </c>
    </row>
    <row r="50" spans="1:17" ht="15" customHeight="1" x14ac:dyDescent="0.2">
      <c r="A50" s="80" t="s">
        <v>59</v>
      </c>
      <c r="B50" s="529">
        <v>2481.2307692307691</v>
      </c>
      <c r="C50" s="213">
        <v>20267</v>
      </c>
      <c r="D50" s="160">
        <v>23063</v>
      </c>
      <c r="E50" s="352">
        <v>18810</v>
      </c>
      <c r="F50" s="177">
        <v>18333</v>
      </c>
      <c r="G50" s="518">
        <v>12201</v>
      </c>
      <c r="H50" s="518">
        <v>17333</v>
      </c>
      <c r="I50" s="160">
        <v>17524</v>
      </c>
      <c r="J50" s="137">
        <v>11267</v>
      </c>
      <c r="K50" s="128">
        <v>13956</v>
      </c>
      <c r="L50" s="128">
        <v>23856</v>
      </c>
      <c r="M50" s="128">
        <v>18919</v>
      </c>
      <c r="N50" s="128"/>
      <c r="O50" s="160">
        <f t="shared" si="3"/>
        <v>195529</v>
      </c>
      <c r="P50" s="156">
        <f t="shared" si="4"/>
        <v>85.96716044372296</v>
      </c>
    </row>
    <row r="51" spans="1:17" ht="15" customHeight="1" x14ac:dyDescent="0.2">
      <c r="A51" s="80" t="s">
        <v>60</v>
      </c>
      <c r="B51" s="529">
        <v>2605.292307692308</v>
      </c>
      <c r="C51" s="213">
        <v>19077</v>
      </c>
      <c r="D51" s="160">
        <v>16232</v>
      </c>
      <c r="E51" s="352">
        <v>15196</v>
      </c>
      <c r="F51" s="177">
        <v>13703</v>
      </c>
      <c r="G51" s="518">
        <v>12456</v>
      </c>
      <c r="H51" s="518">
        <v>21421</v>
      </c>
      <c r="I51" s="160">
        <v>18061</v>
      </c>
      <c r="J51" s="134">
        <v>10383</v>
      </c>
      <c r="K51" s="128">
        <v>20571</v>
      </c>
      <c r="L51" s="128">
        <v>18242</v>
      </c>
      <c r="M51" s="128">
        <v>22885</v>
      </c>
      <c r="N51" s="128"/>
      <c r="O51" s="160">
        <f t="shared" si="3"/>
        <v>188227</v>
      </c>
      <c r="P51" s="156">
        <f t="shared" si="4"/>
        <v>78.81593357039786</v>
      </c>
    </row>
    <row r="52" spans="1:17" ht="15" customHeight="1" x14ac:dyDescent="0.2">
      <c r="A52" s="80" t="s">
        <v>61</v>
      </c>
      <c r="B52" s="529">
        <v>2481.2307692307695</v>
      </c>
      <c r="C52" s="213">
        <v>18335</v>
      </c>
      <c r="D52" s="160">
        <v>21369</v>
      </c>
      <c r="E52" s="352">
        <v>19439</v>
      </c>
      <c r="F52" s="177">
        <v>19072</v>
      </c>
      <c r="G52" s="518">
        <v>19055</v>
      </c>
      <c r="H52" s="518">
        <v>17280</v>
      </c>
      <c r="I52" s="160">
        <v>20981</v>
      </c>
      <c r="J52" s="134">
        <v>9132</v>
      </c>
      <c r="K52" s="128">
        <v>16643</v>
      </c>
      <c r="L52" s="128">
        <v>22449</v>
      </c>
      <c r="M52" s="128">
        <v>16104</v>
      </c>
      <c r="N52" s="128"/>
      <c r="O52" s="160">
        <f t="shared" si="3"/>
        <v>199859</v>
      </c>
      <c r="P52" s="156">
        <f t="shared" si="4"/>
        <v>87.870907738095227</v>
      </c>
    </row>
    <row r="53" spans="1:17" ht="15" customHeight="1" x14ac:dyDescent="0.2">
      <c r="A53" s="80" t="s">
        <v>62</v>
      </c>
      <c r="B53" s="530">
        <v>2605.292307692308</v>
      </c>
      <c r="C53" s="213">
        <v>23215</v>
      </c>
      <c r="D53" s="160">
        <v>29812</v>
      </c>
      <c r="E53" s="352">
        <v>24697</v>
      </c>
      <c r="F53" s="177">
        <v>27973</v>
      </c>
      <c r="G53" s="518">
        <v>23734</v>
      </c>
      <c r="H53" s="518">
        <v>23713</v>
      </c>
      <c r="I53" s="160">
        <v>21197</v>
      </c>
      <c r="J53" s="134">
        <v>23302</v>
      </c>
      <c r="K53" s="128">
        <v>20895</v>
      </c>
      <c r="L53" s="128">
        <v>34482</v>
      </c>
      <c r="M53" s="128">
        <v>22960</v>
      </c>
      <c r="N53" s="128"/>
      <c r="O53" s="160">
        <f t="shared" si="3"/>
        <v>275980</v>
      </c>
      <c r="P53" s="156">
        <f t="shared" si="4"/>
        <v>115.56058029272313</v>
      </c>
    </row>
    <row r="54" spans="1:17" ht="15" customHeight="1" x14ac:dyDescent="0.2">
      <c r="A54" s="80" t="s">
        <v>99</v>
      </c>
      <c r="B54" s="530">
        <v>2481.2307692307691</v>
      </c>
      <c r="C54" s="213">
        <v>17803</v>
      </c>
      <c r="D54" s="160">
        <v>19461</v>
      </c>
      <c r="E54" s="352">
        <v>18694</v>
      </c>
      <c r="F54" s="177">
        <v>17143</v>
      </c>
      <c r="G54" s="518">
        <v>15546</v>
      </c>
      <c r="H54" s="518">
        <v>17409</v>
      </c>
      <c r="I54" s="160">
        <v>17281</v>
      </c>
      <c r="J54" s="134">
        <v>11454</v>
      </c>
      <c r="K54" s="128">
        <v>17944</v>
      </c>
      <c r="L54" s="128">
        <v>17709</v>
      </c>
      <c r="M54" s="128">
        <v>18213</v>
      </c>
      <c r="N54" s="128"/>
      <c r="O54" s="160">
        <f t="shared" si="3"/>
        <v>188657</v>
      </c>
      <c r="P54" s="156">
        <f t="shared" si="4"/>
        <v>82.945785984848499</v>
      </c>
    </row>
    <row r="55" spans="1:17" ht="15" customHeight="1" x14ac:dyDescent="0.2">
      <c r="A55" s="80" t="s">
        <v>64</v>
      </c>
      <c r="B55" s="559">
        <v>0</v>
      </c>
      <c r="C55" s="213">
        <v>23429</v>
      </c>
      <c r="D55" s="160">
        <v>24517</v>
      </c>
      <c r="E55" s="352">
        <v>23743</v>
      </c>
      <c r="F55" s="177">
        <v>15916</v>
      </c>
      <c r="G55" s="518">
        <v>15413</v>
      </c>
      <c r="H55" s="518">
        <v>15895</v>
      </c>
      <c r="I55" s="563">
        <v>4335</v>
      </c>
      <c r="J55" s="134">
        <v>0</v>
      </c>
      <c r="K55" s="128">
        <v>0</v>
      </c>
      <c r="L55" s="128"/>
      <c r="M55" s="128"/>
      <c r="N55" s="128"/>
      <c r="O55" s="160">
        <f t="shared" si="3"/>
        <v>123248</v>
      </c>
      <c r="P55" s="160">
        <f>(O55/5010)*12/7</f>
        <v>42.172112917023092</v>
      </c>
      <c r="Q55" s="141" t="s">
        <v>143</v>
      </c>
    </row>
    <row r="56" spans="1:17" ht="15" customHeight="1" x14ac:dyDescent="0.2">
      <c r="A56" s="80" t="s">
        <v>65</v>
      </c>
      <c r="B56" s="530">
        <v>2741.1692307692306</v>
      </c>
      <c r="C56" s="213">
        <v>16394</v>
      </c>
      <c r="D56" s="160">
        <v>17743</v>
      </c>
      <c r="E56" s="352">
        <v>19471</v>
      </c>
      <c r="F56" s="177">
        <v>14655</v>
      </c>
      <c r="G56" s="518">
        <v>19230</v>
      </c>
      <c r="H56" s="518">
        <v>17417</v>
      </c>
      <c r="I56" s="159">
        <v>16057</v>
      </c>
      <c r="J56" s="134">
        <v>9901</v>
      </c>
      <c r="K56" s="128">
        <v>17005</v>
      </c>
      <c r="L56" s="128">
        <v>18213</v>
      </c>
      <c r="M56" s="128">
        <v>12690</v>
      </c>
      <c r="N56" s="128"/>
      <c r="O56" s="160">
        <f t="shared" si="3"/>
        <v>178776</v>
      </c>
      <c r="P56" s="160">
        <f>(O56/B56)*12/11</f>
        <v>71.147874216300949</v>
      </c>
    </row>
    <row r="57" spans="1:17" ht="15" customHeight="1" x14ac:dyDescent="0.2">
      <c r="A57" s="107" t="s">
        <v>66</v>
      </c>
      <c r="B57" s="506">
        <v>2605.292307692308</v>
      </c>
      <c r="C57" s="213">
        <v>12932</v>
      </c>
      <c r="D57" s="178">
        <v>15311</v>
      </c>
      <c r="E57" s="352">
        <v>13546</v>
      </c>
      <c r="F57" s="177">
        <v>9543</v>
      </c>
      <c r="G57" s="519">
        <v>7352</v>
      </c>
      <c r="H57" s="519">
        <v>11054</v>
      </c>
      <c r="I57" s="168">
        <v>10075</v>
      </c>
      <c r="J57" s="516">
        <v>2098</v>
      </c>
      <c r="K57" s="179"/>
      <c r="L57" s="179"/>
      <c r="M57" s="179"/>
      <c r="N57" s="179"/>
      <c r="O57" s="159">
        <f t="shared" si="3"/>
        <v>81911</v>
      </c>
      <c r="P57" s="157">
        <f>(O57/B57)*12/8</f>
        <v>47.160351119614504</v>
      </c>
    </row>
    <row r="58" spans="1:17" ht="15" customHeight="1" thickBot="1" x14ac:dyDescent="0.25">
      <c r="A58" s="180" t="s">
        <v>96</v>
      </c>
      <c r="B58" s="365">
        <f t="shared" ref="B58:M58" si="5">SUM(B29:B57)</f>
        <v>107068.13846153844</v>
      </c>
      <c r="C58" s="365">
        <f t="shared" si="5"/>
        <v>813240</v>
      </c>
      <c r="D58" s="365">
        <f t="shared" si="5"/>
        <v>891377</v>
      </c>
      <c r="E58" s="365">
        <f t="shared" si="5"/>
        <v>857663</v>
      </c>
      <c r="F58" s="365">
        <f t="shared" si="5"/>
        <v>788324</v>
      </c>
      <c r="G58" s="365">
        <f t="shared" si="5"/>
        <v>706491</v>
      </c>
      <c r="H58" s="365">
        <f t="shared" si="5"/>
        <v>739032</v>
      </c>
      <c r="I58" s="181">
        <f t="shared" si="5"/>
        <v>681930</v>
      </c>
      <c r="J58" s="181">
        <f t="shared" si="5"/>
        <v>459550</v>
      </c>
      <c r="K58" s="181">
        <f t="shared" si="5"/>
        <v>612400</v>
      </c>
      <c r="L58" s="181">
        <f t="shared" si="5"/>
        <v>873944</v>
      </c>
      <c r="M58" s="181">
        <f t="shared" si="5"/>
        <v>693208</v>
      </c>
      <c r="N58" s="185"/>
      <c r="O58" s="560">
        <f>SUM(O29:O57)</f>
        <v>8117159</v>
      </c>
      <c r="P58" s="364">
        <f>(O58/B58)*12/11</f>
        <v>82.705113516431524</v>
      </c>
    </row>
    <row r="59" spans="1:17" ht="13.5" customHeight="1" thickTop="1" x14ac:dyDescent="0.2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4"/>
      <c r="P59" s="183"/>
    </row>
    <row r="60" spans="1:17" ht="13.5" customHeight="1" thickBot="1" x14ac:dyDescent="0.25">
      <c r="A60" s="26" t="s">
        <v>100</v>
      </c>
      <c r="B60" s="366">
        <f t="shared" ref="B60:M60" si="6">B26+B58</f>
        <v>196896.75407692304</v>
      </c>
      <c r="C60" s="366">
        <f t="shared" si="6"/>
        <v>2244188</v>
      </c>
      <c r="D60" s="366">
        <f t="shared" si="6"/>
        <v>2148173</v>
      </c>
      <c r="E60" s="182">
        <f t="shared" si="6"/>
        <v>2398882</v>
      </c>
      <c r="F60" s="182">
        <f t="shared" si="6"/>
        <v>1910357</v>
      </c>
      <c r="G60" s="182">
        <f t="shared" si="6"/>
        <v>1973086</v>
      </c>
      <c r="H60" s="182">
        <f t="shared" si="6"/>
        <v>1891594</v>
      </c>
      <c r="I60" s="182">
        <f t="shared" si="6"/>
        <v>1750813</v>
      </c>
      <c r="J60" s="182">
        <f t="shared" si="6"/>
        <v>1223729</v>
      </c>
      <c r="K60" s="182">
        <f t="shared" si="6"/>
        <v>1620942</v>
      </c>
      <c r="L60" s="182">
        <f t="shared" si="6"/>
        <v>1932259</v>
      </c>
      <c r="M60" s="182">
        <f t="shared" si="6"/>
        <v>1758399</v>
      </c>
      <c r="N60" s="182"/>
      <c r="O60" s="366">
        <f>O26+O58</f>
        <v>20852422</v>
      </c>
      <c r="P60" s="364">
        <f>(O60/B60)*12/11</f>
        <v>115.53312208684541</v>
      </c>
    </row>
    <row r="61" spans="1:17" ht="13.5" customHeight="1" thickTop="1" x14ac:dyDescent="0.2"/>
    <row r="62" spans="1:17" x14ac:dyDescent="0.2">
      <c r="A62" s="188" t="s">
        <v>67</v>
      </c>
      <c r="B62" s="213">
        <v>1480</v>
      </c>
    </row>
    <row r="63" spans="1:17" ht="12.75" thickBot="1" x14ac:dyDescent="0.25">
      <c r="A63" s="189" t="s">
        <v>101</v>
      </c>
      <c r="B63" s="562">
        <f>SUM(B60:B62)</f>
        <v>198376.75407692304</v>
      </c>
    </row>
    <row r="64" spans="1:17" ht="12.75" thickTop="1" x14ac:dyDescent="0.2">
      <c r="L64" s="296"/>
    </row>
  </sheetData>
  <mergeCells count="3">
    <mergeCell ref="A1:P1"/>
    <mergeCell ref="A2:P2"/>
    <mergeCell ref="A3:P3"/>
  </mergeCells>
  <conditionalFormatting sqref="P5:P26">
    <cfRule type="cellIs" dxfId="5" priority="5" operator="between">
      <formula>0</formula>
      <formula>140</formula>
    </cfRule>
  </conditionalFormatting>
  <conditionalFormatting sqref="P28:P58">
    <cfRule type="cellIs" dxfId="4" priority="2" operator="between">
      <formula>0</formula>
      <formula>79</formula>
    </cfRule>
  </conditionalFormatting>
  <conditionalFormatting sqref="P60">
    <cfRule type="cellIs" dxfId="3" priority="1" operator="between">
      <formula>0</formula>
      <formula>79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13"/>
  <sheetViews>
    <sheetView workbookViewId="0">
      <pane ySplit="4" topLeftCell="A11" activePane="bottomLeft" state="frozen"/>
      <selection pane="bottomLeft" activeCell="U15" sqref="U15"/>
    </sheetView>
  </sheetViews>
  <sheetFormatPr defaultColWidth="9.140625" defaultRowHeight="12" x14ac:dyDescent="0.2"/>
  <cols>
    <col min="1" max="1" width="1.42578125" style="1" customWidth="1"/>
    <col min="2" max="2" width="30.28515625" style="1" customWidth="1"/>
    <col min="3" max="3" width="10.5703125" style="44" customWidth="1"/>
    <col min="4" max="4" width="8.28515625" style="1" customWidth="1"/>
    <col min="5" max="5" width="10.7109375" style="1" customWidth="1"/>
    <col min="6" max="6" width="9.7109375" style="44" customWidth="1"/>
    <col min="7" max="7" width="9" style="1" customWidth="1"/>
    <col min="8" max="8" width="10.140625" style="1" customWidth="1"/>
    <col min="9" max="9" width="11.5703125" style="45" customWidth="1"/>
    <col min="10" max="10" width="10.28515625" style="45" customWidth="1"/>
    <col min="11" max="11" width="11.42578125" style="45" customWidth="1"/>
    <col min="12" max="12" width="8.140625" style="1" hidden="1" customWidth="1"/>
    <col min="13" max="13" width="10.140625" style="1" hidden="1" customWidth="1"/>
    <col min="14" max="14" width="10.42578125" style="1" hidden="1" customWidth="1"/>
    <col min="15" max="15" width="9.42578125" style="537" customWidth="1"/>
    <col min="16" max="16" width="9.42578125" style="47" customWidth="1"/>
    <col min="17" max="17" width="9.85546875" style="16" customWidth="1"/>
    <col min="18" max="18" width="6.140625" style="1" customWidth="1"/>
    <col min="19" max="19" width="6.42578125" style="1" customWidth="1"/>
    <col min="20" max="16384" width="9.140625" style="1"/>
  </cols>
  <sheetData>
    <row r="1" spans="2:17" ht="15" x14ac:dyDescent="0.25">
      <c r="B1" s="620" t="s">
        <v>0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2:17" ht="15" x14ac:dyDescent="0.25">
      <c r="B2" s="620" t="s">
        <v>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2:17" ht="15" x14ac:dyDescent="0.25">
      <c r="B3" s="622">
        <v>46022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2:17" ht="33.75" x14ac:dyDescent="0.2">
      <c r="B4" s="2" t="s">
        <v>2</v>
      </c>
      <c r="C4" s="3" t="s">
        <v>3</v>
      </c>
      <c r="D4" s="4" t="s">
        <v>4</v>
      </c>
      <c r="E4" s="5" t="s">
        <v>5</v>
      </c>
      <c r="F4" s="3" t="s">
        <v>6</v>
      </c>
      <c r="G4" s="4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6" t="s">
        <v>13</v>
      </c>
      <c r="N4" s="6" t="s">
        <v>14</v>
      </c>
      <c r="O4" s="532" t="s">
        <v>151</v>
      </c>
      <c r="P4" s="455" t="s">
        <v>16</v>
      </c>
      <c r="Q4" s="456" t="s">
        <v>17</v>
      </c>
    </row>
    <row r="5" spans="2:17" ht="15" x14ac:dyDescent="0.25">
      <c r="B5" s="623" t="s">
        <v>18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</row>
    <row r="6" spans="2:17" s="16" customFormat="1" ht="15.75" customHeight="1" x14ac:dyDescent="0.2">
      <c r="B6" s="10" t="s">
        <v>19</v>
      </c>
      <c r="C6" s="296">
        <v>70454</v>
      </c>
      <c r="D6" s="1">
        <v>328</v>
      </c>
      <c r="E6" s="190">
        <f t="shared" ref="E6:E24" si="0">C6-D6</f>
        <v>70126</v>
      </c>
      <c r="F6" s="352"/>
      <c r="G6" s="592"/>
      <c r="H6" s="190">
        <f t="shared" ref="H6:H24" si="1">F6+G6</f>
        <v>0</v>
      </c>
      <c r="I6" s="352"/>
      <c r="J6" s="191"/>
      <c r="K6" s="198">
        <f t="shared" ref="K6:K25" si="2">I6+J6</f>
        <v>0</v>
      </c>
      <c r="L6" s="11">
        <f t="shared" ref="L6:L24" si="3">F6/E6</f>
        <v>0</v>
      </c>
      <c r="M6" s="12" t="e">
        <f t="shared" ref="M6:M24" si="4">I6/F6</f>
        <v>#DIV/0!</v>
      </c>
      <c r="N6" s="13" t="e">
        <f>M6/129.8194</f>
        <v>#DIV/0!</v>
      </c>
      <c r="O6" s="607">
        <v>3349.6615384615388</v>
      </c>
      <c r="P6" s="14">
        <f t="shared" ref="P6:P22" si="5">C6/O6*12</f>
        <v>252.39803791887124</v>
      </c>
      <c r="Q6" s="15">
        <f>(K6*12/O6)/129.8194</f>
        <v>0</v>
      </c>
    </row>
    <row r="7" spans="2:17" s="16" customFormat="1" ht="15.75" customHeight="1" x14ac:dyDescent="0.2">
      <c r="B7" s="604" t="s">
        <v>176</v>
      </c>
      <c r="C7" s="296">
        <v>3865</v>
      </c>
      <c r="D7" s="611"/>
      <c r="E7" s="190">
        <f t="shared" si="0"/>
        <v>3865</v>
      </c>
      <c r="F7" s="352"/>
      <c r="G7" s="592"/>
      <c r="H7" s="190">
        <v>0</v>
      </c>
      <c r="I7" s="352"/>
      <c r="J7" s="191"/>
      <c r="K7" s="198">
        <f t="shared" si="2"/>
        <v>0</v>
      </c>
      <c r="L7" s="11">
        <f t="shared" si="3"/>
        <v>0</v>
      </c>
      <c r="M7" s="12" t="e">
        <f t="shared" si="4"/>
        <v>#DIV/0!</v>
      </c>
      <c r="N7" s="13" t="e">
        <f t="shared" ref="N7:N24" si="6">M7/129.8194</f>
        <v>#DIV/0!</v>
      </c>
      <c r="O7" s="607">
        <v>310.15384615384619</v>
      </c>
      <c r="P7" s="14">
        <f t="shared" si="5"/>
        <v>149.53869047619045</v>
      </c>
      <c r="Q7" s="15">
        <f>(K7*12/O7)/129.8194</f>
        <v>0</v>
      </c>
    </row>
    <row r="8" spans="2:17" s="16" customFormat="1" ht="15.75" customHeight="1" x14ac:dyDescent="0.2">
      <c r="B8" s="10" t="s">
        <v>20</v>
      </c>
      <c r="C8" s="296">
        <v>150618</v>
      </c>
      <c r="D8" s="16">
        <v>310</v>
      </c>
      <c r="E8" s="190">
        <f t="shared" si="0"/>
        <v>150308</v>
      </c>
      <c r="F8" s="352"/>
      <c r="G8" s="592"/>
      <c r="H8" s="190">
        <f t="shared" si="1"/>
        <v>0</v>
      </c>
      <c r="I8" s="352"/>
      <c r="J8" s="191"/>
      <c r="K8" s="198">
        <f t="shared" si="2"/>
        <v>0</v>
      </c>
      <c r="L8" s="11">
        <f t="shared" si="3"/>
        <v>0</v>
      </c>
      <c r="M8" s="12" t="e">
        <f t="shared" si="4"/>
        <v>#DIV/0!</v>
      </c>
      <c r="N8" s="13" t="e">
        <f t="shared" si="6"/>
        <v>#DIV/0!</v>
      </c>
      <c r="O8" s="607">
        <v>10545</v>
      </c>
      <c r="P8" s="14">
        <f t="shared" si="5"/>
        <v>171.40028449502134</v>
      </c>
      <c r="Q8" s="15">
        <f t="shared" ref="Q8:Q25" si="7">(K8*12/O8)/129.8194</f>
        <v>0</v>
      </c>
    </row>
    <row r="9" spans="2:17" s="16" customFormat="1" ht="15.75" customHeight="1" x14ac:dyDescent="0.2">
      <c r="B9" s="10" t="s">
        <v>21</v>
      </c>
      <c r="C9" s="296">
        <v>61379</v>
      </c>
      <c r="D9" s="16">
        <v>310</v>
      </c>
      <c r="E9" s="190">
        <f t="shared" si="0"/>
        <v>61069</v>
      </c>
      <c r="F9" s="352"/>
      <c r="G9" s="592"/>
      <c r="H9" s="190">
        <f t="shared" si="1"/>
        <v>0</v>
      </c>
      <c r="I9" s="352"/>
      <c r="J9" s="191"/>
      <c r="K9" s="198">
        <f t="shared" si="2"/>
        <v>0</v>
      </c>
      <c r="L9" s="11">
        <f t="shared" si="3"/>
        <v>0</v>
      </c>
      <c r="M9" s="12" t="e">
        <f t="shared" si="4"/>
        <v>#DIV/0!</v>
      </c>
      <c r="N9" s="13" t="e">
        <f t="shared" si="6"/>
        <v>#DIV/0!</v>
      </c>
      <c r="O9" s="606">
        <v>5768.8615384615377</v>
      </c>
      <c r="P9" s="14">
        <f t="shared" si="5"/>
        <v>127.67649129544293</v>
      </c>
      <c r="Q9" s="15">
        <f t="shared" si="7"/>
        <v>0</v>
      </c>
    </row>
    <row r="10" spans="2:17" s="16" customFormat="1" ht="15.75" customHeight="1" x14ac:dyDescent="0.2">
      <c r="B10" s="10" t="s">
        <v>22</v>
      </c>
      <c r="C10" s="296">
        <v>54140</v>
      </c>
      <c r="D10" s="16">
        <v>309</v>
      </c>
      <c r="E10" s="190">
        <f t="shared" si="0"/>
        <v>53831</v>
      </c>
      <c r="F10" s="352"/>
      <c r="G10" s="592"/>
      <c r="H10" s="190">
        <f t="shared" si="1"/>
        <v>0</v>
      </c>
      <c r="I10" s="352"/>
      <c r="J10" s="191"/>
      <c r="K10" s="198">
        <f t="shared" si="2"/>
        <v>0</v>
      </c>
      <c r="L10" s="11">
        <f t="shared" si="3"/>
        <v>0</v>
      </c>
      <c r="M10" s="12" t="e">
        <f t="shared" si="4"/>
        <v>#DIV/0!</v>
      </c>
      <c r="N10" s="13" t="e">
        <f t="shared" si="6"/>
        <v>#DIV/0!</v>
      </c>
      <c r="O10" s="607">
        <v>4962.4615384615381</v>
      </c>
      <c r="P10" s="14">
        <f t="shared" si="5"/>
        <v>130.9188988095238</v>
      </c>
      <c r="Q10" s="15">
        <f t="shared" si="7"/>
        <v>0</v>
      </c>
    </row>
    <row r="11" spans="2:17" s="16" customFormat="1" ht="15.75" customHeight="1" x14ac:dyDescent="0.2">
      <c r="B11" s="10" t="s">
        <v>23</v>
      </c>
      <c r="C11" s="296">
        <v>44439</v>
      </c>
      <c r="D11" s="16">
        <v>278</v>
      </c>
      <c r="E11" s="190">
        <f t="shared" si="0"/>
        <v>44161</v>
      </c>
      <c r="F11" s="352"/>
      <c r="G11" s="592"/>
      <c r="H11" s="190">
        <f t="shared" si="1"/>
        <v>0</v>
      </c>
      <c r="I11" s="352"/>
      <c r="J11" s="191"/>
      <c r="K11" s="198">
        <f t="shared" si="2"/>
        <v>0</v>
      </c>
      <c r="L11" s="11">
        <f t="shared" si="3"/>
        <v>0</v>
      </c>
      <c r="M11" s="12" t="e">
        <f t="shared" si="4"/>
        <v>#DIV/0!</v>
      </c>
      <c r="N11" s="13" t="e">
        <f t="shared" si="6"/>
        <v>#DIV/0!</v>
      </c>
      <c r="O11" s="608">
        <v>3535.75</v>
      </c>
      <c r="P11" s="14">
        <f t="shared" si="5"/>
        <v>150.82174927525986</v>
      </c>
      <c r="Q11" s="15">
        <f t="shared" si="7"/>
        <v>0</v>
      </c>
    </row>
    <row r="12" spans="2:17" s="16" customFormat="1" ht="15.75" customHeight="1" x14ac:dyDescent="0.2">
      <c r="B12" s="10" t="s">
        <v>24</v>
      </c>
      <c r="C12" s="352">
        <v>90352</v>
      </c>
      <c r="D12" s="16">
        <v>55</v>
      </c>
      <c r="E12" s="190">
        <f t="shared" si="0"/>
        <v>90297</v>
      </c>
      <c r="F12" s="352"/>
      <c r="G12" s="592"/>
      <c r="H12" s="190">
        <f t="shared" si="1"/>
        <v>0</v>
      </c>
      <c r="I12" s="352"/>
      <c r="J12" s="191"/>
      <c r="K12" s="198">
        <f t="shared" si="2"/>
        <v>0</v>
      </c>
      <c r="L12" s="11">
        <f t="shared" si="3"/>
        <v>0</v>
      </c>
      <c r="M12" s="12" t="e">
        <f t="shared" si="4"/>
        <v>#DIV/0!</v>
      </c>
      <c r="N12" s="13" t="e">
        <f t="shared" si="6"/>
        <v>#DIV/0!</v>
      </c>
      <c r="O12" s="607">
        <v>5492.6769230769232</v>
      </c>
      <c r="P12" s="14">
        <f t="shared" si="5"/>
        <v>197.3944608765797</v>
      </c>
      <c r="Q12" s="15">
        <f t="shared" si="7"/>
        <v>0</v>
      </c>
    </row>
    <row r="13" spans="2:17" s="16" customFormat="1" ht="15.75" customHeight="1" x14ac:dyDescent="0.2">
      <c r="B13" s="604" t="s">
        <v>177</v>
      </c>
      <c r="C13" s="352">
        <v>8590</v>
      </c>
      <c r="D13" s="16">
        <v>0</v>
      </c>
      <c r="E13" s="190">
        <f t="shared" si="0"/>
        <v>8590</v>
      </c>
      <c r="F13" s="352"/>
      <c r="G13" s="592"/>
      <c r="H13" s="190">
        <v>0</v>
      </c>
      <c r="I13" s="352"/>
      <c r="J13" s="191"/>
      <c r="K13" s="198">
        <f t="shared" si="2"/>
        <v>0</v>
      </c>
      <c r="L13" s="11">
        <f t="shared" si="3"/>
        <v>0</v>
      </c>
      <c r="M13" s="12">
        <v>0</v>
      </c>
      <c r="N13" s="13">
        <f t="shared" si="6"/>
        <v>0</v>
      </c>
      <c r="O13" s="607">
        <v>806.4</v>
      </c>
      <c r="P13" s="14">
        <f t="shared" si="5"/>
        <v>127.82738095238096</v>
      </c>
      <c r="Q13" s="15">
        <f t="shared" si="7"/>
        <v>0</v>
      </c>
    </row>
    <row r="14" spans="2:17" s="16" customFormat="1" ht="15.75" customHeight="1" x14ac:dyDescent="0.2">
      <c r="B14" s="10" t="s">
        <v>25</v>
      </c>
      <c r="C14" s="352">
        <v>121809</v>
      </c>
      <c r="D14" s="16">
        <v>345</v>
      </c>
      <c r="E14" s="190">
        <f t="shared" si="0"/>
        <v>121464</v>
      </c>
      <c r="F14" s="352"/>
      <c r="G14" s="592"/>
      <c r="H14" s="190">
        <f t="shared" si="1"/>
        <v>0</v>
      </c>
      <c r="I14" s="352"/>
      <c r="J14" s="191"/>
      <c r="K14" s="198">
        <f t="shared" si="2"/>
        <v>0</v>
      </c>
      <c r="L14" s="11">
        <f t="shared" si="3"/>
        <v>0</v>
      </c>
      <c r="M14" s="12" t="e">
        <f t="shared" si="4"/>
        <v>#DIV/0!</v>
      </c>
      <c r="N14" s="13" t="e">
        <f t="shared" si="6"/>
        <v>#DIV/0!</v>
      </c>
      <c r="O14" s="607">
        <v>8067.6</v>
      </c>
      <c r="P14" s="14">
        <f t="shared" si="5"/>
        <v>181.18250780901383</v>
      </c>
      <c r="Q14" s="15">
        <f t="shared" si="7"/>
        <v>0</v>
      </c>
    </row>
    <row r="15" spans="2:17" s="16" customFormat="1" ht="15.75" customHeight="1" x14ac:dyDescent="0.2">
      <c r="B15" s="10" t="s">
        <v>26</v>
      </c>
      <c r="C15" s="352">
        <v>30209</v>
      </c>
      <c r="D15" s="16">
        <v>293</v>
      </c>
      <c r="E15" s="190">
        <f t="shared" si="0"/>
        <v>29916</v>
      </c>
      <c r="F15" s="352"/>
      <c r="G15" s="592"/>
      <c r="H15" s="190">
        <f t="shared" si="1"/>
        <v>0</v>
      </c>
      <c r="I15" s="352"/>
      <c r="J15" s="191"/>
      <c r="K15" s="198">
        <f t="shared" si="2"/>
        <v>0</v>
      </c>
      <c r="L15" s="11">
        <f t="shared" si="3"/>
        <v>0</v>
      </c>
      <c r="M15" s="12" t="e">
        <f t="shared" si="4"/>
        <v>#DIV/0!</v>
      </c>
      <c r="N15" s="13" t="e">
        <f t="shared" si="6"/>
        <v>#DIV/0!</v>
      </c>
      <c r="O15" s="606">
        <v>1798.8923076923077</v>
      </c>
      <c r="P15" s="14">
        <f t="shared" si="5"/>
        <v>201.51734400656815</v>
      </c>
      <c r="Q15" s="15">
        <f t="shared" si="7"/>
        <v>0</v>
      </c>
    </row>
    <row r="16" spans="2:17" s="16" customFormat="1" ht="15.75" customHeight="1" x14ac:dyDescent="0.2">
      <c r="B16" s="10" t="s">
        <v>27</v>
      </c>
      <c r="C16" s="352">
        <v>143432</v>
      </c>
      <c r="D16" s="16">
        <v>373</v>
      </c>
      <c r="E16" s="190">
        <f t="shared" si="0"/>
        <v>143059</v>
      </c>
      <c r="F16" s="352"/>
      <c r="G16" s="592"/>
      <c r="H16" s="190">
        <f t="shared" si="1"/>
        <v>0</v>
      </c>
      <c r="I16" s="352"/>
      <c r="J16" s="191"/>
      <c r="K16" s="198">
        <f t="shared" si="2"/>
        <v>0</v>
      </c>
      <c r="L16" s="11">
        <f t="shared" si="3"/>
        <v>0</v>
      </c>
      <c r="M16" s="12" t="e">
        <f t="shared" si="4"/>
        <v>#DIV/0!</v>
      </c>
      <c r="N16" s="13" t="e">
        <f t="shared" si="6"/>
        <v>#DIV/0!</v>
      </c>
      <c r="O16" s="607">
        <v>8560</v>
      </c>
      <c r="P16" s="14">
        <f t="shared" si="5"/>
        <v>201.07289719626169</v>
      </c>
      <c r="Q16" s="15">
        <f t="shared" si="7"/>
        <v>0</v>
      </c>
    </row>
    <row r="17" spans="2:18" s="16" customFormat="1" ht="15.75" customHeight="1" x14ac:dyDescent="0.2">
      <c r="B17" s="10" t="s">
        <v>28</v>
      </c>
      <c r="C17" s="352">
        <v>57987</v>
      </c>
      <c r="D17" s="16">
        <v>322</v>
      </c>
      <c r="E17" s="190">
        <f t="shared" si="0"/>
        <v>57665</v>
      </c>
      <c r="F17" s="352"/>
      <c r="G17" s="592"/>
      <c r="H17" s="190">
        <f t="shared" si="1"/>
        <v>0</v>
      </c>
      <c r="I17" s="352"/>
      <c r="J17" s="191"/>
      <c r="K17" s="198">
        <f t="shared" si="2"/>
        <v>0</v>
      </c>
      <c r="L17" s="11">
        <f t="shared" si="3"/>
        <v>0</v>
      </c>
      <c r="M17" s="12" t="e">
        <f t="shared" si="4"/>
        <v>#DIV/0!</v>
      </c>
      <c r="N17" s="13" t="e">
        <f t="shared" si="6"/>
        <v>#DIV/0!</v>
      </c>
      <c r="O17" s="607">
        <v>5210.59</v>
      </c>
      <c r="P17" s="14">
        <f t="shared" si="5"/>
        <v>133.5441859751007</v>
      </c>
      <c r="Q17" s="15">
        <f t="shared" si="7"/>
        <v>0</v>
      </c>
    </row>
    <row r="18" spans="2:18" s="16" customFormat="1" ht="15.75" customHeight="1" x14ac:dyDescent="0.2">
      <c r="B18" s="10" t="s">
        <v>29</v>
      </c>
      <c r="C18" s="352">
        <v>44529</v>
      </c>
      <c r="D18" s="16">
        <v>284</v>
      </c>
      <c r="E18" s="190">
        <f t="shared" si="0"/>
        <v>44245</v>
      </c>
      <c r="F18" s="352"/>
      <c r="G18" s="592"/>
      <c r="H18" s="190">
        <f t="shared" si="1"/>
        <v>0</v>
      </c>
      <c r="I18" s="352"/>
      <c r="J18" s="191"/>
      <c r="K18" s="198">
        <f t="shared" si="2"/>
        <v>0</v>
      </c>
      <c r="L18" s="11">
        <f t="shared" si="3"/>
        <v>0</v>
      </c>
      <c r="M18" s="12" t="e">
        <f t="shared" si="4"/>
        <v>#DIV/0!</v>
      </c>
      <c r="N18" s="13" t="e">
        <f t="shared" si="6"/>
        <v>#DIV/0!</v>
      </c>
      <c r="O18" s="607">
        <v>2233</v>
      </c>
      <c r="P18" s="14">
        <f t="shared" si="5"/>
        <v>239.29601433049709</v>
      </c>
      <c r="Q18" s="15">
        <f t="shared" si="7"/>
        <v>0</v>
      </c>
    </row>
    <row r="19" spans="2:18" s="16" customFormat="1" ht="15.75" customHeight="1" x14ac:dyDescent="0.2">
      <c r="B19" s="604" t="s">
        <v>178</v>
      </c>
      <c r="C19" s="352">
        <v>6434</v>
      </c>
      <c r="D19" s="16">
        <v>10</v>
      </c>
      <c r="E19" s="190">
        <f t="shared" si="0"/>
        <v>6424</v>
      </c>
      <c r="F19" s="352"/>
      <c r="G19" s="592"/>
      <c r="H19" s="190">
        <f t="shared" si="1"/>
        <v>0</v>
      </c>
      <c r="I19" s="352"/>
      <c r="J19" s="191"/>
      <c r="K19" s="198">
        <f t="shared" si="2"/>
        <v>0</v>
      </c>
      <c r="L19" s="11">
        <f t="shared" si="3"/>
        <v>0</v>
      </c>
      <c r="M19" s="12" t="e">
        <f t="shared" si="4"/>
        <v>#DIV/0!</v>
      </c>
      <c r="N19" s="13" t="e">
        <f t="shared" si="6"/>
        <v>#DIV/0!</v>
      </c>
      <c r="O19" s="607">
        <v>496.2461538461539</v>
      </c>
      <c r="P19" s="14">
        <f t="shared" si="5"/>
        <v>155.58407738095235</v>
      </c>
      <c r="Q19" s="15">
        <f t="shared" si="7"/>
        <v>0</v>
      </c>
    </row>
    <row r="20" spans="2:18" s="16" customFormat="1" ht="15.75" customHeight="1" x14ac:dyDescent="0.2">
      <c r="B20" s="10" t="s">
        <v>30</v>
      </c>
      <c r="C20" s="352">
        <v>251218</v>
      </c>
      <c r="D20" s="16">
        <v>444</v>
      </c>
      <c r="E20" s="190">
        <f t="shared" si="0"/>
        <v>250774</v>
      </c>
      <c r="F20" s="352"/>
      <c r="G20" s="592"/>
      <c r="H20" s="190">
        <f t="shared" si="1"/>
        <v>0</v>
      </c>
      <c r="I20" s="352"/>
      <c r="J20" s="191"/>
      <c r="K20" s="198">
        <f t="shared" si="2"/>
        <v>0</v>
      </c>
      <c r="L20" s="11">
        <f t="shared" si="3"/>
        <v>0</v>
      </c>
      <c r="M20" s="12" t="e">
        <f t="shared" si="4"/>
        <v>#DIV/0!</v>
      </c>
      <c r="N20" s="13" t="e">
        <f t="shared" si="6"/>
        <v>#DIV/0!</v>
      </c>
      <c r="O20" s="607">
        <v>15168.530999999999</v>
      </c>
      <c r="P20" s="14">
        <f t="shared" si="5"/>
        <v>198.74146019809041</v>
      </c>
      <c r="Q20" s="15">
        <f t="shared" si="7"/>
        <v>0</v>
      </c>
    </row>
    <row r="21" spans="2:18" s="16" customFormat="1" ht="15.75" customHeight="1" x14ac:dyDescent="0.2">
      <c r="B21" s="604" t="s">
        <v>179</v>
      </c>
      <c r="C21" s="352">
        <v>2247</v>
      </c>
      <c r="D21" s="16">
        <v>0</v>
      </c>
      <c r="E21" s="190">
        <f t="shared" si="0"/>
        <v>2247</v>
      </c>
      <c r="F21" s="352"/>
      <c r="G21" s="592"/>
      <c r="H21" s="190">
        <f t="shared" si="1"/>
        <v>0</v>
      </c>
      <c r="I21" s="352"/>
      <c r="J21" s="191"/>
      <c r="K21" s="198">
        <f t="shared" si="2"/>
        <v>0</v>
      </c>
      <c r="L21" s="11">
        <f t="shared" si="3"/>
        <v>0</v>
      </c>
      <c r="M21" s="12">
        <v>0</v>
      </c>
      <c r="N21" s="13">
        <f t="shared" si="6"/>
        <v>0</v>
      </c>
      <c r="O21" s="609">
        <v>806.4</v>
      </c>
      <c r="P21" s="14">
        <f t="shared" si="5"/>
        <v>33.4375</v>
      </c>
      <c r="Q21" s="15">
        <v>0</v>
      </c>
    </row>
    <row r="22" spans="2:18" s="16" customFormat="1" ht="15.75" customHeight="1" x14ac:dyDescent="0.2">
      <c r="B22" s="10" t="s">
        <v>32</v>
      </c>
      <c r="C22" s="352">
        <v>63053</v>
      </c>
      <c r="D22" s="16">
        <v>344</v>
      </c>
      <c r="E22" s="190">
        <f t="shared" si="0"/>
        <v>62709</v>
      </c>
      <c r="F22" s="352"/>
      <c r="G22" s="592"/>
      <c r="H22" s="190">
        <f t="shared" si="1"/>
        <v>0</v>
      </c>
      <c r="I22" s="352"/>
      <c r="J22" s="191"/>
      <c r="K22" s="198">
        <f t="shared" si="2"/>
        <v>0</v>
      </c>
      <c r="L22" s="11">
        <f t="shared" si="3"/>
        <v>0</v>
      </c>
      <c r="M22" s="12" t="e">
        <f t="shared" si="4"/>
        <v>#DIV/0!</v>
      </c>
      <c r="N22" s="13" t="e">
        <f t="shared" si="6"/>
        <v>#DIV/0!</v>
      </c>
      <c r="O22" s="607">
        <v>4962.4615384615381</v>
      </c>
      <c r="P22" s="14">
        <f t="shared" si="5"/>
        <v>152.47191220238096</v>
      </c>
      <c r="Q22" s="15">
        <f t="shared" si="7"/>
        <v>0</v>
      </c>
    </row>
    <row r="23" spans="2:18" s="16" customFormat="1" ht="15.75" customHeight="1" x14ac:dyDescent="0.2">
      <c r="B23" s="10" t="s">
        <v>33</v>
      </c>
      <c r="C23" s="352">
        <v>5833</v>
      </c>
      <c r="D23" s="16">
        <v>45</v>
      </c>
      <c r="E23" s="190">
        <f t="shared" si="0"/>
        <v>5788</v>
      </c>
      <c r="F23" s="352"/>
      <c r="G23" s="592"/>
      <c r="H23" s="190">
        <f t="shared" si="1"/>
        <v>0</v>
      </c>
      <c r="I23" s="352"/>
      <c r="J23" s="191"/>
      <c r="K23" s="198">
        <f t="shared" si="2"/>
        <v>0</v>
      </c>
      <c r="L23" s="11">
        <f t="shared" si="3"/>
        <v>0</v>
      </c>
      <c r="M23" s="12" t="e">
        <f t="shared" si="4"/>
        <v>#DIV/0!</v>
      </c>
      <c r="N23" s="13" t="e">
        <f t="shared" si="6"/>
        <v>#DIV/0!</v>
      </c>
      <c r="O23" s="550">
        <v>0</v>
      </c>
      <c r="P23" s="14">
        <v>0</v>
      </c>
      <c r="Q23" s="15">
        <v>0</v>
      </c>
      <c r="R23" s="16" t="s">
        <v>143</v>
      </c>
    </row>
    <row r="24" spans="2:18" s="16" customFormat="1" ht="15.75" customHeight="1" x14ac:dyDescent="0.2">
      <c r="B24" s="17" t="s">
        <v>34</v>
      </c>
      <c r="C24" s="506">
        <v>90969</v>
      </c>
      <c r="D24" s="390">
        <v>324</v>
      </c>
      <c r="E24" s="193">
        <f t="shared" si="0"/>
        <v>90645</v>
      </c>
      <c r="F24" s="355"/>
      <c r="G24" s="593"/>
      <c r="H24" s="193">
        <f t="shared" si="1"/>
        <v>0</v>
      </c>
      <c r="I24" s="355"/>
      <c r="J24" s="541"/>
      <c r="K24" s="198">
        <f t="shared" si="2"/>
        <v>0</v>
      </c>
      <c r="L24" s="11">
        <f t="shared" si="3"/>
        <v>0</v>
      </c>
      <c r="M24" s="12" t="e">
        <f t="shared" si="4"/>
        <v>#DIV/0!</v>
      </c>
      <c r="N24" s="13" t="e">
        <f t="shared" si="6"/>
        <v>#DIV/0!</v>
      </c>
      <c r="O24" s="610">
        <v>5334</v>
      </c>
      <c r="P24" s="19">
        <f>C24/O24*12</f>
        <v>204.65466816647915</v>
      </c>
      <c r="Q24" s="15">
        <f t="shared" si="7"/>
        <v>0</v>
      </c>
    </row>
    <row r="25" spans="2:18" s="16" customFormat="1" ht="15.75" customHeight="1" x14ac:dyDescent="0.2">
      <c r="B25" s="249" t="s">
        <v>181</v>
      </c>
      <c r="C25" s="506">
        <v>3719</v>
      </c>
      <c r="D25" s="10">
        <v>101</v>
      </c>
      <c r="E25" s="190">
        <f>C25-D25</f>
        <v>3618</v>
      </c>
      <c r="F25" s="352"/>
      <c r="G25" s="592"/>
      <c r="H25" s="190">
        <f>F25+G25</f>
        <v>0</v>
      </c>
      <c r="I25" s="352"/>
      <c r="J25" s="353"/>
      <c r="K25" s="198">
        <f t="shared" si="2"/>
        <v>0</v>
      </c>
      <c r="L25" s="11">
        <f>F25/E25</f>
        <v>0</v>
      </c>
      <c r="M25" s="12" t="e">
        <f>I25/F25</f>
        <v>#DIV/0!</v>
      </c>
      <c r="N25" s="13" t="e">
        <f>M25/129.8194</f>
        <v>#DIV/0!</v>
      </c>
      <c r="O25" s="550">
        <v>1479.876923076923</v>
      </c>
      <c r="P25" s="19">
        <f>C25/O25*12</f>
        <v>30.156561876247508</v>
      </c>
      <c r="Q25" s="15">
        <f t="shared" si="7"/>
        <v>0</v>
      </c>
    </row>
    <row r="26" spans="2:18" ht="15.75" customHeight="1" thickBot="1" x14ac:dyDescent="0.25">
      <c r="B26" s="577" t="s">
        <v>35</v>
      </c>
      <c r="C26" s="578">
        <f>SUM(C6:C25)</f>
        <v>1305276</v>
      </c>
      <c r="D26" s="578">
        <f t="shared" ref="D26:K26" si="8">SUM(D6:D25)</f>
        <v>4475</v>
      </c>
      <c r="E26" s="578">
        <f t="shared" si="8"/>
        <v>1300801</v>
      </c>
      <c r="F26" s="578">
        <f t="shared" si="8"/>
        <v>0</v>
      </c>
      <c r="G26" s="578">
        <f t="shared" si="8"/>
        <v>0</v>
      </c>
      <c r="H26" s="578">
        <f t="shared" si="8"/>
        <v>0</v>
      </c>
      <c r="I26" s="578">
        <f t="shared" si="8"/>
        <v>0</v>
      </c>
      <c r="J26" s="578">
        <f t="shared" si="8"/>
        <v>0</v>
      </c>
      <c r="K26" s="578">
        <f t="shared" si="8"/>
        <v>0</v>
      </c>
      <c r="L26" s="579">
        <f t="shared" ref="L26" si="9">F26/E26</f>
        <v>0</v>
      </c>
      <c r="M26" s="580" t="e">
        <f t="shared" ref="M26" si="10">I26/F26</f>
        <v>#DIV/0!</v>
      </c>
      <c r="N26" s="581" t="e">
        <f>M26/129.8194</f>
        <v>#DIV/0!</v>
      </c>
      <c r="O26" s="582">
        <f>SUM(O6:O25)</f>
        <v>88888.563307692297</v>
      </c>
      <c r="P26" s="583">
        <f t="shared" ref="P26" si="11">C26/O26*12</f>
        <v>176.21290543059681</v>
      </c>
      <c r="Q26" s="584">
        <f>(K26*12/O26)/129.8194</f>
        <v>0</v>
      </c>
    </row>
    <row r="27" spans="2:18" ht="17.25" customHeight="1" thickTop="1" thickBot="1" x14ac:dyDescent="0.25">
      <c r="B27" s="26" t="s">
        <v>36</v>
      </c>
      <c r="C27" s="27"/>
      <c r="D27" s="28">
        <f>D26/C26</f>
        <v>3.4283936883846788E-3</v>
      </c>
      <c r="E27" s="29">
        <f>E26/C26</f>
        <v>0.99657160631161534</v>
      </c>
      <c r="F27" s="30"/>
      <c r="G27" s="31"/>
      <c r="H27" s="30"/>
      <c r="I27" s="30"/>
      <c r="J27" s="30"/>
      <c r="K27" s="30"/>
      <c r="L27" s="32"/>
      <c r="M27" s="30"/>
      <c r="N27" s="33"/>
      <c r="O27" s="534"/>
      <c r="P27" s="34"/>
      <c r="Q27" s="35"/>
    </row>
    <row r="28" spans="2:18" ht="21" customHeight="1" thickTop="1" x14ac:dyDescent="0.25">
      <c r="B28" s="623" t="s">
        <v>37</v>
      </c>
      <c r="C28" s="620"/>
      <c r="D28" s="620"/>
      <c r="E28" s="620"/>
      <c r="F28" s="620"/>
      <c r="G28" s="620"/>
      <c r="H28" s="620"/>
      <c r="I28" s="620"/>
      <c r="J28" s="620"/>
      <c r="K28" s="620"/>
      <c r="L28" s="620"/>
      <c r="M28" s="620"/>
      <c r="N28" s="620"/>
      <c r="O28" s="620"/>
      <c r="P28" s="620"/>
      <c r="Q28" s="620"/>
    </row>
    <row r="29" spans="2:18" ht="15.75" customHeight="1" x14ac:dyDescent="0.2">
      <c r="B29" s="13" t="s">
        <v>38</v>
      </c>
      <c r="C29" s="296">
        <v>17840</v>
      </c>
      <c r="D29" s="352">
        <v>132</v>
      </c>
      <c r="E29" s="200">
        <f t="shared" ref="E29:E56" si="12">C29-D29</f>
        <v>17708</v>
      </c>
      <c r="F29" s="352"/>
      <c r="G29" s="191"/>
      <c r="H29" s="202">
        <f t="shared" ref="H29:H56" si="13">F29+G29</f>
        <v>0</v>
      </c>
      <c r="I29" s="352"/>
      <c r="J29" s="191"/>
      <c r="K29" s="200">
        <f t="shared" ref="K29:K56" si="14">I29+J29</f>
        <v>0</v>
      </c>
      <c r="L29" s="36">
        <f t="shared" ref="L29:L57" si="15">F29/E29</f>
        <v>0</v>
      </c>
      <c r="M29" s="20" t="e">
        <f t="shared" ref="M29:M57" si="16">I29/F29</f>
        <v>#DIV/0!</v>
      </c>
      <c r="N29" s="37" t="e">
        <f>M29/129.8194</f>
        <v>#DIV/0!</v>
      </c>
      <c r="O29" s="533">
        <v>3287.6307692307691</v>
      </c>
      <c r="P29" s="14">
        <f t="shared" ref="P29:P56" si="17">C29/O29*12</f>
        <v>65.116801437556148</v>
      </c>
      <c r="Q29" s="15">
        <f>(K29*12/O29)/129.8194</f>
        <v>0</v>
      </c>
    </row>
    <row r="30" spans="2:18" ht="15.75" customHeight="1" x14ac:dyDescent="0.2">
      <c r="B30" s="13" t="s">
        <v>39</v>
      </c>
      <c r="C30" s="296">
        <v>41468</v>
      </c>
      <c r="D30" s="352">
        <v>289</v>
      </c>
      <c r="E30" s="200">
        <f t="shared" si="12"/>
        <v>41179</v>
      </c>
      <c r="F30" s="352"/>
      <c r="G30" s="191"/>
      <c r="H30" s="202">
        <f t="shared" si="13"/>
        <v>0</v>
      </c>
      <c r="I30" s="352"/>
      <c r="J30" s="191"/>
      <c r="K30" s="200">
        <f t="shared" si="14"/>
        <v>0</v>
      </c>
      <c r="L30" s="36">
        <f t="shared" si="15"/>
        <v>0</v>
      </c>
      <c r="M30" s="20" t="e">
        <f t="shared" si="16"/>
        <v>#DIV/0!</v>
      </c>
      <c r="N30" s="37" t="e">
        <f t="shared" ref="N30:N56" si="18">M30/129.8194</f>
        <v>#DIV/0!</v>
      </c>
      <c r="O30" s="533">
        <v>5520.7384615384617</v>
      </c>
      <c r="P30" s="14">
        <f t="shared" si="17"/>
        <v>90.135767790262165</v>
      </c>
      <c r="Q30" s="15">
        <f t="shared" ref="Q30:Q56" si="19">(K30*12/O30)/129.8194</f>
        <v>0</v>
      </c>
    </row>
    <row r="31" spans="2:18" ht="15.75" customHeight="1" x14ac:dyDescent="0.2">
      <c r="B31" s="13" t="s">
        <v>40</v>
      </c>
      <c r="C31" s="296">
        <v>8634</v>
      </c>
      <c r="D31" s="352">
        <v>191</v>
      </c>
      <c r="E31" s="200">
        <f t="shared" si="12"/>
        <v>8443</v>
      </c>
      <c r="F31" s="352"/>
      <c r="G31" s="191"/>
      <c r="H31" s="202">
        <f t="shared" si="13"/>
        <v>0</v>
      </c>
      <c r="I31" s="352"/>
      <c r="J31" s="191"/>
      <c r="K31" s="200">
        <f t="shared" si="14"/>
        <v>0</v>
      </c>
      <c r="L31" s="36">
        <f t="shared" si="15"/>
        <v>0</v>
      </c>
      <c r="M31" s="20" t="e">
        <f t="shared" si="16"/>
        <v>#DIV/0!</v>
      </c>
      <c r="N31" s="37" t="e">
        <f t="shared" si="18"/>
        <v>#DIV/0!</v>
      </c>
      <c r="O31" s="533">
        <v>2481.2307692307691</v>
      </c>
      <c r="P31" s="14">
        <f t="shared" si="17"/>
        <v>41.756696428571431</v>
      </c>
      <c r="Q31" s="15">
        <f t="shared" si="19"/>
        <v>0</v>
      </c>
    </row>
    <row r="32" spans="2:18" ht="15.75" customHeight="1" x14ac:dyDescent="0.2">
      <c r="B32" s="13" t="s">
        <v>41</v>
      </c>
      <c r="C32" s="296">
        <v>17991</v>
      </c>
      <c r="D32" s="352">
        <v>232</v>
      </c>
      <c r="E32" s="200">
        <f t="shared" si="12"/>
        <v>17759</v>
      </c>
      <c r="F32" s="352"/>
      <c r="G32" s="191"/>
      <c r="H32" s="202">
        <f t="shared" si="13"/>
        <v>0</v>
      </c>
      <c r="I32" s="352"/>
      <c r="J32" s="191"/>
      <c r="K32" s="200">
        <f t="shared" si="14"/>
        <v>0</v>
      </c>
      <c r="L32" s="36">
        <f t="shared" si="15"/>
        <v>0</v>
      </c>
      <c r="M32" s="20" t="e">
        <f t="shared" si="16"/>
        <v>#DIV/0!</v>
      </c>
      <c r="N32" s="37" t="e">
        <f t="shared" si="18"/>
        <v>#DIV/0!</v>
      </c>
      <c r="O32" s="533">
        <v>3225.5999999999995</v>
      </c>
      <c r="P32" s="14">
        <f t="shared" si="17"/>
        <v>66.930803571428584</v>
      </c>
      <c r="Q32" s="15">
        <f t="shared" si="19"/>
        <v>0</v>
      </c>
    </row>
    <row r="33" spans="2:17" ht="15.75" customHeight="1" x14ac:dyDescent="0.2">
      <c r="B33" s="13" t="s">
        <v>42</v>
      </c>
      <c r="C33" s="296">
        <v>15770</v>
      </c>
      <c r="D33" s="352">
        <v>205</v>
      </c>
      <c r="E33" s="200">
        <f t="shared" si="12"/>
        <v>15565</v>
      </c>
      <c r="F33" s="352"/>
      <c r="G33" s="191"/>
      <c r="H33" s="202">
        <f t="shared" si="13"/>
        <v>0</v>
      </c>
      <c r="I33" s="352"/>
      <c r="J33" s="191"/>
      <c r="K33" s="200">
        <f t="shared" si="14"/>
        <v>0</v>
      </c>
      <c r="L33" s="36">
        <f t="shared" si="15"/>
        <v>0</v>
      </c>
      <c r="M33" s="20" t="e">
        <f t="shared" si="16"/>
        <v>#DIV/0!</v>
      </c>
      <c r="N33" s="37" t="e">
        <f t="shared" si="18"/>
        <v>#DIV/0!</v>
      </c>
      <c r="O33" s="533">
        <v>2357.1692307692306</v>
      </c>
      <c r="P33" s="14">
        <f t="shared" si="17"/>
        <v>80.282738095238102</v>
      </c>
      <c r="Q33" s="15">
        <f t="shared" si="19"/>
        <v>0</v>
      </c>
    </row>
    <row r="34" spans="2:17" ht="15.75" customHeight="1" x14ac:dyDescent="0.2">
      <c r="B34" s="13" t="s">
        <v>43</v>
      </c>
      <c r="C34" s="296">
        <v>26656</v>
      </c>
      <c r="D34" s="352">
        <v>212</v>
      </c>
      <c r="E34" s="200">
        <f t="shared" si="12"/>
        <v>26444</v>
      </c>
      <c r="F34" s="352"/>
      <c r="G34" s="191"/>
      <c r="H34" s="202">
        <f t="shared" si="13"/>
        <v>0</v>
      </c>
      <c r="I34" s="352"/>
      <c r="J34" s="191"/>
      <c r="K34" s="200">
        <f t="shared" si="14"/>
        <v>0</v>
      </c>
      <c r="L34" s="36">
        <f t="shared" si="15"/>
        <v>0</v>
      </c>
      <c r="M34" s="20" t="e">
        <f t="shared" si="16"/>
        <v>#DIV/0!</v>
      </c>
      <c r="N34" s="37" t="e">
        <f t="shared" si="18"/>
        <v>#DIV/0!</v>
      </c>
      <c r="O34" s="533">
        <v>2605.292307692308</v>
      </c>
      <c r="P34" s="14">
        <f t="shared" si="17"/>
        <v>122.77777777777777</v>
      </c>
      <c r="Q34" s="15">
        <f t="shared" si="19"/>
        <v>0</v>
      </c>
    </row>
    <row r="35" spans="2:17" ht="15.75" customHeight="1" x14ac:dyDescent="0.2">
      <c r="B35" s="13" t="s">
        <v>44</v>
      </c>
      <c r="C35" s="296">
        <v>21100</v>
      </c>
      <c r="D35" s="352">
        <v>188</v>
      </c>
      <c r="E35" s="200">
        <f t="shared" si="12"/>
        <v>20912</v>
      </c>
      <c r="F35" s="352"/>
      <c r="G35" s="191"/>
      <c r="H35" s="202">
        <f t="shared" si="13"/>
        <v>0</v>
      </c>
      <c r="I35" s="352"/>
      <c r="J35" s="191"/>
      <c r="K35" s="200">
        <f t="shared" si="14"/>
        <v>0</v>
      </c>
      <c r="L35" s="36">
        <f t="shared" si="15"/>
        <v>0</v>
      </c>
      <c r="M35" s="20" t="e">
        <f t="shared" si="16"/>
        <v>#DIV/0!</v>
      </c>
      <c r="N35" s="37" t="e">
        <f t="shared" si="18"/>
        <v>#DIV/0!</v>
      </c>
      <c r="O35" s="533">
        <v>2357.1692307692306</v>
      </c>
      <c r="P35" s="14">
        <f t="shared" si="17"/>
        <v>107.41697994987469</v>
      </c>
      <c r="Q35" s="15">
        <f t="shared" si="19"/>
        <v>0</v>
      </c>
    </row>
    <row r="36" spans="2:17" ht="15.75" customHeight="1" x14ac:dyDescent="0.2">
      <c r="B36" s="13" t="s">
        <v>45</v>
      </c>
      <c r="C36" s="296">
        <v>17977</v>
      </c>
      <c r="D36" s="352">
        <v>228</v>
      </c>
      <c r="E36" s="200">
        <f t="shared" si="12"/>
        <v>17749</v>
      </c>
      <c r="F36" s="352"/>
      <c r="G36" s="191"/>
      <c r="H36" s="202">
        <f t="shared" si="13"/>
        <v>0</v>
      </c>
      <c r="I36" s="352"/>
      <c r="J36" s="191"/>
      <c r="K36" s="200">
        <f t="shared" si="14"/>
        <v>0</v>
      </c>
      <c r="L36" s="36">
        <f t="shared" si="15"/>
        <v>0</v>
      </c>
      <c r="M36" s="20" t="e">
        <f t="shared" si="16"/>
        <v>#DIV/0!</v>
      </c>
      <c r="N36" s="37" t="e">
        <f t="shared" si="18"/>
        <v>#DIV/0!</v>
      </c>
      <c r="O36" s="533">
        <v>2481</v>
      </c>
      <c r="P36" s="14">
        <f t="shared" si="17"/>
        <v>86.950423216444989</v>
      </c>
      <c r="Q36" s="15">
        <f t="shared" si="19"/>
        <v>0</v>
      </c>
    </row>
    <row r="37" spans="2:17" ht="15.75" customHeight="1" x14ac:dyDescent="0.2">
      <c r="B37" s="13" t="s">
        <v>46</v>
      </c>
      <c r="C37" s="296">
        <v>62493</v>
      </c>
      <c r="D37" s="352">
        <v>324</v>
      </c>
      <c r="E37" s="200">
        <f t="shared" si="12"/>
        <v>62169</v>
      </c>
      <c r="F37" s="352"/>
      <c r="G37" s="191"/>
      <c r="H37" s="202">
        <f t="shared" si="13"/>
        <v>0</v>
      </c>
      <c r="I37" s="352"/>
      <c r="J37" s="191"/>
      <c r="K37" s="200">
        <f t="shared" si="14"/>
        <v>0</v>
      </c>
      <c r="L37" s="36">
        <f t="shared" si="15"/>
        <v>0</v>
      </c>
      <c r="M37" s="20" t="e">
        <f t="shared" si="16"/>
        <v>#DIV/0!</v>
      </c>
      <c r="N37" s="37" t="e">
        <f t="shared" si="18"/>
        <v>#DIV/0!</v>
      </c>
      <c r="O37" s="533">
        <v>7178.4</v>
      </c>
      <c r="P37" s="14">
        <f t="shared" si="17"/>
        <v>104.46840521564695</v>
      </c>
      <c r="Q37" s="15">
        <f t="shared" si="19"/>
        <v>0</v>
      </c>
    </row>
    <row r="38" spans="2:17" ht="15.75" customHeight="1" x14ac:dyDescent="0.2">
      <c r="B38" s="13" t="s">
        <v>47</v>
      </c>
      <c r="C38" s="296">
        <v>38339</v>
      </c>
      <c r="D38" s="352">
        <v>299</v>
      </c>
      <c r="E38" s="200">
        <f t="shared" si="12"/>
        <v>38040</v>
      </c>
      <c r="F38" s="352"/>
      <c r="G38" s="191"/>
      <c r="H38" s="202">
        <f t="shared" si="13"/>
        <v>0</v>
      </c>
      <c r="I38" s="352"/>
      <c r="J38" s="191"/>
      <c r="K38" s="200">
        <f t="shared" si="14"/>
        <v>0</v>
      </c>
      <c r="L38" s="36">
        <f t="shared" si="15"/>
        <v>0</v>
      </c>
      <c r="M38" s="20" t="e">
        <f t="shared" si="16"/>
        <v>#DIV/0!</v>
      </c>
      <c r="N38" s="37" t="e">
        <f t="shared" si="18"/>
        <v>#DIV/0!</v>
      </c>
      <c r="O38" s="533">
        <v>4962.461538461539</v>
      </c>
      <c r="P38" s="14">
        <f t="shared" si="17"/>
        <v>92.709635416666657</v>
      </c>
      <c r="Q38" s="15">
        <f t="shared" si="19"/>
        <v>0</v>
      </c>
    </row>
    <row r="39" spans="2:17" ht="15.75" customHeight="1" x14ac:dyDescent="0.2">
      <c r="B39" s="13" t="s">
        <v>48</v>
      </c>
      <c r="C39" s="296">
        <v>9292</v>
      </c>
      <c r="D39" s="352">
        <v>190</v>
      </c>
      <c r="E39" s="200">
        <f t="shared" si="12"/>
        <v>9102</v>
      </c>
      <c r="F39" s="352"/>
      <c r="G39" s="191"/>
      <c r="H39" s="202">
        <f t="shared" si="13"/>
        <v>0</v>
      </c>
      <c r="I39" s="352"/>
      <c r="J39" s="191"/>
      <c r="K39" s="200">
        <f t="shared" si="14"/>
        <v>0</v>
      </c>
      <c r="L39" s="36">
        <f t="shared" si="15"/>
        <v>0</v>
      </c>
      <c r="M39" s="20" t="e">
        <f t="shared" si="16"/>
        <v>#DIV/0!</v>
      </c>
      <c r="N39" s="37" t="e">
        <f t="shared" si="18"/>
        <v>#DIV/0!</v>
      </c>
      <c r="O39" s="533">
        <v>1736.8615384615382</v>
      </c>
      <c r="P39" s="14">
        <f t="shared" si="17"/>
        <v>64.198554421768705</v>
      </c>
      <c r="Q39" s="15">
        <f t="shared" si="19"/>
        <v>0</v>
      </c>
    </row>
    <row r="40" spans="2:17" ht="15.75" customHeight="1" x14ac:dyDescent="0.2">
      <c r="B40" s="13" t="s">
        <v>49</v>
      </c>
      <c r="C40" s="296">
        <v>37849</v>
      </c>
      <c r="D40" s="352">
        <v>205</v>
      </c>
      <c r="E40" s="200">
        <f t="shared" si="12"/>
        <v>37644</v>
      </c>
      <c r="F40" s="352"/>
      <c r="G40" s="191"/>
      <c r="H40" s="202">
        <f t="shared" si="13"/>
        <v>0</v>
      </c>
      <c r="I40" s="352"/>
      <c r="J40" s="191"/>
      <c r="K40" s="200">
        <f t="shared" si="14"/>
        <v>0</v>
      </c>
      <c r="L40" s="36">
        <f t="shared" si="15"/>
        <v>0</v>
      </c>
      <c r="M40" s="20" t="e">
        <f t="shared" si="16"/>
        <v>#DIV/0!</v>
      </c>
      <c r="N40" s="37" t="e">
        <f t="shared" si="18"/>
        <v>#DIV/0!</v>
      </c>
      <c r="O40" s="533">
        <v>5024.4923076923069</v>
      </c>
      <c r="P40" s="14">
        <f t="shared" si="17"/>
        <v>90.394804526748985</v>
      </c>
      <c r="Q40" s="15">
        <f t="shared" si="19"/>
        <v>0</v>
      </c>
    </row>
    <row r="41" spans="2:17" ht="15.75" customHeight="1" x14ac:dyDescent="0.2">
      <c r="B41" s="13" t="s">
        <v>50</v>
      </c>
      <c r="C41" s="296">
        <v>20814</v>
      </c>
      <c r="D41" s="352">
        <v>213</v>
      </c>
      <c r="E41" s="200">
        <f t="shared" si="12"/>
        <v>20601</v>
      </c>
      <c r="F41" s="352"/>
      <c r="G41" s="191"/>
      <c r="H41" s="202">
        <f t="shared" si="13"/>
        <v>0</v>
      </c>
      <c r="I41" s="352"/>
      <c r="J41" s="191"/>
      <c r="K41" s="200">
        <f t="shared" si="14"/>
        <v>0</v>
      </c>
      <c r="L41" s="36">
        <f t="shared" si="15"/>
        <v>0</v>
      </c>
      <c r="M41" s="20" t="e">
        <f t="shared" si="16"/>
        <v>#DIV/0!</v>
      </c>
      <c r="N41" s="37" t="e">
        <f t="shared" si="18"/>
        <v>#DIV/0!</v>
      </c>
      <c r="O41" s="533">
        <v>2667</v>
      </c>
      <c r="P41" s="14">
        <f t="shared" si="17"/>
        <v>93.651293588301456</v>
      </c>
      <c r="Q41" s="15">
        <f t="shared" si="19"/>
        <v>0</v>
      </c>
    </row>
    <row r="42" spans="2:17" ht="15.75" customHeight="1" x14ac:dyDescent="0.2">
      <c r="B42" s="13" t="s">
        <v>51</v>
      </c>
      <c r="C42" s="296">
        <v>52050</v>
      </c>
      <c r="D42" s="352">
        <v>310</v>
      </c>
      <c r="E42" s="200">
        <f t="shared" si="12"/>
        <v>51740</v>
      </c>
      <c r="F42" s="352"/>
      <c r="G42" s="191"/>
      <c r="H42" s="202">
        <f t="shared" si="13"/>
        <v>0</v>
      </c>
      <c r="I42" s="352"/>
      <c r="J42" s="191"/>
      <c r="K42" s="200">
        <f t="shared" si="14"/>
        <v>0</v>
      </c>
      <c r="L42" s="36">
        <f t="shared" si="15"/>
        <v>0</v>
      </c>
      <c r="M42" s="20" t="e">
        <f t="shared" si="16"/>
        <v>#DIV/0!</v>
      </c>
      <c r="N42" s="37" t="e">
        <f t="shared" si="18"/>
        <v>#DIV/0!</v>
      </c>
      <c r="O42" s="533">
        <v>8436.1846153846163</v>
      </c>
      <c r="P42" s="14">
        <f t="shared" si="17"/>
        <v>74.038209033613441</v>
      </c>
      <c r="Q42" s="15">
        <f t="shared" si="19"/>
        <v>0</v>
      </c>
    </row>
    <row r="43" spans="2:17" ht="15.75" customHeight="1" x14ac:dyDescent="0.2">
      <c r="B43" s="13" t="s">
        <v>52</v>
      </c>
      <c r="C43" s="296">
        <v>45391</v>
      </c>
      <c r="D43" s="352">
        <v>281</v>
      </c>
      <c r="E43" s="200">
        <f t="shared" si="12"/>
        <v>45110</v>
      </c>
      <c r="F43" s="352"/>
      <c r="G43" s="191"/>
      <c r="H43" s="202">
        <f t="shared" si="13"/>
        <v>0</v>
      </c>
      <c r="I43" s="352"/>
      <c r="J43" s="191"/>
      <c r="K43" s="200">
        <f t="shared" si="14"/>
        <v>0</v>
      </c>
      <c r="L43" s="36">
        <f t="shared" si="15"/>
        <v>0</v>
      </c>
      <c r="M43" s="20" t="e">
        <f t="shared" si="16"/>
        <v>#DIV/0!</v>
      </c>
      <c r="N43" s="37" t="e">
        <f t="shared" si="18"/>
        <v>#DIV/0!</v>
      </c>
      <c r="O43" s="533">
        <v>4838.3999999999996</v>
      </c>
      <c r="P43" s="14">
        <f t="shared" si="17"/>
        <v>112.57688492063494</v>
      </c>
      <c r="Q43" s="15">
        <f t="shared" si="19"/>
        <v>0</v>
      </c>
    </row>
    <row r="44" spans="2:17" ht="15.75" customHeight="1" x14ac:dyDescent="0.2">
      <c r="B44" s="13" t="s">
        <v>53</v>
      </c>
      <c r="C44" s="296">
        <v>73693</v>
      </c>
      <c r="D44" s="352">
        <v>284</v>
      </c>
      <c r="E44" s="200">
        <f t="shared" si="12"/>
        <v>73409</v>
      </c>
      <c r="F44" s="352"/>
      <c r="G44" s="191"/>
      <c r="H44" s="202">
        <f t="shared" si="13"/>
        <v>0</v>
      </c>
      <c r="I44" s="352"/>
      <c r="J44" s="191"/>
      <c r="K44" s="200">
        <f t="shared" si="14"/>
        <v>0</v>
      </c>
      <c r="L44" s="36">
        <f t="shared" si="15"/>
        <v>0</v>
      </c>
      <c r="M44" s="20" t="e">
        <f t="shared" si="16"/>
        <v>#DIV/0!</v>
      </c>
      <c r="N44" s="37" t="e">
        <f t="shared" si="18"/>
        <v>#DIV/0!</v>
      </c>
      <c r="O44" s="533">
        <v>7257.3692307692309</v>
      </c>
      <c r="P44" s="14">
        <f t="shared" si="17"/>
        <v>121.85076601184154</v>
      </c>
      <c r="Q44" s="15">
        <f t="shared" si="19"/>
        <v>0</v>
      </c>
    </row>
    <row r="45" spans="2:17" ht="15.75" customHeight="1" x14ac:dyDescent="0.2">
      <c r="B45" s="13" t="s">
        <v>54</v>
      </c>
      <c r="C45" s="296">
        <v>37705</v>
      </c>
      <c r="D45" s="352">
        <v>267</v>
      </c>
      <c r="E45" s="200">
        <f t="shared" si="12"/>
        <v>37438</v>
      </c>
      <c r="F45" s="352"/>
      <c r="G45" s="191"/>
      <c r="H45" s="202">
        <f t="shared" si="13"/>
        <v>0</v>
      </c>
      <c r="I45" s="352"/>
      <c r="J45" s="191"/>
      <c r="K45" s="200">
        <f t="shared" si="14"/>
        <v>0</v>
      </c>
      <c r="L45" s="36">
        <f t="shared" si="15"/>
        <v>0</v>
      </c>
      <c r="M45" s="20" t="e">
        <f t="shared" si="16"/>
        <v>#DIV/0!</v>
      </c>
      <c r="N45" s="37" t="e">
        <f t="shared" si="18"/>
        <v>#DIV/0!</v>
      </c>
      <c r="O45" s="533">
        <v>4651.9846153846156</v>
      </c>
      <c r="P45" s="14">
        <f t="shared" si="17"/>
        <v>97.261714603196651</v>
      </c>
      <c r="Q45" s="15">
        <f t="shared" si="19"/>
        <v>0</v>
      </c>
    </row>
    <row r="46" spans="2:17" ht="15.75" customHeight="1" x14ac:dyDescent="0.2">
      <c r="B46" s="13" t="s">
        <v>55</v>
      </c>
      <c r="C46" s="296">
        <v>29626</v>
      </c>
      <c r="D46" s="352">
        <v>294</v>
      </c>
      <c r="E46" s="200">
        <f t="shared" si="12"/>
        <v>29332</v>
      </c>
      <c r="F46" s="352"/>
      <c r="G46" s="191"/>
      <c r="H46" s="202">
        <f t="shared" si="13"/>
        <v>0</v>
      </c>
      <c r="I46" s="352"/>
      <c r="J46" s="191"/>
      <c r="K46" s="200">
        <f t="shared" si="14"/>
        <v>0</v>
      </c>
      <c r="L46" s="36">
        <f t="shared" si="15"/>
        <v>0</v>
      </c>
      <c r="M46" s="20" t="e">
        <f t="shared" si="16"/>
        <v>#DIV/0!</v>
      </c>
      <c r="N46" s="37" t="e">
        <f t="shared" si="18"/>
        <v>#DIV/0!</v>
      </c>
      <c r="O46" s="533">
        <v>5086.5230769230766</v>
      </c>
      <c r="P46" s="14">
        <f t="shared" si="17"/>
        <v>69.892929732868765</v>
      </c>
      <c r="Q46" s="15">
        <f t="shared" si="19"/>
        <v>0</v>
      </c>
    </row>
    <row r="47" spans="2:17" ht="15.75" customHeight="1" x14ac:dyDescent="0.2">
      <c r="B47" s="13" t="s">
        <v>56</v>
      </c>
      <c r="C47" s="296">
        <v>14499</v>
      </c>
      <c r="D47" s="352">
        <v>112</v>
      </c>
      <c r="E47" s="200">
        <f t="shared" si="12"/>
        <v>14387</v>
      </c>
      <c r="F47" s="352"/>
      <c r="G47" s="191"/>
      <c r="H47" s="202">
        <f t="shared" si="13"/>
        <v>0</v>
      </c>
      <c r="I47" s="352"/>
      <c r="J47" s="191"/>
      <c r="K47" s="200">
        <f t="shared" si="14"/>
        <v>0</v>
      </c>
      <c r="L47" s="36">
        <f t="shared" si="15"/>
        <v>0</v>
      </c>
      <c r="M47" s="20" t="e">
        <f t="shared" si="16"/>
        <v>#DIV/0!</v>
      </c>
      <c r="N47" s="37" t="e">
        <f t="shared" si="18"/>
        <v>#DIV/0!</v>
      </c>
      <c r="O47" s="533">
        <v>2481.2307692307691</v>
      </c>
      <c r="P47" s="14">
        <f t="shared" si="17"/>
        <v>70.121651785714292</v>
      </c>
      <c r="Q47" s="15">
        <f t="shared" si="19"/>
        <v>0</v>
      </c>
    </row>
    <row r="48" spans="2:17" ht="15.75" customHeight="1" x14ac:dyDescent="0.2">
      <c r="B48" s="13" t="s">
        <v>57</v>
      </c>
      <c r="C48" s="296">
        <v>9390</v>
      </c>
      <c r="D48" s="352">
        <v>136</v>
      </c>
      <c r="E48" s="200">
        <f t="shared" si="12"/>
        <v>9254</v>
      </c>
      <c r="F48" s="352"/>
      <c r="G48" s="191"/>
      <c r="H48" s="202">
        <f t="shared" si="13"/>
        <v>0</v>
      </c>
      <c r="I48" s="352"/>
      <c r="J48" s="191"/>
      <c r="K48" s="200">
        <f t="shared" si="14"/>
        <v>0</v>
      </c>
      <c r="L48" s="36">
        <f t="shared" si="15"/>
        <v>0</v>
      </c>
      <c r="M48" s="20" t="e">
        <f t="shared" si="16"/>
        <v>#DIV/0!</v>
      </c>
      <c r="N48" s="37" t="e">
        <f t="shared" si="18"/>
        <v>#DIV/0!</v>
      </c>
      <c r="O48" s="533">
        <v>2481.2307692307691</v>
      </c>
      <c r="P48" s="14">
        <f t="shared" si="17"/>
        <v>45.412946428571431</v>
      </c>
      <c r="Q48" s="15">
        <f t="shared" si="19"/>
        <v>0</v>
      </c>
    </row>
    <row r="49" spans="1:17" ht="15.75" customHeight="1" x14ac:dyDescent="0.2">
      <c r="B49" s="13" t="s">
        <v>58</v>
      </c>
      <c r="C49" s="296">
        <v>53994</v>
      </c>
      <c r="D49" s="352">
        <v>238</v>
      </c>
      <c r="E49" s="200">
        <f t="shared" si="12"/>
        <v>53756</v>
      </c>
      <c r="F49" s="352"/>
      <c r="G49" s="191"/>
      <c r="H49" s="202">
        <f t="shared" si="13"/>
        <v>0</v>
      </c>
      <c r="I49" s="352"/>
      <c r="J49" s="191"/>
      <c r="K49" s="200">
        <f t="shared" si="14"/>
        <v>0</v>
      </c>
      <c r="L49" s="36">
        <f t="shared" si="15"/>
        <v>0</v>
      </c>
      <c r="M49" s="20" t="e">
        <f t="shared" si="16"/>
        <v>#DIV/0!</v>
      </c>
      <c r="N49" s="37" t="e">
        <f t="shared" si="18"/>
        <v>#DIV/0!</v>
      </c>
      <c r="O49" s="533">
        <v>7948.5538461538463</v>
      </c>
      <c r="P49" s="14">
        <f t="shared" si="17"/>
        <v>81.515205475209811</v>
      </c>
      <c r="Q49" s="15">
        <f t="shared" si="19"/>
        <v>0</v>
      </c>
    </row>
    <row r="50" spans="1:17" ht="15.75" customHeight="1" x14ac:dyDescent="0.2">
      <c r="B50" s="13" t="s">
        <v>59</v>
      </c>
      <c r="C50" s="296">
        <v>17527</v>
      </c>
      <c r="D50" s="352">
        <v>177</v>
      </c>
      <c r="E50" s="200">
        <f t="shared" si="12"/>
        <v>17350</v>
      </c>
      <c r="F50" s="352"/>
      <c r="G50" s="191"/>
      <c r="H50" s="202">
        <f t="shared" si="13"/>
        <v>0</v>
      </c>
      <c r="I50" s="352"/>
      <c r="J50" s="191"/>
      <c r="K50" s="200">
        <f t="shared" si="14"/>
        <v>0</v>
      </c>
      <c r="L50" s="36">
        <f t="shared" si="15"/>
        <v>0</v>
      </c>
      <c r="M50" s="20" t="e">
        <f t="shared" si="16"/>
        <v>#DIV/0!</v>
      </c>
      <c r="N50" s="37" t="e">
        <f t="shared" si="18"/>
        <v>#DIV/0!</v>
      </c>
      <c r="O50" s="533">
        <v>2481.2307692307691</v>
      </c>
      <c r="P50" s="14">
        <f t="shared" si="17"/>
        <v>84.765997023809518</v>
      </c>
      <c r="Q50" s="15">
        <f t="shared" si="19"/>
        <v>0</v>
      </c>
    </row>
    <row r="51" spans="1:17" ht="15.75" customHeight="1" x14ac:dyDescent="0.2">
      <c r="B51" s="13" t="s">
        <v>60</v>
      </c>
      <c r="C51" s="296">
        <v>37555</v>
      </c>
      <c r="D51" s="352">
        <v>273</v>
      </c>
      <c r="E51" s="200">
        <f t="shared" si="12"/>
        <v>37282</v>
      </c>
      <c r="F51" s="352"/>
      <c r="G51" s="191"/>
      <c r="H51" s="202">
        <f t="shared" si="13"/>
        <v>0</v>
      </c>
      <c r="I51" s="352"/>
      <c r="J51" s="191"/>
      <c r="K51" s="200">
        <f t="shared" si="14"/>
        <v>0</v>
      </c>
      <c r="L51" s="36">
        <f t="shared" si="15"/>
        <v>0</v>
      </c>
      <c r="M51" s="20" t="e">
        <f t="shared" si="16"/>
        <v>#DIV/0!</v>
      </c>
      <c r="N51" s="37" t="e">
        <f t="shared" si="18"/>
        <v>#DIV/0!</v>
      </c>
      <c r="O51" s="533">
        <v>5210.584615384616</v>
      </c>
      <c r="P51" s="14">
        <f t="shared" si="17"/>
        <v>86.489335317460302</v>
      </c>
      <c r="Q51" s="15">
        <f t="shared" si="19"/>
        <v>0</v>
      </c>
    </row>
    <row r="52" spans="1:17" ht="15.75" customHeight="1" x14ac:dyDescent="0.2">
      <c r="B52" s="13" t="s">
        <v>61</v>
      </c>
      <c r="C52" s="296">
        <v>16409</v>
      </c>
      <c r="D52" s="352">
        <v>230</v>
      </c>
      <c r="E52" s="200">
        <f t="shared" si="12"/>
        <v>16179</v>
      </c>
      <c r="F52" s="352"/>
      <c r="G52" s="191"/>
      <c r="H52" s="202">
        <f t="shared" si="13"/>
        <v>0</v>
      </c>
      <c r="I52" s="352"/>
      <c r="J52" s="191"/>
      <c r="K52" s="200">
        <f t="shared" si="14"/>
        <v>0</v>
      </c>
      <c r="L52" s="36">
        <f t="shared" si="15"/>
        <v>0</v>
      </c>
      <c r="M52" s="20" t="e">
        <f t="shared" si="16"/>
        <v>#DIV/0!</v>
      </c>
      <c r="N52" s="37" t="e">
        <f t="shared" si="18"/>
        <v>#DIV/0!</v>
      </c>
      <c r="O52" s="533">
        <v>2481.2307692307695</v>
      </c>
      <c r="P52" s="14">
        <f t="shared" si="17"/>
        <v>79.359002976190467</v>
      </c>
      <c r="Q52" s="15">
        <f t="shared" si="19"/>
        <v>0</v>
      </c>
    </row>
    <row r="53" spans="1:17" ht="15.75" customHeight="1" x14ac:dyDescent="0.2">
      <c r="B53" s="13" t="s">
        <v>62</v>
      </c>
      <c r="C53" s="296">
        <v>32687</v>
      </c>
      <c r="D53" s="352">
        <v>302</v>
      </c>
      <c r="E53" s="200">
        <f t="shared" si="12"/>
        <v>32385</v>
      </c>
      <c r="F53" s="352"/>
      <c r="G53" s="191"/>
      <c r="H53" s="202">
        <f t="shared" si="13"/>
        <v>0</v>
      </c>
      <c r="I53" s="352"/>
      <c r="J53" s="191"/>
      <c r="K53" s="200">
        <f t="shared" si="14"/>
        <v>0</v>
      </c>
      <c r="L53" s="36">
        <f t="shared" si="15"/>
        <v>0</v>
      </c>
      <c r="M53" s="20" t="e">
        <f t="shared" si="16"/>
        <v>#DIV/0!</v>
      </c>
      <c r="N53" s="37" t="e">
        <f t="shared" si="18"/>
        <v>#DIV/0!</v>
      </c>
      <c r="O53" s="533">
        <v>2605.292307692308</v>
      </c>
      <c r="P53" s="14">
        <f t="shared" si="17"/>
        <v>150.5566184807256</v>
      </c>
      <c r="Q53" s="15">
        <f t="shared" si="19"/>
        <v>0</v>
      </c>
    </row>
    <row r="54" spans="1:17" ht="15.75" customHeight="1" x14ac:dyDescent="0.2">
      <c r="B54" s="13" t="s">
        <v>63</v>
      </c>
      <c r="C54" s="296">
        <v>14719</v>
      </c>
      <c r="D54" s="352">
        <v>84</v>
      </c>
      <c r="E54" s="200">
        <f t="shared" si="12"/>
        <v>14635</v>
      </c>
      <c r="F54" s="352"/>
      <c r="G54" s="191"/>
      <c r="H54" s="202">
        <f t="shared" si="13"/>
        <v>0</v>
      </c>
      <c r="I54" s="352"/>
      <c r="J54" s="191"/>
      <c r="K54" s="200">
        <f t="shared" si="14"/>
        <v>0</v>
      </c>
      <c r="L54" s="36">
        <f t="shared" si="15"/>
        <v>0</v>
      </c>
      <c r="M54" s="20" t="e">
        <f t="shared" si="16"/>
        <v>#DIV/0!</v>
      </c>
      <c r="N54" s="37" t="e">
        <f t="shared" si="18"/>
        <v>#DIV/0!</v>
      </c>
      <c r="O54" s="533">
        <v>2481.2307692307691</v>
      </c>
      <c r="P54" s="14">
        <f t="shared" si="17"/>
        <v>71.185639880952394</v>
      </c>
      <c r="Q54" s="15">
        <f t="shared" si="19"/>
        <v>0</v>
      </c>
    </row>
    <row r="55" spans="1:17" ht="15.75" customHeight="1" x14ac:dyDescent="0.2">
      <c r="B55" s="13" t="s">
        <v>65</v>
      </c>
      <c r="C55" s="296">
        <v>17096</v>
      </c>
      <c r="D55" s="352">
        <v>208</v>
      </c>
      <c r="E55" s="200">
        <f t="shared" si="12"/>
        <v>16888</v>
      </c>
      <c r="F55" s="352"/>
      <c r="G55" s="353"/>
      <c r="H55" s="202">
        <f t="shared" si="13"/>
        <v>0</v>
      </c>
      <c r="I55" s="352"/>
      <c r="J55" s="191"/>
      <c r="K55" s="200">
        <f t="shared" si="14"/>
        <v>0</v>
      </c>
      <c r="L55" s="36">
        <f t="shared" si="15"/>
        <v>0</v>
      </c>
      <c r="M55" s="20" t="e">
        <f t="shared" si="16"/>
        <v>#DIV/0!</v>
      </c>
      <c r="N55" s="37" t="e">
        <f t="shared" si="18"/>
        <v>#DIV/0!</v>
      </c>
      <c r="O55" s="533">
        <v>2740</v>
      </c>
      <c r="P55" s="14">
        <f t="shared" si="17"/>
        <v>74.872992700729924</v>
      </c>
      <c r="Q55" s="15">
        <f t="shared" si="19"/>
        <v>0</v>
      </c>
    </row>
    <row r="56" spans="1:17" ht="15.75" customHeight="1" x14ac:dyDescent="0.2">
      <c r="B56" s="388" t="s">
        <v>180</v>
      </c>
      <c r="C56" s="296"/>
      <c r="D56" s="352"/>
      <c r="E56" s="200">
        <f t="shared" si="12"/>
        <v>0</v>
      </c>
      <c r="F56" s="14"/>
      <c r="G56" s="353"/>
      <c r="H56" s="202">
        <f t="shared" si="13"/>
        <v>0</v>
      </c>
      <c r="I56" s="14"/>
      <c r="J56" s="191"/>
      <c r="K56" s="200">
        <f t="shared" si="14"/>
        <v>0</v>
      </c>
      <c r="L56" s="36" t="e">
        <f t="shared" si="15"/>
        <v>#DIV/0!</v>
      </c>
      <c r="M56" s="20" t="e">
        <f t="shared" si="16"/>
        <v>#DIV/0!</v>
      </c>
      <c r="N56" s="37" t="e">
        <f t="shared" si="18"/>
        <v>#DIV/0!</v>
      </c>
      <c r="O56" s="533">
        <v>2357</v>
      </c>
      <c r="P56" s="14">
        <f t="shared" si="17"/>
        <v>0</v>
      </c>
      <c r="Q56" s="15">
        <f t="shared" si="19"/>
        <v>0</v>
      </c>
    </row>
    <row r="57" spans="1:17" ht="15.75" customHeight="1" thickBot="1" x14ac:dyDescent="0.25">
      <c r="B57" s="490" t="s">
        <v>35</v>
      </c>
      <c r="C57" s="491">
        <f>SUM(C29:C56)</f>
        <v>788564</v>
      </c>
      <c r="D57" s="491">
        <f t="shared" ref="D57:K57" si="20">SUM(D29:D56)</f>
        <v>6104</v>
      </c>
      <c r="E57" s="491">
        <f t="shared" si="20"/>
        <v>782460</v>
      </c>
      <c r="F57" s="491">
        <f t="shared" si="20"/>
        <v>0</v>
      </c>
      <c r="G57" s="491">
        <f t="shared" si="20"/>
        <v>0</v>
      </c>
      <c r="H57" s="491">
        <f t="shared" si="20"/>
        <v>0</v>
      </c>
      <c r="I57" s="491">
        <f t="shared" si="20"/>
        <v>0</v>
      </c>
      <c r="J57" s="491">
        <f t="shared" si="20"/>
        <v>0</v>
      </c>
      <c r="K57" s="491">
        <f t="shared" si="20"/>
        <v>0</v>
      </c>
      <c r="L57" s="484">
        <f t="shared" si="15"/>
        <v>0</v>
      </c>
      <c r="M57" s="483" t="e">
        <f t="shared" si="16"/>
        <v>#DIV/0!</v>
      </c>
      <c r="N57" s="492" t="e">
        <f>M57/129.8194</f>
        <v>#DIV/0!</v>
      </c>
      <c r="O57" s="575">
        <f>SUM(O29:O56)</f>
        <v>109423.09230769231</v>
      </c>
      <c r="P57" s="493">
        <f>(C57/O57)*12</f>
        <v>86.478711215646939</v>
      </c>
      <c r="Q57" s="494">
        <f>(K57*12/O57)/129.8194</f>
        <v>0</v>
      </c>
    </row>
    <row r="58" spans="1:17" ht="17.25" customHeight="1" thickTop="1" thickBot="1" x14ac:dyDescent="0.25">
      <c r="B58" s="26" t="s">
        <v>36</v>
      </c>
      <c r="C58" s="42"/>
      <c r="D58" s="28">
        <f>D57/C57</f>
        <v>7.7406526293363632E-3</v>
      </c>
      <c r="E58" s="28">
        <f>E57/C57</f>
        <v>0.99225934737066368</v>
      </c>
      <c r="F58" s="30"/>
      <c r="G58" s="30"/>
      <c r="H58" s="30"/>
      <c r="I58" s="30"/>
      <c r="J58" s="30"/>
      <c r="K58" s="30"/>
      <c r="L58" s="32"/>
      <c r="M58" s="30"/>
      <c r="N58" s="43"/>
      <c r="O58" s="534"/>
      <c r="P58" s="34"/>
      <c r="Q58" s="34"/>
    </row>
    <row r="59" spans="1:17" ht="18.75" customHeight="1" thickTop="1" x14ac:dyDescent="0.2">
      <c r="I59" s="44"/>
      <c r="M59" s="45"/>
      <c r="N59" s="46"/>
      <c r="O59" s="535"/>
    </row>
    <row r="60" spans="1:17" s="48" customFormat="1" ht="15" customHeight="1" thickBot="1" x14ac:dyDescent="0.25">
      <c r="B60" s="49" t="s">
        <v>68</v>
      </c>
      <c r="C60" s="52">
        <f t="shared" ref="C60:K60" si="21">C26+C57</f>
        <v>2093840</v>
      </c>
      <c r="D60" s="334">
        <f t="shared" si="21"/>
        <v>10579</v>
      </c>
      <c r="E60" s="23">
        <f t="shared" si="21"/>
        <v>2083261</v>
      </c>
      <c r="F60" s="52">
        <f t="shared" si="21"/>
        <v>0</v>
      </c>
      <c r="G60" s="52">
        <f t="shared" si="21"/>
        <v>0</v>
      </c>
      <c r="H60" s="52">
        <f t="shared" si="21"/>
        <v>0</v>
      </c>
      <c r="I60" s="52">
        <f t="shared" si="21"/>
        <v>0</v>
      </c>
      <c r="J60" s="52">
        <f t="shared" si="21"/>
        <v>0</v>
      </c>
      <c r="K60" s="52">
        <f t="shared" si="21"/>
        <v>0</v>
      </c>
      <c r="L60" s="471">
        <f>F60/(E60)</f>
        <v>0</v>
      </c>
      <c r="M60" s="53" t="e">
        <f>I60/F60</f>
        <v>#DIV/0!</v>
      </c>
      <c r="N60" s="212" t="e">
        <f>M60/129.8194</f>
        <v>#DIV/0!</v>
      </c>
      <c r="O60" s="536">
        <f>O57+O26</f>
        <v>198311.6556153846</v>
      </c>
      <c r="P60" s="477">
        <f>(C60/O60)*12</f>
        <v>126.6999658796191</v>
      </c>
      <c r="Q60" s="473">
        <f>(K60*12/O60)/129.8194</f>
        <v>0</v>
      </c>
    </row>
    <row r="61" spans="1:17" ht="16.5" customHeight="1" thickTop="1" thickBot="1" x14ac:dyDescent="0.25">
      <c r="B61" s="26" t="s">
        <v>36</v>
      </c>
      <c r="C61" s="546"/>
      <c r="D61" s="547">
        <f>D60/C60</f>
        <v>5.0524395369273677E-3</v>
      </c>
      <c r="E61" s="547">
        <f>E60/C60</f>
        <v>0.99494756046307264</v>
      </c>
      <c r="G61" s="56"/>
      <c r="N61" s="46"/>
    </row>
    <row r="62" spans="1:17" ht="16.5" customHeight="1" thickTop="1" x14ac:dyDescent="0.2">
      <c r="F62" s="604"/>
      <c r="G62" s="153"/>
      <c r="H62" s="45"/>
      <c r="O62" s="538"/>
    </row>
    <row r="63" spans="1:17" s="16" customFormat="1" ht="15" customHeight="1" x14ac:dyDescent="0.25">
      <c r="B63" s="48" t="s">
        <v>69</v>
      </c>
      <c r="C63" s="47"/>
      <c r="D63" s="47"/>
      <c r="E63" s="47"/>
      <c r="F63" s="604"/>
      <c r="G63" s="604"/>
      <c r="H63" s="47"/>
      <c r="I63" s="47"/>
      <c r="J63" s="47"/>
      <c r="K63" s="47"/>
      <c r="L63" s="38"/>
      <c r="M63" s="60"/>
      <c r="N63"/>
      <c r="O63" s="539"/>
      <c r="P63"/>
      <c r="Q63" s="61"/>
    </row>
    <row r="64" spans="1:17" ht="16.5" customHeight="1" x14ac:dyDescent="0.25">
      <c r="A64" s="16">
        <v>1</v>
      </c>
      <c r="B64" s="16" t="s">
        <v>70</v>
      </c>
      <c r="E64" s="16"/>
      <c r="F64" s="604"/>
      <c r="G64" s="604"/>
      <c r="N64"/>
      <c r="O64" s="540"/>
      <c r="P64"/>
      <c r="Q64" s="62"/>
    </row>
    <row r="65" spans="1:17" ht="16.5" customHeight="1" x14ac:dyDescent="0.25">
      <c r="A65" s="16">
        <v>2</v>
      </c>
      <c r="B65" s="16" t="s">
        <v>152</v>
      </c>
      <c r="C65" s="47"/>
      <c r="E65" s="16"/>
      <c r="N65"/>
      <c r="O65" s="540"/>
      <c r="P65"/>
    </row>
    <row r="66" spans="1:17" ht="16.5" customHeight="1" x14ac:dyDescent="0.2">
      <c r="A66" s="16">
        <v>3</v>
      </c>
      <c r="B66" s="16" t="s">
        <v>153</v>
      </c>
      <c r="C66" s="47"/>
      <c r="E66" s="16"/>
    </row>
    <row r="67" spans="1:17" ht="16.5" customHeight="1" x14ac:dyDescent="0.2">
      <c r="A67" s="16">
        <v>4</v>
      </c>
      <c r="B67" s="16" t="s">
        <v>154</v>
      </c>
      <c r="C67" s="47"/>
      <c r="E67" s="16"/>
    </row>
    <row r="68" spans="1:17" x14ac:dyDescent="0.2">
      <c r="A68" s="16">
        <v>5</v>
      </c>
      <c r="B68" s="16" t="s">
        <v>155</v>
      </c>
      <c r="C68" s="47"/>
      <c r="E68" s="16"/>
    </row>
    <row r="69" spans="1:17" x14ac:dyDescent="0.2">
      <c r="A69" s="16">
        <v>6</v>
      </c>
      <c r="B69" s="16" t="s">
        <v>135</v>
      </c>
      <c r="C69" s="47"/>
      <c r="E69" s="16"/>
      <c r="F69" s="1"/>
      <c r="I69" s="1"/>
      <c r="J69" s="1"/>
      <c r="K69" s="1"/>
      <c r="O69" s="1"/>
      <c r="P69" s="1"/>
      <c r="Q69" s="1"/>
    </row>
    <row r="70" spans="1:17" x14ac:dyDescent="0.2">
      <c r="A70" s="1">
        <v>7</v>
      </c>
      <c r="B70" s="16" t="s">
        <v>156</v>
      </c>
      <c r="F70" s="1"/>
      <c r="I70" s="1"/>
      <c r="J70" s="1"/>
      <c r="K70" s="1"/>
      <c r="O70" s="1"/>
      <c r="P70" s="1"/>
      <c r="Q70" s="1"/>
    </row>
    <row r="71" spans="1:17" x14ac:dyDescent="0.2">
      <c r="F71" s="1"/>
      <c r="I71" s="1"/>
      <c r="J71" s="1"/>
      <c r="K71" s="1"/>
      <c r="O71" s="1"/>
      <c r="P71" s="1"/>
      <c r="Q71" s="1"/>
    </row>
    <row r="72" spans="1:17" x14ac:dyDescent="0.2">
      <c r="F72" s="1"/>
      <c r="I72" s="1"/>
      <c r="J72" s="1"/>
      <c r="K72" s="1"/>
      <c r="O72" s="1"/>
      <c r="P72" s="1"/>
      <c r="Q72" s="1"/>
    </row>
    <row r="73" spans="1:17" x14ac:dyDescent="0.2">
      <c r="F73" s="1"/>
      <c r="I73" s="1"/>
      <c r="J73" s="1"/>
      <c r="K73" s="1"/>
      <c r="O73" s="1"/>
      <c r="P73" s="1"/>
      <c r="Q73" s="1"/>
    </row>
    <row r="74" spans="1:17" x14ac:dyDescent="0.2">
      <c r="F74" s="1"/>
      <c r="I74" s="1"/>
      <c r="J74" s="1"/>
      <c r="K74" s="1"/>
      <c r="O74" s="1"/>
      <c r="P74" s="1"/>
      <c r="Q74" s="1"/>
    </row>
    <row r="75" spans="1:17" x14ac:dyDescent="0.2">
      <c r="F75" s="1"/>
      <c r="I75" s="1"/>
      <c r="J75" s="1"/>
      <c r="K75" s="1"/>
      <c r="O75" s="1"/>
      <c r="P75" s="1"/>
      <c r="Q75" s="1"/>
    </row>
    <row r="76" spans="1:17" x14ac:dyDescent="0.2">
      <c r="F76" s="1"/>
      <c r="I76" s="1"/>
      <c r="J76" s="1"/>
      <c r="K76" s="1"/>
      <c r="O76" s="1"/>
      <c r="P76" s="1"/>
      <c r="Q76" s="1"/>
    </row>
    <row r="77" spans="1:17" x14ac:dyDescent="0.2">
      <c r="F77" s="1"/>
      <c r="I77" s="1"/>
      <c r="J77" s="1"/>
      <c r="K77" s="1"/>
      <c r="O77" s="1"/>
      <c r="P77" s="1"/>
      <c r="Q77" s="1"/>
    </row>
    <row r="78" spans="1:17" x14ac:dyDescent="0.2">
      <c r="C78" s="1"/>
      <c r="F78" s="1"/>
      <c r="I78" s="1"/>
      <c r="J78" s="1"/>
      <c r="K78" s="1"/>
      <c r="O78" s="1"/>
      <c r="P78" s="1"/>
      <c r="Q78" s="1"/>
    </row>
    <row r="79" spans="1:17" x14ac:dyDescent="0.2">
      <c r="C79" s="1"/>
      <c r="F79" s="1"/>
      <c r="I79" s="1"/>
      <c r="J79" s="1"/>
      <c r="K79" s="1"/>
      <c r="O79" s="1"/>
      <c r="P79" s="1"/>
      <c r="Q79" s="1"/>
    </row>
    <row r="80" spans="1:17" x14ac:dyDescent="0.2">
      <c r="C80" s="1"/>
      <c r="F80" s="1"/>
      <c r="I80" s="1"/>
      <c r="J80" s="1"/>
      <c r="K80" s="1"/>
      <c r="O80" s="1"/>
      <c r="P80" s="1"/>
      <c r="Q80" s="1"/>
    </row>
    <row r="81" spans="3:17" x14ac:dyDescent="0.2">
      <c r="C81" s="1"/>
      <c r="F81" s="1"/>
      <c r="I81" s="1"/>
      <c r="J81" s="1"/>
      <c r="K81" s="1"/>
      <c r="O81" s="1"/>
      <c r="P81" s="1"/>
      <c r="Q81" s="1"/>
    </row>
    <row r="82" spans="3:17" x14ac:dyDescent="0.2">
      <c r="C82" s="1"/>
      <c r="F82" s="1"/>
      <c r="I82" s="1"/>
      <c r="J82" s="1"/>
      <c r="K82" s="1"/>
      <c r="O82" s="1"/>
      <c r="P82" s="1"/>
      <c r="Q82" s="1"/>
    </row>
    <row r="83" spans="3:17" x14ac:dyDescent="0.2">
      <c r="C83" s="1"/>
      <c r="F83" s="1"/>
      <c r="I83" s="1"/>
      <c r="J83" s="1"/>
      <c r="K83" s="1"/>
      <c r="O83" s="1"/>
      <c r="P83" s="1"/>
      <c r="Q83" s="1"/>
    </row>
    <row r="84" spans="3:17" x14ac:dyDescent="0.2">
      <c r="C84" s="1"/>
      <c r="F84" s="1"/>
      <c r="I84" s="1"/>
      <c r="J84" s="1"/>
      <c r="K84" s="1"/>
      <c r="O84" s="1"/>
      <c r="P84" s="1"/>
      <c r="Q84" s="1"/>
    </row>
    <row r="85" spans="3:17" x14ac:dyDescent="0.2">
      <c r="C85" s="1"/>
      <c r="F85" s="1"/>
      <c r="I85" s="1"/>
      <c r="J85" s="1"/>
      <c r="K85" s="1"/>
      <c r="O85" s="1"/>
      <c r="P85" s="1"/>
      <c r="Q85" s="1"/>
    </row>
    <row r="86" spans="3:17" x14ac:dyDescent="0.2">
      <c r="C86" s="1"/>
      <c r="F86" s="1"/>
      <c r="I86" s="1"/>
      <c r="J86" s="1"/>
      <c r="K86" s="1"/>
      <c r="O86" s="1"/>
      <c r="P86" s="1"/>
      <c r="Q86" s="1"/>
    </row>
    <row r="87" spans="3:17" x14ac:dyDescent="0.2">
      <c r="C87" s="1"/>
      <c r="F87" s="1"/>
      <c r="I87" s="1"/>
      <c r="J87" s="1"/>
      <c r="K87" s="1"/>
      <c r="O87" s="1"/>
      <c r="P87" s="1"/>
      <c r="Q87" s="1"/>
    </row>
    <row r="88" spans="3:17" x14ac:dyDescent="0.2">
      <c r="C88" s="1"/>
      <c r="F88" s="1"/>
      <c r="I88" s="1"/>
      <c r="J88" s="1"/>
      <c r="K88" s="1"/>
      <c r="O88" s="1"/>
      <c r="P88" s="1"/>
      <c r="Q88" s="1"/>
    </row>
    <row r="89" spans="3:17" x14ac:dyDescent="0.2">
      <c r="C89" s="1"/>
      <c r="F89" s="1"/>
      <c r="I89" s="1"/>
      <c r="J89" s="1"/>
      <c r="K89" s="1"/>
      <c r="O89" s="1"/>
      <c r="P89" s="1"/>
      <c r="Q89" s="1"/>
    </row>
    <row r="90" spans="3:17" x14ac:dyDescent="0.2">
      <c r="C90" s="1"/>
      <c r="F90" s="1"/>
      <c r="I90" s="1"/>
      <c r="J90" s="1"/>
      <c r="K90" s="1"/>
      <c r="O90" s="1"/>
      <c r="P90" s="1"/>
      <c r="Q90" s="1"/>
    </row>
    <row r="91" spans="3:17" x14ac:dyDescent="0.2">
      <c r="C91" s="1"/>
      <c r="F91" s="1"/>
      <c r="I91" s="1"/>
      <c r="J91" s="1"/>
      <c r="K91" s="1"/>
      <c r="O91" s="1"/>
      <c r="P91" s="1"/>
      <c r="Q91" s="1"/>
    </row>
    <row r="92" spans="3:17" x14ac:dyDescent="0.2">
      <c r="C92" s="1"/>
      <c r="F92" s="1"/>
      <c r="I92" s="1"/>
      <c r="J92" s="1"/>
      <c r="K92" s="1"/>
      <c r="O92" s="1"/>
      <c r="P92" s="1"/>
      <c r="Q92" s="1"/>
    </row>
    <row r="93" spans="3:17" x14ac:dyDescent="0.2">
      <c r="C93" s="1"/>
      <c r="F93" s="1"/>
      <c r="I93" s="1"/>
      <c r="J93" s="1"/>
      <c r="K93" s="1"/>
      <c r="O93" s="1"/>
      <c r="P93" s="1"/>
      <c r="Q93" s="1"/>
    </row>
    <row r="94" spans="3:17" x14ac:dyDescent="0.2">
      <c r="C94" s="1"/>
      <c r="F94" s="1"/>
      <c r="I94" s="1"/>
      <c r="J94" s="1"/>
      <c r="K94" s="1"/>
      <c r="O94" s="1"/>
      <c r="P94" s="1"/>
      <c r="Q94" s="1"/>
    </row>
    <row r="95" spans="3:17" x14ac:dyDescent="0.2">
      <c r="C95" s="1"/>
      <c r="F95" s="1"/>
      <c r="I95" s="1"/>
      <c r="J95" s="1"/>
      <c r="K95" s="1"/>
      <c r="O95" s="1"/>
      <c r="P95" s="1"/>
      <c r="Q95" s="1"/>
    </row>
    <row r="96" spans="3:17" x14ac:dyDescent="0.2">
      <c r="C96" s="1"/>
      <c r="F96" s="1"/>
      <c r="I96" s="1"/>
      <c r="J96" s="1"/>
      <c r="K96" s="1"/>
      <c r="O96" s="1"/>
      <c r="P96" s="1"/>
      <c r="Q96" s="1"/>
    </row>
    <row r="97" spans="3:17" x14ac:dyDescent="0.2">
      <c r="C97" s="1"/>
      <c r="F97" s="1"/>
      <c r="I97" s="1"/>
      <c r="J97" s="1"/>
      <c r="K97" s="1"/>
      <c r="O97" s="1"/>
      <c r="P97" s="1"/>
      <c r="Q97" s="1"/>
    </row>
    <row r="98" spans="3:17" x14ac:dyDescent="0.2">
      <c r="C98" s="1"/>
      <c r="F98" s="1"/>
      <c r="I98" s="1"/>
      <c r="J98" s="1"/>
      <c r="K98" s="1"/>
      <c r="O98" s="1"/>
      <c r="P98" s="1"/>
      <c r="Q98" s="1"/>
    </row>
    <row r="99" spans="3:17" x14ac:dyDescent="0.2">
      <c r="C99" s="1"/>
      <c r="F99" s="1"/>
      <c r="I99" s="1"/>
      <c r="J99" s="1"/>
      <c r="K99" s="1"/>
      <c r="O99" s="1"/>
      <c r="P99" s="1"/>
      <c r="Q99" s="1"/>
    </row>
    <row r="100" spans="3:17" x14ac:dyDescent="0.2">
      <c r="C100" s="1"/>
      <c r="F100" s="1"/>
      <c r="I100" s="1"/>
      <c r="J100" s="1"/>
      <c r="K100" s="1"/>
      <c r="O100" s="1"/>
      <c r="P100" s="1"/>
      <c r="Q100" s="1"/>
    </row>
    <row r="101" spans="3:17" x14ac:dyDescent="0.2">
      <c r="C101" s="1"/>
      <c r="F101" s="1"/>
      <c r="I101" s="1"/>
      <c r="J101" s="1"/>
      <c r="K101" s="1"/>
      <c r="O101" s="1"/>
      <c r="P101" s="1"/>
      <c r="Q101" s="1"/>
    </row>
    <row r="102" spans="3:17" x14ac:dyDescent="0.2">
      <c r="C102" s="1"/>
      <c r="F102" s="1"/>
      <c r="I102" s="1"/>
      <c r="J102" s="1"/>
      <c r="K102" s="1"/>
      <c r="O102" s="1"/>
      <c r="P102" s="1"/>
      <c r="Q102" s="1"/>
    </row>
    <row r="103" spans="3:17" x14ac:dyDescent="0.2">
      <c r="C103" s="1"/>
      <c r="F103" s="1"/>
      <c r="I103" s="1"/>
      <c r="J103" s="1"/>
      <c r="K103" s="1"/>
      <c r="O103" s="1"/>
      <c r="P103" s="1"/>
      <c r="Q103" s="1"/>
    </row>
    <row r="104" spans="3:17" x14ac:dyDescent="0.2">
      <c r="C104" s="1"/>
      <c r="F104" s="1"/>
      <c r="I104" s="1"/>
      <c r="J104" s="1"/>
      <c r="K104" s="1"/>
      <c r="O104" s="1"/>
      <c r="P104" s="1"/>
      <c r="Q104" s="1"/>
    </row>
    <row r="105" spans="3:17" x14ac:dyDescent="0.2">
      <c r="C105" s="1"/>
      <c r="F105" s="1"/>
      <c r="I105" s="1"/>
      <c r="J105" s="1"/>
      <c r="K105" s="1"/>
      <c r="O105" s="1"/>
      <c r="P105" s="1"/>
      <c r="Q105" s="1"/>
    </row>
    <row r="106" spans="3:17" x14ac:dyDescent="0.2">
      <c r="C106" s="1"/>
      <c r="F106" s="1"/>
      <c r="I106" s="1"/>
      <c r="J106" s="1"/>
      <c r="K106" s="1"/>
      <c r="O106" s="1"/>
      <c r="P106" s="1"/>
      <c r="Q106" s="1"/>
    </row>
    <row r="107" spans="3:17" x14ac:dyDescent="0.2">
      <c r="C107" s="1"/>
      <c r="F107" s="1"/>
      <c r="I107" s="1"/>
      <c r="J107" s="1"/>
      <c r="K107" s="1"/>
      <c r="O107" s="1"/>
      <c r="P107" s="1"/>
      <c r="Q107" s="1"/>
    </row>
    <row r="108" spans="3:17" x14ac:dyDescent="0.2">
      <c r="C108" s="1"/>
      <c r="F108" s="1"/>
      <c r="I108" s="1"/>
      <c r="J108" s="1"/>
      <c r="K108" s="1"/>
      <c r="O108" s="1"/>
      <c r="P108" s="1"/>
      <c r="Q108" s="1"/>
    </row>
    <row r="109" spans="3:17" x14ac:dyDescent="0.2">
      <c r="C109" s="1"/>
      <c r="F109" s="1"/>
      <c r="I109" s="1"/>
      <c r="J109" s="1"/>
      <c r="K109" s="1"/>
      <c r="O109" s="1"/>
      <c r="P109" s="1"/>
      <c r="Q109" s="1"/>
    </row>
    <row r="110" spans="3:17" x14ac:dyDescent="0.2">
      <c r="C110" s="1"/>
      <c r="F110" s="1"/>
      <c r="I110" s="1"/>
      <c r="J110" s="1"/>
      <c r="K110" s="1"/>
      <c r="O110" s="1"/>
      <c r="P110" s="1"/>
      <c r="Q110" s="1"/>
    </row>
    <row r="111" spans="3:17" x14ac:dyDescent="0.2">
      <c r="C111" s="1"/>
      <c r="F111" s="1"/>
      <c r="I111" s="1"/>
      <c r="J111" s="1"/>
      <c r="K111" s="1"/>
      <c r="O111" s="1"/>
      <c r="P111" s="1"/>
      <c r="Q111" s="1"/>
    </row>
    <row r="112" spans="3:17" x14ac:dyDescent="0.2">
      <c r="C112" s="1"/>
      <c r="F112" s="1"/>
      <c r="I112" s="1"/>
      <c r="J112" s="1"/>
      <c r="K112" s="1"/>
      <c r="O112" s="1"/>
      <c r="P112" s="1"/>
      <c r="Q112" s="1"/>
    </row>
    <row r="113" spans="3:17" x14ac:dyDescent="0.2">
      <c r="C113" s="1"/>
      <c r="F113" s="1"/>
      <c r="I113" s="1"/>
      <c r="J113" s="1"/>
      <c r="K113" s="1"/>
      <c r="O113" s="1"/>
      <c r="P113" s="1"/>
      <c r="Q113" s="1"/>
    </row>
  </sheetData>
  <sortState ref="A1:B16">
    <sortCondition ref="A1"/>
  </sortState>
  <mergeCells count="5">
    <mergeCell ref="B1:Q1"/>
    <mergeCell ref="B2:Q2"/>
    <mergeCell ref="B3:Q3"/>
    <mergeCell ref="B5:Q5"/>
    <mergeCell ref="B28:Q28"/>
  </mergeCells>
  <conditionalFormatting sqref="P57">
    <cfRule type="cellIs" dxfId="2" priority="3" operator="between">
      <formula>0</formula>
      <formula>79</formula>
    </cfRule>
  </conditionalFormatting>
  <conditionalFormatting sqref="P6:P25">
    <cfRule type="cellIs" dxfId="1" priority="2" operator="between">
      <formula>0</formula>
      <formula>140</formula>
    </cfRule>
  </conditionalFormatting>
  <conditionalFormatting sqref="P29:P56">
    <cfRule type="cellIs" dxfId="0" priority="1" operator="between">
      <formula>0</formula>
      <formula>79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Comparative Sales</vt:lpstr>
      <vt:lpstr>Jan 2025-Prodn &amp; Sales Analysis</vt:lpstr>
      <vt:lpstr>Jan - Colour Code</vt:lpstr>
      <vt:lpstr>Feb 2025 -Prodn&amp; Sales Analysis</vt:lpstr>
      <vt:lpstr>Feb -Colour Code</vt:lpstr>
      <vt:lpstr>March 2025 - Prodn &amp; Sales</vt:lpstr>
      <vt:lpstr>April 2025 - Prodn &amp; Sales</vt:lpstr>
      <vt:lpstr>April - Colour Code</vt:lpstr>
      <vt:lpstr>May 2025 - Prodn &amp; Sales</vt:lpstr>
      <vt:lpstr>June 2025 - Prodn &amp; Sales</vt:lpstr>
      <vt:lpstr>June 2025 - Colour Code</vt:lpstr>
      <vt:lpstr>May - Colour Code</vt:lpstr>
      <vt:lpstr>March - Colour Code</vt:lpstr>
      <vt:lpstr>July 2025- Prodn &amp; Sales</vt:lpstr>
      <vt:lpstr>Aug 2025 - Prodn &amp; Sales</vt:lpstr>
      <vt:lpstr>Sept 2025 - Prodn &amp; Sales</vt:lpstr>
      <vt:lpstr>Sheet2</vt:lpstr>
      <vt:lpstr>July 2025 - Colour Code</vt:lpstr>
      <vt:lpstr>Oct 2025 - Prodn &amp; Sales</vt:lpstr>
      <vt:lpstr>Nov 2025 - Prodn &amp; Sales</vt:lpstr>
      <vt:lpstr>Revenue Per SQM</vt:lpstr>
      <vt:lpstr>Cumulative sales &amp; Prodn</vt:lpstr>
      <vt:lpstr>2025 Cumulative Prodn</vt:lpstr>
      <vt:lpstr>Dec 2025 - Prodn &amp;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2025-02-03T13:09:54Z</dcterms:created>
  <dcterms:modified xsi:type="dcterms:W3CDTF">2026-03-11T10:53:45Z</dcterms:modified>
</cp:coreProperties>
</file>