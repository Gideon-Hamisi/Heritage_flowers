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_BOOTS\OneDrive\Desktop\heritage flowers\"/>
    </mc:Choice>
  </mc:AlternateContent>
  <xr:revisionPtr revIDLastSave="0" documentId="8_{37D9F4E2-5095-4706-BB02-59E30B29C477}" xr6:coauthVersionLast="47" xr6:coauthVersionMax="47" xr10:uidLastSave="{00000000-0000-0000-0000-000000000000}"/>
  <bookViews>
    <workbookView xWindow="-120" yWindow="-120" windowWidth="20730" windowHeight="11160" xr2:uid="{E22862DA-E93D-4A73-9A23-ED53921AFA8D}"/>
  </bookViews>
  <sheets>
    <sheet name="Variety sales report march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7" i="1" l="1"/>
  <c r="B81" i="1" s="1"/>
  <c r="C37" i="1"/>
  <c r="C81" i="1" s="1"/>
  <c r="D37" i="1"/>
  <c r="E37" i="1"/>
  <c r="F37" i="1"/>
  <c r="F81" i="1" s="1"/>
  <c r="G37" i="1"/>
  <c r="G81" i="1" s="1"/>
  <c r="H37" i="1"/>
  <c r="I37" i="1"/>
  <c r="J37" i="1"/>
  <c r="J81" i="1" s="1"/>
  <c r="K37" i="1"/>
  <c r="K81" i="1" s="1"/>
  <c r="L37" i="1"/>
  <c r="M37" i="1"/>
  <c r="N37" i="1"/>
  <c r="N81" i="1" s="1"/>
  <c r="B80" i="1"/>
  <c r="C80" i="1"/>
  <c r="D80" i="1"/>
  <c r="E80" i="1"/>
  <c r="F80" i="1"/>
  <c r="G80" i="1"/>
  <c r="H80" i="1"/>
  <c r="I80" i="1"/>
  <c r="J80" i="1"/>
  <c r="K80" i="1"/>
  <c r="L80" i="1"/>
  <c r="M80" i="1"/>
  <c r="N80" i="1"/>
  <c r="D81" i="1"/>
  <c r="E81" i="1"/>
  <c r="H81" i="1"/>
  <c r="I81" i="1"/>
  <c r="L81" i="1"/>
  <c r="M81" i="1"/>
</calcChain>
</file>

<file path=xl/sharedStrings.xml><?xml version="1.0" encoding="utf-8"?>
<sst xmlns="http://schemas.openxmlformats.org/spreadsheetml/2006/main" count="81" uniqueCount="80">
  <si>
    <t>GRAND TOTAL</t>
  </si>
  <si>
    <t>TOTAL</t>
  </si>
  <si>
    <t>MIXED SPRAYS</t>
  </si>
  <si>
    <t xml:space="preserve"> </t>
  </si>
  <si>
    <t>SPEAKING BLOSSOM</t>
  </si>
  <si>
    <t>NIKITA</t>
  </si>
  <si>
    <t>REFLEX</t>
  </si>
  <si>
    <t>sedina</t>
  </si>
  <si>
    <t>LAND AND FIRE</t>
  </si>
  <si>
    <t>FIREWORK</t>
  </si>
  <si>
    <t>Earth and fire</t>
  </si>
  <si>
    <t>passion</t>
  </si>
  <si>
    <t>B.BUBBLE</t>
  </si>
  <si>
    <t>MARISSA</t>
  </si>
  <si>
    <t>S.SHADOW</t>
  </si>
  <si>
    <t>SWEET BLOSSOM</t>
  </si>
  <si>
    <t>TARANTELLA</t>
  </si>
  <si>
    <t>INNOCENT</t>
  </si>
  <si>
    <t>RELANX</t>
  </si>
  <si>
    <t>GOLDEN BLOSSOM</t>
  </si>
  <si>
    <t>VELVET</t>
  </si>
  <si>
    <t>velox</t>
  </si>
  <si>
    <t>AZORE</t>
  </si>
  <si>
    <t>US</t>
  </si>
  <si>
    <t>RTS</t>
  </si>
  <si>
    <t>MIRABELL</t>
  </si>
  <si>
    <t>FANCY</t>
  </si>
  <si>
    <t>ROYAL MAGIC</t>
  </si>
  <si>
    <t>YELLOW BABE</t>
  </si>
  <si>
    <t>SMOOTH.BLOSSOMS</t>
  </si>
  <si>
    <t>GOOD MOOD</t>
  </si>
  <si>
    <t>PICANTO</t>
  </si>
  <si>
    <t>ZADIQUE</t>
  </si>
  <si>
    <t>PUSKIN</t>
  </si>
  <si>
    <t>OLYMPIA</t>
  </si>
  <si>
    <t>SNOW BLOSSOM</t>
  </si>
  <si>
    <t>QUINCY</t>
  </si>
  <si>
    <t>SALINERO</t>
  </si>
  <si>
    <t>COLLEEN</t>
  </si>
  <si>
    <t>SOWFLAKE</t>
  </si>
  <si>
    <t xml:space="preserve">SNW BUBBLE </t>
  </si>
  <si>
    <t>ODILIA</t>
  </si>
  <si>
    <t>WEDDING PARTY</t>
  </si>
  <si>
    <t>SPRAY ROSES</t>
  </si>
  <si>
    <t>Mixed Roses</t>
  </si>
  <si>
    <t>Nightngale</t>
  </si>
  <si>
    <t xml:space="preserve"> Rose TRIALS</t>
  </si>
  <si>
    <t xml:space="preserve"> Rose RED TREND SETTER</t>
  </si>
  <si>
    <t xml:space="preserve"> Rose PIXIE</t>
  </si>
  <si>
    <t xml:space="preserve"> Rose TIGER</t>
  </si>
  <si>
    <t xml:space="preserve"> Rose MAITAI</t>
  </si>
  <si>
    <t xml:space="preserve"> Rose THRILLER</t>
  </si>
  <si>
    <t xml:space="preserve"> Rose PINK SWIRL</t>
  </si>
  <si>
    <t xml:space="preserve"> Rose RED WAVE</t>
  </si>
  <si>
    <t xml:space="preserve"> Rose purple bliss</t>
  </si>
  <si>
    <t xml:space="preserve"> Rose MADAM PINK</t>
  </si>
  <si>
    <t xml:space="preserve"> Rose MADAM RED</t>
  </si>
  <si>
    <t xml:space="preserve"> Rose MADAM CERISE</t>
  </si>
  <si>
    <t xml:space="preserve"> Rose REVIVAL</t>
  </si>
  <si>
    <t xml:space="preserve"> Rose DESERT QUEEN</t>
  </si>
  <si>
    <t xml:space="preserve"> Rose CHELSIE</t>
  </si>
  <si>
    <t xml:space="preserve"> Rose JUMILIA</t>
  </si>
  <si>
    <t xml:space="preserve"> Rose LAMPION</t>
  </si>
  <si>
    <t xml:space="preserve"> Rose labelle</t>
  </si>
  <si>
    <t xml:space="preserve"> Rose CELINA</t>
  </si>
  <si>
    <t xml:space="preserve"> Rose BAHAMA</t>
  </si>
  <si>
    <t xml:space="preserve"> Rose MOVIE STAR</t>
  </si>
  <si>
    <t xml:space="preserve"> Rose MOONWALK</t>
  </si>
  <si>
    <t xml:space="preserve"> Rose ORANGE WAVE</t>
  </si>
  <si>
    <t xml:space="preserve"> Rose CARISE</t>
  </si>
  <si>
    <t xml:space="preserve"> Rose BELLA ROSE</t>
  </si>
  <si>
    <t xml:space="preserve"> Rose RED BENTLY</t>
  </si>
  <si>
    <t xml:space="preserve"> Rose EVERED</t>
  </si>
  <si>
    <t xml:space="preserve"> Rose PINK ATHENA</t>
  </si>
  <si>
    <t xml:space="preserve"> Rose ROYAL ATHENA</t>
  </si>
  <si>
    <t xml:space="preserve"> Rose ATHENA WHITE</t>
  </si>
  <si>
    <t>STANDARD ROSES</t>
  </si>
  <si>
    <t>FOR THE MONTH OF MARCH</t>
  </si>
  <si>
    <t>DAILY VARIETY SALES REPORT</t>
  </si>
  <si>
    <t>HERITAGE FLOWERS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</si>
</sst>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82299264503923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/>
    <xf numFmtId="0" fontId="0" fillId="0" borderId="1" xfId="0" applyBorder="1"/>
    <xf numFmtId="0" fontId="2" fillId="0" borderId="1" xfId="0" applyFont="1" applyBorder="1"/>
    <xf numFmtId="0" fontId="0" fillId="2" borderId="1" xfId="0" applyFill="1" applyBorder="1"/>
    <xf numFmtId="0" fontId="3" fillId="2" borderId="1" xfId="0" applyFont="1" applyFill="1" applyBorder="1"/>
    <xf numFmtId="0" fontId="0" fillId="3" borderId="0" xfId="0" applyFill="1"/>
    <xf numFmtId="0" fontId="0" fillId="4" borderId="1" xfId="0" applyFill="1" applyBorder="1"/>
    <xf numFmtId="0" fontId="1" fillId="4" borderId="1" xfId="0" applyFont="1" applyFill="1" applyBorder="1"/>
    <xf numFmtId="0" fontId="2" fillId="3" borderId="1" xfId="0" applyFont="1" applyFill="1" applyBorder="1"/>
    <xf numFmtId="0" fontId="2" fillId="5" borderId="1" xfId="0" applyFont="1" applyFill="1" applyBorder="1"/>
    <xf numFmtId="0" fontId="0" fillId="6" borderId="0" xfId="0" applyFill="1"/>
    <xf numFmtId="0" fontId="0" fillId="6" borderId="1" xfId="0" applyFill="1" applyBorder="1"/>
    <xf numFmtId="0" fontId="2" fillId="6" borderId="1" xfId="0" applyFont="1" applyFill="1" applyBorder="1"/>
    <xf numFmtId="0" fontId="0" fillId="3" borderId="2" xfId="0" applyFill="1" applyBorder="1"/>
    <xf numFmtId="0" fontId="2" fillId="3" borderId="2" xfId="0" applyFont="1" applyFill="1" applyBorder="1"/>
    <xf numFmtId="0" fontId="0" fillId="7" borderId="0" xfId="0" applyFill="1"/>
    <xf numFmtId="0" fontId="0" fillId="7" borderId="2" xfId="0" applyFill="1" applyBorder="1"/>
    <xf numFmtId="0" fontId="2" fillId="7" borderId="2" xfId="0" applyFont="1" applyFill="1" applyBorder="1"/>
    <xf numFmtId="0" fontId="0" fillId="0" borderId="3" xfId="0" applyBorder="1"/>
    <xf numFmtId="0" fontId="2" fillId="5" borderId="3" xfId="0" applyFont="1" applyFill="1" applyBorder="1"/>
    <xf numFmtId="0" fontId="4" fillId="0" borderId="0" xfId="0" applyFont="1"/>
    <xf numFmtId="0" fontId="5" fillId="0" borderId="1" xfId="0" applyFont="1" applyBorder="1" applyAlignment="1">
      <alignment horizontal="center"/>
    </xf>
    <xf numFmtId="0" fontId="6" fillId="3" borderId="1" xfId="0" applyFont="1" applyFill="1" applyBorder="1"/>
    <xf numFmtId="14" fontId="7" fillId="6" borderId="1" xfId="0" applyNumberFormat="1" applyFont="1" applyFill="1" applyBorder="1"/>
    <xf numFmtId="0" fontId="2" fillId="8" borderId="1" xfId="0" applyFont="1" applyFill="1" applyBorder="1" applyAlignment="1">
      <alignment horizontal="center"/>
    </xf>
    <xf numFmtId="0" fontId="3" fillId="0" borderId="0" xfId="0" applyFont="1"/>
    <xf numFmtId="0" fontId="3" fillId="0" borderId="4" xfId="0" applyFont="1" applyBorder="1" applyAlignment="1">
      <alignment horizontal="center" vertical="center"/>
    </xf>
    <xf numFmtId="0" fontId="3" fillId="0" borderId="1" xfId="0" applyFont="1" applyBorder="1"/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3" borderId="1" xfId="0" applyFont="1" applyFill="1" applyBorder="1"/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67925-48CE-4994-A07F-CAC72BA339C6}">
  <dimension ref="A1:S83"/>
  <sheetViews>
    <sheetView tabSelected="1" zoomScaleNormal="100" workbookViewId="0">
      <pane ySplit="4" topLeftCell="A36" activePane="bottomLeft" state="frozen"/>
      <selection pane="bottomLeft" activeCell="D46" sqref="D46"/>
    </sheetView>
  </sheetViews>
  <sheetFormatPr defaultRowHeight="15.75"/>
  <cols>
    <col min="1" max="1" width="32.42578125" style="1" customWidth="1"/>
  </cols>
  <sheetData>
    <row r="1" spans="1:19" s="31" customFormat="1" ht="24.75" customHeight="1">
      <c r="A1" s="34" t="s">
        <v>79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2"/>
    </row>
    <row r="2" spans="1:19" s="28" customFormat="1" ht="18.75" customHeight="1">
      <c r="A2" s="30" t="s">
        <v>78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9"/>
    </row>
    <row r="3" spans="1:19" s="26" customFormat="1" ht="20.25" customHeight="1">
      <c r="A3" s="27" t="s">
        <v>77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</row>
    <row r="4" spans="1:19" s="23" customFormat="1" ht="23.25" customHeight="1">
      <c r="A4" s="25" t="s">
        <v>76</v>
      </c>
      <c r="B4" s="24">
        <v>46082</v>
      </c>
      <c r="C4" s="24">
        <v>46083</v>
      </c>
      <c r="D4" s="24">
        <v>46084</v>
      </c>
      <c r="E4" s="24">
        <v>46085</v>
      </c>
      <c r="F4" s="24">
        <v>46086</v>
      </c>
      <c r="G4" s="24">
        <v>46087</v>
      </c>
      <c r="H4" s="24">
        <v>46088</v>
      </c>
      <c r="I4" s="24">
        <v>46089</v>
      </c>
      <c r="J4" s="24">
        <v>46090</v>
      </c>
      <c r="K4" s="24">
        <v>46091</v>
      </c>
      <c r="L4" s="24">
        <v>46092</v>
      </c>
      <c r="M4" s="24">
        <v>46093</v>
      </c>
      <c r="N4" s="24">
        <v>46094</v>
      </c>
      <c r="O4" s="24">
        <v>46095</v>
      </c>
      <c r="P4" s="24">
        <v>46096</v>
      </c>
      <c r="Q4" s="24">
        <v>46097</v>
      </c>
      <c r="R4" s="24">
        <v>46098</v>
      </c>
    </row>
    <row r="5" spans="1:19" s="21" customFormat="1" ht="18.75">
      <c r="A5" s="10" t="s">
        <v>75</v>
      </c>
      <c r="B5" s="2">
        <v>2300</v>
      </c>
      <c r="C5" s="22"/>
      <c r="D5" s="22"/>
      <c r="E5" s="2">
        <v>1170</v>
      </c>
      <c r="F5" s="2">
        <v>1660</v>
      </c>
      <c r="G5" s="2">
        <v>5070</v>
      </c>
      <c r="H5" s="2">
        <v>270</v>
      </c>
      <c r="I5" s="2">
        <v>1580</v>
      </c>
      <c r="J5" s="2">
        <v>3760</v>
      </c>
      <c r="K5" s="2"/>
      <c r="L5" s="2">
        <v>2790</v>
      </c>
      <c r="M5" s="2"/>
      <c r="N5" s="2">
        <v>8450</v>
      </c>
      <c r="O5" s="2"/>
      <c r="P5" s="2"/>
      <c r="Q5" s="2"/>
      <c r="R5" s="22"/>
      <c r="S5" s="22"/>
    </row>
    <row r="6" spans="1:19">
      <c r="A6" s="10" t="s">
        <v>74</v>
      </c>
      <c r="B6" s="2"/>
      <c r="C6" s="2"/>
      <c r="D6" s="2"/>
      <c r="E6" s="2">
        <v>500</v>
      </c>
      <c r="F6" s="2">
        <v>500</v>
      </c>
      <c r="G6" s="2"/>
      <c r="H6" s="2"/>
      <c r="J6" s="2"/>
      <c r="K6" s="2"/>
      <c r="L6" s="2">
        <v>700</v>
      </c>
      <c r="M6" s="2"/>
      <c r="N6" s="2">
        <v>300</v>
      </c>
      <c r="O6" s="2"/>
      <c r="P6" s="2"/>
      <c r="Q6" s="2"/>
      <c r="R6" s="2"/>
      <c r="S6" s="2"/>
    </row>
    <row r="7" spans="1:19">
      <c r="A7" s="10" t="s">
        <v>73</v>
      </c>
      <c r="B7" s="2"/>
      <c r="C7" s="2"/>
      <c r="D7" s="2"/>
      <c r="E7" s="2"/>
      <c r="F7" s="2">
        <v>300</v>
      </c>
      <c r="G7" s="2"/>
      <c r="H7" s="2"/>
      <c r="I7" s="2"/>
      <c r="J7" s="2"/>
      <c r="K7" s="2"/>
      <c r="L7" s="2"/>
      <c r="M7" s="2"/>
      <c r="N7" s="2">
        <v>1100</v>
      </c>
      <c r="O7" s="2"/>
      <c r="P7" s="2"/>
      <c r="Q7" s="2"/>
      <c r="R7" s="2"/>
      <c r="S7" s="2"/>
    </row>
    <row r="8" spans="1:19">
      <c r="A8" s="10" t="s">
        <v>72</v>
      </c>
      <c r="B8" s="2"/>
      <c r="C8" s="2"/>
      <c r="D8" s="2"/>
      <c r="E8" s="2"/>
      <c r="F8" s="2">
        <v>400</v>
      </c>
      <c r="G8" s="2">
        <v>492</v>
      </c>
      <c r="H8" s="2">
        <v>700</v>
      </c>
      <c r="I8" s="2"/>
      <c r="J8" s="2">
        <v>1150</v>
      </c>
      <c r="K8" s="2"/>
      <c r="L8" s="2">
        <v>300</v>
      </c>
      <c r="M8" s="2"/>
      <c r="N8" s="2">
        <v>2100</v>
      </c>
      <c r="O8" s="2"/>
      <c r="P8" s="2"/>
      <c r="Q8" s="2"/>
      <c r="R8" s="2"/>
      <c r="S8" s="2"/>
    </row>
    <row r="9" spans="1:19">
      <c r="A9" s="10" t="s">
        <v>71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1:19">
      <c r="A10" s="10" t="s">
        <v>70</v>
      </c>
      <c r="B10" s="2">
        <v>6560</v>
      </c>
      <c r="C10" s="2"/>
      <c r="D10" s="2"/>
      <c r="E10" s="2">
        <v>900</v>
      </c>
      <c r="F10" s="2">
        <v>860</v>
      </c>
      <c r="G10" s="2">
        <v>900</v>
      </c>
      <c r="H10" s="2"/>
      <c r="I10" s="2">
        <v>1600</v>
      </c>
      <c r="J10" s="2">
        <v>860</v>
      </c>
      <c r="K10" s="2"/>
      <c r="L10" s="2">
        <v>520</v>
      </c>
      <c r="M10" s="2"/>
      <c r="N10" s="2">
        <v>520</v>
      </c>
      <c r="O10" s="2"/>
      <c r="P10" s="2"/>
      <c r="Q10" s="2"/>
      <c r="R10" s="2"/>
      <c r="S10" s="2"/>
    </row>
    <row r="11" spans="1:19">
      <c r="A11" s="10" t="s">
        <v>69</v>
      </c>
      <c r="B11" s="2"/>
      <c r="C11" s="2"/>
      <c r="D11" s="2"/>
      <c r="E11" s="2"/>
      <c r="F11" s="2"/>
      <c r="G11" s="2">
        <v>540</v>
      </c>
      <c r="H11" s="2"/>
      <c r="I11" s="2"/>
      <c r="J11" s="2">
        <v>270</v>
      </c>
      <c r="K11" s="2"/>
      <c r="L11" s="2"/>
      <c r="M11" s="2"/>
      <c r="N11" s="2"/>
      <c r="O11" s="2"/>
      <c r="P11" s="2"/>
      <c r="Q11" s="2"/>
      <c r="R11" s="2"/>
      <c r="S11" s="2"/>
    </row>
    <row r="12" spans="1:19">
      <c r="A12" s="10" t="s">
        <v>68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>
        <v>200</v>
      </c>
      <c r="M12" s="2"/>
      <c r="N12" s="2"/>
      <c r="O12" s="2"/>
      <c r="P12" s="2"/>
      <c r="Q12" s="2"/>
      <c r="R12" s="2"/>
      <c r="S12" s="2"/>
    </row>
    <row r="13" spans="1:19">
      <c r="A13" s="10" t="s">
        <v>67</v>
      </c>
      <c r="B13" s="2">
        <v>540</v>
      </c>
      <c r="C13" s="2"/>
      <c r="D13" s="2"/>
      <c r="E13" s="2">
        <v>1820</v>
      </c>
      <c r="F13" s="2">
        <v>1430</v>
      </c>
      <c r="G13" s="2">
        <v>770</v>
      </c>
      <c r="H13" s="2">
        <v>270</v>
      </c>
      <c r="I13" s="2">
        <v>260</v>
      </c>
      <c r="J13" s="2">
        <v>960</v>
      </c>
      <c r="K13" s="2"/>
      <c r="L13" s="2">
        <v>1040</v>
      </c>
      <c r="M13" s="2"/>
      <c r="N13" s="2">
        <v>3660</v>
      </c>
      <c r="O13" s="2"/>
      <c r="P13" s="2"/>
      <c r="Q13" s="2"/>
      <c r="R13" s="2"/>
      <c r="S13" s="2"/>
    </row>
    <row r="14" spans="1:19">
      <c r="A14" s="10" t="s">
        <v>66</v>
      </c>
      <c r="B14" s="2">
        <v>250</v>
      </c>
      <c r="C14" s="2"/>
      <c r="D14" s="2"/>
      <c r="E14" s="2">
        <v>300</v>
      </c>
      <c r="F14" s="2"/>
      <c r="G14" s="2"/>
      <c r="H14" s="2"/>
      <c r="I14" s="2">
        <v>940</v>
      </c>
      <c r="J14" s="2"/>
      <c r="K14" s="2"/>
      <c r="L14" s="2">
        <v>500</v>
      </c>
      <c r="M14" s="2"/>
      <c r="N14" s="2">
        <v>1200</v>
      </c>
      <c r="O14" s="2"/>
      <c r="P14" s="2"/>
      <c r="Q14" s="2"/>
      <c r="R14" s="2"/>
      <c r="S14" s="2"/>
    </row>
    <row r="15" spans="1:19">
      <c r="A15" s="10" t="s">
        <v>65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>
        <v>300</v>
      </c>
      <c r="O15" s="2"/>
      <c r="P15" s="2"/>
      <c r="Q15" s="2"/>
      <c r="R15" s="2"/>
      <c r="S15" s="2"/>
    </row>
    <row r="16" spans="1:19">
      <c r="A16" s="10" t="s">
        <v>64</v>
      </c>
      <c r="B16" s="2"/>
      <c r="C16" s="2"/>
      <c r="D16" s="2"/>
      <c r="E16" s="2"/>
      <c r="F16" s="2"/>
      <c r="G16" s="2">
        <v>300</v>
      </c>
      <c r="H16" s="2"/>
      <c r="I16" s="2">
        <v>280</v>
      </c>
      <c r="J16" s="2">
        <v>280</v>
      </c>
      <c r="K16" s="2"/>
      <c r="L16" s="2"/>
      <c r="M16" s="2"/>
      <c r="N16" s="2">
        <v>1200</v>
      </c>
      <c r="O16" s="2"/>
      <c r="P16" s="2"/>
      <c r="Q16" s="2"/>
      <c r="R16" s="2"/>
      <c r="S16" s="2"/>
    </row>
    <row r="17" spans="1:19">
      <c r="A17" s="10" t="s">
        <v>63</v>
      </c>
      <c r="B17" s="2"/>
      <c r="C17" s="2"/>
      <c r="D17" s="2"/>
      <c r="E17" s="2">
        <v>200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>
      <c r="A18" s="10" t="s">
        <v>62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>
        <v>1200</v>
      </c>
      <c r="M18" s="2"/>
      <c r="N18" s="2">
        <v>300</v>
      </c>
      <c r="O18" s="2"/>
      <c r="P18" s="2"/>
      <c r="Q18" s="2"/>
      <c r="R18" s="2"/>
      <c r="S18" s="2"/>
    </row>
    <row r="19" spans="1:19">
      <c r="A19" s="10" t="s">
        <v>61</v>
      </c>
      <c r="B19" s="2"/>
      <c r="C19" s="2"/>
      <c r="D19" s="2"/>
      <c r="E19" s="2">
        <v>700</v>
      </c>
      <c r="F19" s="2"/>
      <c r="G19" s="2"/>
      <c r="H19" s="2">
        <v>540</v>
      </c>
      <c r="I19" s="2">
        <v>660</v>
      </c>
      <c r="J19" s="2">
        <v>300</v>
      </c>
      <c r="K19" s="2"/>
      <c r="L19" s="2">
        <v>610</v>
      </c>
      <c r="M19" s="2"/>
      <c r="N19" s="2">
        <v>1260</v>
      </c>
      <c r="O19" s="2"/>
      <c r="P19" s="2"/>
      <c r="Q19" s="2"/>
      <c r="R19" s="2"/>
      <c r="S19" s="2"/>
    </row>
    <row r="20" spans="1:19">
      <c r="A20" s="10" t="s">
        <v>60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1:19">
      <c r="A21" s="10" t="s">
        <v>59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1:19">
      <c r="A22" s="10" t="s">
        <v>58</v>
      </c>
      <c r="B22" s="2"/>
      <c r="C22" s="2"/>
      <c r="D22" s="2"/>
      <c r="E22" s="2">
        <v>500</v>
      </c>
      <c r="F22" s="2">
        <v>300</v>
      </c>
      <c r="G22" s="2"/>
      <c r="H22" s="2"/>
      <c r="I22" s="2">
        <v>1000</v>
      </c>
      <c r="J22" s="2">
        <v>350</v>
      </c>
      <c r="K22" s="2"/>
      <c r="L22" s="2">
        <v>1000</v>
      </c>
      <c r="M22" s="2"/>
      <c r="N22" s="2">
        <v>1500</v>
      </c>
      <c r="O22" s="2"/>
      <c r="P22" s="2"/>
      <c r="Q22" s="2"/>
      <c r="R22" s="2"/>
      <c r="S22" s="2"/>
    </row>
    <row r="23" spans="1:19">
      <c r="A23" s="10" t="s">
        <v>57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>
        <v>300</v>
      </c>
      <c r="M23" s="2"/>
      <c r="N23" s="2"/>
      <c r="O23" s="2"/>
      <c r="P23" s="2"/>
      <c r="Q23" s="2"/>
      <c r="R23" s="2"/>
      <c r="S23" s="2"/>
    </row>
    <row r="24" spans="1:19">
      <c r="A24" s="10" t="s">
        <v>56</v>
      </c>
      <c r="B24" s="2">
        <v>1150</v>
      </c>
      <c r="C24" s="2"/>
      <c r="D24" s="2"/>
      <c r="E24" s="2">
        <v>1920</v>
      </c>
      <c r="F24" s="2">
        <v>3350</v>
      </c>
      <c r="G24" s="2">
        <v>8400</v>
      </c>
      <c r="H24" s="2">
        <v>2470</v>
      </c>
      <c r="I24" s="2">
        <v>3350</v>
      </c>
      <c r="J24" s="2">
        <v>260</v>
      </c>
      <c r="K24" s="2"/>
      <c r="L24" s="2">
        <v>2270</v>
      </c>
      <c r="M24" s="2"/>
      <c r="N24" s="2">
        <v>6950</v>
      </c>
      <c r="O24" s="2"/>
      <c r="P24" s="2"/>
      <c r="Q24" s="2"/>
      <c r="R24" s="2"/>
      <c r="S24" s="2"/>
    </row>
    <row r="25" spans="1:19">
      <c r="A25" s="10" t="s">
        <v>55</v>
      </c>
      <c r="B25" s="2">
        <v>860</v>
      </c>
      <c r="C25" s="2"/>
      <c r="D25" s="2"/>
      <c r="E25" s="2">
        <v>360</v>
      </c>
      <c r="F25" s="2"/>
      <c r="G25" s="2"/>
      <c r="H25" s="2"/>
      <c r="I25" s="2"/>
      <c r="J25" s="2"/>
      <c r="K25" s="2"/>
      <c r="L25" s="2"/>
      <c r="M25" s="2"/>
      <c r="N25" s="2">
        <v>400</v>
      </c>
      <c r="O25" s="2"/>
      <c r="P25" s="2"/>
      <c r="Q25" s="2"/>
      <c r="R25" s="2"/>
      <c r="S25" s="2"/>
    </row>
    <row r="26" spans="1:19">
      <c r="A26" s="10" t="s">
        <v>54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19" ht="17.25" customHeight="1">
      <c r="A27" s="10" t="s">
        <v>53</v>
      </c>
      <c r="B27" s="2"/>
      <c r="C27" s="2"/>
      <c r="D27" s="2"/>
      <c r="E27" s="2"/>
      <c r="F27" s="2"/>
      <c r="G27" s="2">
        <v>500</v>
      </c>
      <c r="H27" s="2"/>
      <c r="I27" s="2"/>
      <c r="J27" s="2"/>
      <c r="K27" s="2"/>
      <c r="L27" s="2"/>
      <c r="M27" s="2"/>
      <c r="N27" s="2">
        <v>900</v>
      </c>
      <c r="O27" s="2"/>
      <c r="P27" s="2"/>
      <c r="Q27" s="2"/>
      <c r="R27" s="2"/>
      <c r="S27" s="2"/>
    </row>
    <row r="28" spans="1:19">
      <c r="A28" s="10" t="s">
        <v>52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19">
      <c r="A29" s="10" t="s">
        <v>51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19">
      <c r="A30" s="10" t="s">
        <v>50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1:19">
      <c r="A31" s="10" t="s">
        <v>49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1:19">
      <c r="A32" s="10" t="s">
        <v>48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>
      <c r="A33" s="10" t="s">
        <v>47</v>
      </c>
      <c r="B33" s="2"/>
      <c r="C33" s="2"/>
      <c r="D33" s="2"/>
      <c r="E33" s="2">
        <v>200</v>
      </c>
      <c r="F33" s="2"/>
      <c r="G33" s="2">
        <v>200</v>
      </c>
      <c r="H33" s="2"/>
      <c r="I33" s="2">
        <v>300</v>
      </c>
      <c r="J33" s="2"/>
      <c r="K33" s="2"/>
      <c r="L33" s="2"/>
      <c r="M33" s="2"/>
      <c r="N33" s="2">
        <v>550</v>
      </c>
      <c r="O33" s="2"/>
      <c r="P33" s="2"/>
      <c r="Q33" s="2"/>
      <c r="R33" s="2"/>
      <c r="S33" s="2"/>
    </row>
    <row r="34" spans="1:19">
      <c r="A34" s="20" t="s">
        <v>46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</row>
    <row r="35" spans="1:19">
      <c r="A35" s="20" t="s">
        <v>45</v>
      </c>
      <c r="B35" s="19"/>
      <c r="C35" s="19"/>
      <c r="D35" s="19"/>
      <c r="E35" s="19">
        <v>800</v>
      </c>
      <c r="F35" s="19">
        <v>500</v>
      </c>
      <c r="G35" s="19">
        <v>300</v>
      </c>
      <c r="H35" s="19"/>
      <c r="I35" s="19">
        <v>440</v>
      </c>
      <c r="J35" s="19"/>
      <c r="K35" s="19"/>
      <c r="L35" s="19">
        <v>360</v>
      </c>
      <c r="M35" s="19"/>
      <c r="N35" s="19">
        <v>1900</v>
      </c>
      <c r="O35" s="19"/>
      <c r="P35" s="19"/>
      <c r="Q35" s="19"/>
      <c r="R35" s="19"/>
      <c r="S35" s="19"/>
    </row>
    <row r="36" spans="1:19" s="2" customFormat="1">
      <c r="A36" s="3" t="s">
        <v>44</v>
      </c>
      <c r="B36" s="2">
        <v>12500</v>
      </c>
      <c r="E36" s="2">
        <v>2160</v>
      </c>
      <c r="F36" s="2">
        <v>1640</v>
      </c>
      <c r="G36" s="2">
        <v>4660</v>
      </c>
      <c r="H36" s="2">
        <v>2720</v>
      </c>
      <c r="L36" s="2">
        <v>7500</v>
      </c>
      <c r="N36" s="2">
        <v>4100</v>
      </c>
    </row>
    <row r="37" spans="1:19" s="16" customFormat="1">
      <c r="A37" s="18" t="s">
        <v>1</v>
      </c>
      <c r="B37" s="17">
        <f>SUM(B5:B36)</f>
        <v>24160</v>
      </c>
      <c r="C37" s="17">
        <f>SUM(C5:C36)</f>
        <v>0</v>
      </c>
      <c r="D37" s="17">
        <f>SUM(D5:D36)</f>
        <v>0</v>
      </c>
      <c r="E37" s="17">
        <f>SUM(E5:E36)</f>
        <v>11530</v>
      </c>
      <c r="F37" s="17">
        <f>SUM(F5:F36)</f>
        <v>10940</v>
      </c>
      <c r="G37" s="17">
        <f>SUM(G5:G36)</f>
        <v>22132</v>
      </c>
      <c r="H37" s="17">
        <f>SUM(H5:H36)</f>
        <v>6970</v>
      </c>
      <c r="I37" s="17">
        <f>SUM(I5:I36)</f>
        <v>10410</v>
      </c>
      <c r="J37" s="17">
        <f>SUM(J5:J36)</f>
        <v>8190</v>
      </c>
      <c r="K37" s="17">
        <f>SUM(K5:K36)</f>
        <v>0</v>
      </c>
      <c r="L37" s="17">
        <f>SUM(L5:L36)</f>
        <v>19290</v>
      </c>
      <c r="M37" s="17">
        <f>SUM(M5:M36)</f>
        <v>0</v>
      </c>
      <c r="N37" s="17">
        <f>SUM(N5:N36)</f>
        <v>36690</v>
      </c>
      <c r="O37" s="17"/>
      <c r="P37" s="17"/>
      <c r="Q37" s="17"/>
      <c r="R37" s="17"/>
      <c r="S37" s="17"/>
    </row>
    <row r="38" spans="1:19" s="6" customFormat="1">
      <c r="A38" s="15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</row>
    <row r="39" spans="1:19" s="11" customFormat="1">
      <c r="A39" s="13" t="s">
        <v>43</v>
      </c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</row>
    <row r="40" spans="1:19">
      <c r="A40" s="10" t="s">
        <v>42</v>
      </c>
      <c r="B40" s="2"/>
      <c r="C40" s="2"/>
      <c r="D40" s="2"/>
      <c r="E40" s="2"/>
      <c r="F40" s="2"/>
      <c r="G40" s="2"/>
      <c r="H40" s="2"/>
      <c r="I40" s="2">
        <v>300</v>
      </c>
      <c r="J40" s="2"/>
      <c r="K40" s="2"/>
      <c r="L40" s="2"/>
      <c r="M40" s="2"/>
      <c r="N40" s="2">
        <v>100</v>
      </c>
      <c r="O40" s="2"/>
      <c r="P40" s="2"/>
      <c r="Q40" s="2"/>
      <c r="R40" s="2"/>
      <c r="S40" s="2"/>
    </row>
    <row r="41" spans="1:19">
      <c r="A41" s="10" t="s">
        <v>41</v>
      </c>
      <c r="B41" s="2"/>
      <c r="C41" s="2"/>
      <c r="D41" s="2"/>
      <c r="E41" s="2">
        <v>250</v>
      </c>
      <c r="F41" s="2">
        <v>250</v>
      </c>
      <c r="G41" s="2"/>
      <c r="H41" s="2"/>
      <c r="I41" s="2"/>
      <c r="J41" s="2"/>
      <c r="K41" s="2"/>
      <c r="L41" s="2"/>
      <c r="M41" s="2"/>
      <c r="N41" s="2">
        <v>220</v>
      </c>
      <c r="O41" s="2"/>
      <c r="P41" s="2"/>
      <c r="Q41" s="2"/>
      <c r="R41" s="2"/>
      <c r="S41" s="2"/>
    </row>
    <row r="42" spans="1:19">
      <c r="A42" s="10" t="s">
        <v>40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1:19">
      <c r="A43" s="10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>
        <v>1300</v>
      </c>
      <c r="M43" s="2"/>
      <c r="N43" s="2"/>
      <c r="O43" s="2"/>
      <c r="P43" s="2"/>
      <c r="Q43" s="2"/>
      <c r="R43" s="2"/>
      <c r="S43" s="2"/>
    </row>
    <row r="44" spans="1:19">
      <c r="A44" s="10" t="s">
        <v>38</v>
      </c>
      <c r="B44" s="2"/>
      <c r="C44" s="2"/>
      <c r="D44" s="2"/>
      <c r="E44" s="2"/>
      <c r="F44" s="2">
        <v>2250</v>
      </c>
      <c r="G44" s="2"/>
      <c r="H44" s="2"/>
      <c r="I44" s="2">
        <v>300</v>
      </c>
      <c r="J44" s="2"/>
      <c r="K44" s="2"/>
      <c r="L44" s="2"/>
      <c r="M44" s="2"/>
      <c r="N44" s="2">
        <v>100</v>
      </c>
      <c r="O44" s="2"/>
      <c r="P44" s="2"/>
      <c r="Q44" s="2"/>
      <c r="R44" s="2"/>
      <c r="S44" s="2"/>
    </row>
    <row r="45" spans="1:19">
      <c r="A45" s="10" t="s">
        <v>37</v>
      </c>
      <c r="B45" s="2"/>
      <c r="C45" s="2"/>
      <c r="D45" s="2"/>
      <c r="E45" s="2"/>
      <c r="F45" s="2">
        <v>250</v>
      </c>
      <c r="G45" s="2"/>
      <c r="H45" s="2"/>
      <c r="I45" s="2">
        <v>300</v>
      </c>
      <c r="J45" s="2"/>
      <c r="K45" s="2"/>
      <c r="L45" s="2">
        <v>1800</v>
      </c>
      <c r="M45" s="2"/>
      <c r="N45" s="2">
        <v>1800</v>
      </c>
      <c r="O45" s="2"/>
      <c r="P45" s="2"/>
      <c r="Q45" s="2"/>
      <c r="R45" s="2"/>
      <c r="S45" s="2"/>
    </row>
    <row r="46" spans="1:19">
      <c r="A46" s="10" t="s">
        <v>36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>
        <v>300</v>
      </c>
      <c r="O46" s="2"/>
      <c r="P46" s="2"/>
      <c r="Q46" s="2"/>
      <c r="R46" s="2"/>
      <c r="S46" s="2"/>
    </row>
    <row r="47" spans="1:19">
      <c r="A47" s="10" t="s">
        <v>35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1:19">
      <c r="A48" s="10" t="s">
        <v>34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1:19">
      <c r="A49" s="10" t="s">
        <v>33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>
        <v>500</v>
      </c>
      <c r="O49" s="2"/>
      <c r="P49" s="2"/>
      <c r="Q49" s="2"/>
      <c r="R49" s="2"/>
      <c r="S49" s="2"/>
    </row>
    <row r="50" spans="1:19">
      <c r="A50" s="10" t="s">
        <v>32</v>
      </c>
      <c r="B50" s="2"/>
      <c r="C50" s="2"/>
      <c r="D50" s="2"/>
      <c r="E50" s="2"/>
      <c r="F50" s="2"/>
      <c r="G50" s="2"/>
      <c r="H50" s="2"/>
      <c r="I50" s="2">
        <v>160</v>
      </c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1:19">
      <c r="A51" s="10" t="s">
        <v>31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>
        <v>300</v>
      </c>
      <c r="M51" s="2"/>
      <c r="N51" s="2"/>
      <c r="O51" s="2"/>
      <c r="P51" s="2"/>
      <c r="Q51" s="2"/>
      <c r="R51" s="2"/>
      <c r="S51" s="2"/>
    </row>
    <row r="52" spans="1:19">
      <c r="A52" s="10" t="s">
        <v>30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19">
      <c r="A53" s="10" t="s">
        <v>29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1:19">
      <c r="A54" s="10" t="s">
        <v>28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1:19">
      <c r="A55" s="10" t="s">
        <v>27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1:19">
      <c r="A56" s="10" t="s">
        <v>26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spans="1:19">
      <c r="A57" s="10" t="s">
        <v>25</v>
      </c>
      <c r="B57" s="2"/>
      <c r="C57" s="2"/>
      <c r="D57" s="2"/>
      <c r="E57" s="2"/>
      <c r="F57" s="2"/>
      <c r="G57" s="2">
        <v>400</v>
      </c>
      <c r="H57" s="2"/>
      <c r="I57" s="2"/>
      <c r="J57" s="2"/>
      <c r="K57" s="2"/>
      <c r="L57" s="2">
        <v>900</v>
      </c>
      <c r="M57" s="2"/>
      <c r="N57" s="2">
        <v>170</v>
      </c>
      <c r="O57" s="2"/>
      <c r="P57" s="2"/>
      <c r="Q57" s="2"/>
      <c r="R57" s="2"/>
      <c r="S57" s="2"/>
    </row>
    <row r="58" spans="1:19">
      <c r="A58" s="10" t="s">
        <v>24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</row>
    <row r="59" spans="1:19">
      <c r="A59" s="10" t="s">
        <v>23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</row>
    <row r="60" spans="1:19">
      <c r="A60" s="10" t="s">
        <v>22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spans="1:19">
      <c r="A61" s="10" t="s">
        <v>21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 spans="1:19">
      <c r="A62" s="10" t="s">
        <v>20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</row>
    <row r="63" spans="1:19">
      <c r="A63" s="10" t="s">
        <v>19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 spans="1:19">
      <c r="A64" s="10" t="s">
        <v>18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</row>
    <row r="65" spans="1:19">
      <c r="A65" s="10" t="s">
        <v>17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</row>
    <row r="66" spans="1:19">
      <c r="A66" s="10" t="s">
        <v>16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</row>
    <row r="67" spans="1:19">
      <c r="A67" s="10" t="s">
        <v>15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 spans="1:19">
      <c r="A68" s="10" t="s">
        <v>14</v>
      </c>
      <c r="B68" s="2"/>
      <c r="C68" s="2"/>
      <c r="D68" s="2"/>
      <c r="E68" s="2">
        <v>600</v>
      </c>
      <c r="F68" s="2"/>
      <c r="G68" s="2"/>
      <c r="H68" s="2"/>
      <c r="I68" s="2"/>
      <c r="J68" s="2"/>
      <c r="K68" s="2"/>
      <c r="L68" s="2"/>
      <c r="M68" s="2"/>
      <c r="N68" s="2">
        <v>50</v>
      </c>
      <c r="O68" s="2"/>
      <c r="P68" s="2"/>
      <c r="Q68" s="2"/>
      <c r="R68" s="2"/>
      <c r="S68" s="2"/>
    </row>
    <row r="69" spans="1:19">
      <c r="A69" s="10" t="s">
        <v>13</v>
      </c>
      <c r="B69" s="2"/>
      <c r="C69" s="2"/>
      <c r="D69" s="2"/>
      <c r="E69" s="2"/>
      <c r="F69" s="2"/>
      <c r="G69" s="2">
        <v>600</v>
      </c>
      <c r="H69" s="2"/>
      <c r="I69" s="2"/>
      <c r="J69" s="2"/>
      <c r="K69" s="2"/>
      <c r="L69" s="2">
        <v>2040</v>
      </c>
      <c r="M69" s="2"/>
      <c r="N69" s="2">
        <v>300</v>
      </c>
      <c r="O69" s="2"/>
      <c r="P69" s="2"/>
      <c r="Q69" s="2"/>
      <c r="R69" s="2"/>
      <c r="S69" s="2"/>
    </row>
    <row r="70" spans="1:19">
      <c r="A70" s="10" t="s">
        <v>12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</row>
    <row r="71" spans="1:19">
      <c r="A71" s="10" t="s">
        <v>11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 spans="1:19">
      <c r="A72" s="10" t="s">
        <v>10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</row>
    <row r="73" spans="1:19">
      <c r="A73" s="10" t="s">
        <v>9</v>
      </c>
      <c r="B73" s="2"/>
      <c r="C73" s="2"/>
      <c r="D73" s="2"/>
      <c r="E73" s="2"/>
      <c r="F73" s="2"/>
      <c r="G73" s="2">
        <v>300</v>
      </c>
      <c r="H73" s="2"/>
      <c r="I73" s="2"/>
      <c r="J73" s="2"/>
      <c r="K73" s="2"/>
      <c r="L73" s="2">
        <v>450</v>
      </c>
      <c r="M73" s="2"/>
      <c r="N73" s="2">
        <v>160</v>
      </c>
      <c r="O73" s="2"/>
      <c r="P73" s="2"/>
      <c r="Q73" s="2"/>
      <c r="R73" s="2"/>
      <c r="S73" s="2"/>
    </row>
    <row r="74" spans="1:19">
      <c r="A74" s="10" t="s">
        <v>8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>
        <v>450</v>
      </c>
      <c r="O74" s="2"/>
      <c r="P74" s="2"/>
      <c r="Q74" s="2"/>
      <c r="R74" s="2"/>
      <c r="S74" s="2"/>
    </row>
    <row r="75" spans="1:19">
      <c r="A75" s="10" t="s">
        <v>7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 spans="1:19">
      <c r="A76" s="10" t="s">
        <v>6</v>
      </c>
      <c r="B76" s="2">
        <v>200</v>
      </c>
      <c r="C76" s="2"/>
      <c r="D76" s="2"/>
      <c r="E76" s="2">
        <v>200</v>
      </c>
      <c r="F76" s="2"/>
      <c r="G76" s="2">
        <v>200</v>
      </c>
      <c r="H76" s="2"/>
      <c r="I76" s="2"/>
      <c r="J76" s="2"/>
      <c r="K76" s="2"/>
      <c r="L76" s="2">
        <v>600</v>
      </c>
      <c r="M76" s="2"/>
      <c r="N76" s="2">
        <v>680</v>
      </c>
      <c r="O76" s="2"/>
      <c r="P76" s="2"/>
      <c r="Q76" s="2"/>
      <c r="R76" s="2"/>
      <c r="S76" s="2"/>
    </row>
    <row r="77" spans="1:19">
      <c r="A77" s="10" t="s">
        <v>5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 spans="1:19">
      <c r="A78" s="9" t="s">
        <v>4</v>
      </c>
      <c r="B78" s="2"/>
      <c r="C78" s="2"/>
      <c r="D78" s="2"/>
      <c r="E78" s="2"/>
      <c r="F78" s="2" t="s">
        <v>3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 spans="1:19">
      <c r="A79" s="9" t="s">
        <v>2</v>
      </c>
      <c r="B79" s="2">
        <v>1500</v>
      </c>
      <c r="C79" s="2"/>
      <c r="D79" s="2"/>
      <c r="E79" s="2"/>
      <c r="F79" s="2"/>
      <c r="G79" s="2"/>
      <c r="H79" s="2">
        <v>2550</v>
      </c>
      <c r="I79" s="2"/>
      <c r="J79" s="2"/>
      <c r="K79" s="2"/>
      <c r="L79" s="2"/>
      <c r="M79" s="2"/>
      <c r="N79" s="2">
        <v>300</v>
      </c>
      <c r="O79" s="2"/>
      <c r="P79" s="2"/>
      <c r="Q79" s="2"/>
      <c r="R79" s="2"/>
      <c r="S79" s="2"/>
    </row>
    <row r="80" spans="1:19" s="6" customFormat="1">
      <c r="A80" s="8" t="s">
        <v>1</v>
      </c>
      <c r="B80" s="7">
        <f>SUM(B40:B79)</f>
        <v>1700</v>
      </c>
      <c r="C80" s="7">
        <f>SUM(C40:C79)</f>
        <v>0</v>
      </c>
      <c r="D80" s="7">
        <f>SUM(D40:D79)</f>
        <v>0</v>
      </c>
      <c r="E80" s="7">
        <f>SUM(E40:E79)</f>
        <v>1050</v>
      </c>
      <c r="F80" s="7">
        <f>SUM(F40:F79)</f>
        <v>2750</v>
      </c>
      <c r="G80" s="7">
        <f>SUM(G40:G79)</f>
        <v>1500</v>
      </c>
      <c r="H80" s="7">
        <f>SUM(H40:H79)</f>
        <v>2550</v>
      </c>
      <c r="I80" s="7">
        <f>SUM(I40:I79)</f>
        <v>1060</v>
      </c>
      <c r="J80" s="7">
        <f>SUM(J40:J79)</f>
        <v>0</v>
      </c>
      <c r="K80" s="7">
        <f>SUM(K40:K79)</f>
        <v>0</v>
      </c>
      <c r="L80" s="7">
        <f>SUM(L40:L79)</f>
        <v>7390</v>
      </c>
      <c r="M80" s="7">
        <f>SUM(M40:M79)</f>
        <v>0</v>
      </c>
      <c r="N80" s="7">
        <f>SUM(N40:N79)</f>
        <v>5130</v>
      </c>
      <c r="O80" s="7"/>
      <c r="P80" s="7"/>
      <c r="Q80" s="7"/>
      <c r="R80" s="7"/>
      <c r="S80" s="7"/>
    </row>
    <row r="81" spans="1:19" ht="18.75">
      <c r="A81" s="5" t="s">
        <v>0</v>
      </c>
      <c r="B81" s="4">
        <f>B37+B80</f>
        <v>25860</v>
      </c>
      <c r="C81" s="4">
        <f>C37+C80</f>
        <v>0</v>
      </c>
      <c r="D81" s="4">
        <f>D37+D80</f>
        <v>0</v>
      </c>
      <c r="E81" s="4">
        <f>E37+E80</f>
        <v>12580</v>
      </c>
      <c r="F81" s="4">
        <f>F37+F80</f>
        <v>13690</v>
      </c>
      <c r="G81" s="4">
        <f>G37+G80</f>
        <v>23632</v>
      </c>
      <c r="H81" s="4">
        <f>H37+H80</f>
        <v>9520</v>
      </c>
      <c r="I81" s="4">
        <f>I37+I80</f>
        <v>11470</v>
      </c>
      <c r="J81" s="4">
        <f>J37+J80</f>
        <v>8190</v>
      </c>
      <c r="K81" s="4">
        <f>K37+K80</f>
        <v>0</v>
      </c>
      <c r="L81" s="4">
        <f>L37+L80</f>
        <v>26680</v>
      </c>
      <c r="M81" s="4">
        <f>M37+M80</f>
        <v>0</v>
      </c>
      <c r="N81" s="4">
        <f>N37+N80</f>
        <v>41820</v>
      </c>
      <c r="O81" s="4"/>
      <c r="P81" s="4"/>
      <c r="Q81" s="4"/>
      <c r="R81" s="4"/>
      <c r="S81" s="4"/>
    </row>
    <row r="82" spans="1:19">
      <c r="A82" s="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 spans="1:19">
      <c r="A83" s="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</row>
  </sheetData>
  <mergeCells count="3">
    <mergeCell ref="A3:S3"/>
    <mergeCell ref="A1:S1"/>
    <mergeCell ref="A2:S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Variety sales report march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gideon hamisi</dc:creator>
  <cp:lastModifiedBy>gideon hamisi</cp:lastModifiedBy>
  <dcterms:created xsi:type="dcterms:W3CDTF">2026-04-05T15:22:09Z</dcterms:created>
  <dcterms:modified xsi:type="dcterms:W3CDTF">2026-04-05T15:22:42Z</dcterms:modified>
</cp:coreProperties>
</file>