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C:\Users\Administrator.AGI-FINANCE-LPT\Documents\"/>
    </mc:Choice>
  </mc:AlternateContent>
  <xr:revisionPtr revIDLastSave="0" documentId="13_ncr:1_{C074DBC5-66D0-45B1-BA86-FECA2E3D88FA}" xr6:coauthVersionLast="41" xr6:coauthVersionMax="41" xr10:uidLastSave="{00000000-0000-0000-0000-000000000000}"/>
  <bookViews>
    <workbookView xWindow="-110" yWindow="-110" windowWidth="19420" windowHeight="10300" xr2:uid="{00000000-000D-0000-FFFF-FFFF00000000}"/>
  </bookViews>
  <sheets>
    <sheet name="Sheet1" sheetId="24" r:id="rId1"/>
    <sheet name="Sheet2" sheetId="25" r:id="rId2"/>
    <sheet name="december order" sheetId="17" r:id="rId3"/>
  </sheets>
  <calcPr calcId="191029"/>
</workbook>
</file>

<file path=xl/calcChain.xml><?xml version="1.0" encoding="utf-8"?>
<calcChain xmlns="http://schemas.openxmlformats.org/spreadsheetml/2006/main">
  <c r="H55" i="17" l="1"/>
  <c r="G54" i="17"/>
  <c r="G53" i="17"/>
  <c r="G52" i="17"/>
  <c r="G51" i="17"/>
  <c r="H50" i="17"/>
  <c r="H48" i="17"/>
  <c r="G46" i="17"/>
  <c r="G45" i="17"/>
  <c r="H44" i="17"/>
  <c r="H43" i="17"/>
  <c r="G43" i="17"/>
  <c r="H42" i="17"/>
  <c r="G42" i="17"/>
  <c r="G41" i="17"/>
  <c r="H40" i="17"/>
  <c r="H39" i="17"/>
  <c r="G38" i="17"/>
  <c r="H37" i="17"/>
  <c r="G37" i="17"/>
  <c r="H36" i="17"/>
  <c r="G36" i="17"/>
  <c r="H35" i="17"/>
  <c r="G35" i="17"/>
  <c r="H34" i="17"/>
  <c r="G33" i="17"/>
  <c r="G32" i="17"/>
  <c r="G31" i="17"/>
  <c r="G29" i="17"/>
  <c r="H28" i="17"/>
  <c r="G27" i="17"/>
  <c r="H26" i="17"/>
  <c r="H25" i="17"/>
  <c r="H24" i="17"/>
  <c r="H23" i="17"/>
  <c r="H22" i="17"/>
  <c r="H21" i="17"/>
  <c r="G21" i="17"/>
  <c r="H20" i="17"/>
  <c r="G20" i="17"/>
  <c r="H19" i="17"/>
  <c r="H17" i="17"/>
  <c r="G17" i="17"/>
  <c r="H16" i="17"/>
  <c r="G16" i="17"/>
  <c r="H15" i="17"/>
  <c r="G15" i="17"/>
  <c r="H14" i="17"/>
  <c r="G14" i="17"/>
  <c r="H13" i="17"/>
  <c r="H11" i="17"/>
  <c r="H10" i="17"/>
  <c r="H9" i="17"/>
  <c r="H8" i="17"/>
  <c r="H6" i="17"/>
  <c r="G6" i="17"/>
  <c r="H5" i="17"/>
  <c r="G5" i="17"/>
</calcChain>
</file>

<file path=xl/sharedStrings.xml><?xml version="1.0" encoding="utf-8"?>
<sst xmlns="http://schemas.openxmlformats.org/spreadsheetml/2006/main" count="233" uniqueCount="120">
  <si>
    <t xml:space="preserve">                                     CHEMICAL &amp;FERTILIZER  ORDER NOVEMBER 2025</t>
  </si>
  <si>
    <t>Chemicals</t>
  </si>
  <si>
    <t>Active Ingridient</t>
  </si>
  <si>
    <t>PACKAGE</t>
  </si>
  <si>
    <t>Stock bvalance</t>
  </si>
  <si>
    <t>rate/1000ltr</t>
  </si>
  <si>
    <t>consuption per month</t>
  </si>
  <si>
    <t>Nov.ORDER</t>
  </si>
  <si>
    <r>
      <rPr>
        <sz val="8"/>
        <color theme="1"/>
        <rFont val="Calibri"/>
        <charset val="134"/>
      </rPr>
      <t xml:space="preserve">                                     </t>
    </r>
    <r>
      <rPr>
        <sz val="8"/>
        <color rgb="FFFF0000"/>
        <rFont val="Calibri"/>
        <charset val="134"/>
      </rPr>
      <t xml:space="preserve">DREANCHING CHEMICALS   </t>
    </r>
  </si>
  <si>
    <t xml:space="preserve">fornium </t>
  </si>
  <si>
    <t>KG</t>
  </si>
  <si>
    <t>Propella</t>
  </si>
  <si>
    <t>Promocarb</t>
  </si>
  <si>
    <t>LITRES</t>
  </si>
  <si>
    <t xml:space="preserve">                                    DOWNY MILDEW CHEMICALS   </t>
  </si>
  <si>
    <t>natureguard</t>
  </si>
  <si>
    <t>cymoxanil+famoxadone</t>
  </si>
  <si>
    <t>agrithane</t>
  </si>
  <si>
    <t>mancozeb</t>
  </si>
  <si>
    <t>agrilax</t>
  </si>
  <si>
    <t>mancozeb+metalaxyl</t>
  </si>
  <si>
    <t>tucker 700</t>
  </si>
  <si>
    <t>dimethomorph+cymoxanil</t>
  </si>
  <si>
    <t xml:space="preserve">                                    POWDERY MILDEW CHEMICALS   </t>
  </si>
  <si>
    <t>sulphurgold</t>
  </si>
  <si>
    <t>sulphur</t>
  </si>
  <si>
    <t>meltatox</t>
  </si>
  <si>
    <t>dodemorph</t>
  </si>
  <si>
    <t>LTRS</t>
  </si>
  <si>
    <t>Strobin</t>
  </si>
  <si>
    <t>azystrobin+defenacozole</t>
  </si>
  <si>
    <t>spinex</t>
  </si>
  <si>
    <t>spiroximine</t>
  </si>
  <si>
    <t>kasabi</t>
  </si>
  <si>
    <t>pyriofenon</t>
  </si>
  <si>
    <t xml:space="preserve">                                    THRIPS/CATERPILLAR/FCM  CHEMICALS   </t>
  </si>
  <si>
    <t>barrot</t>
  </si>
  <si>
    <t>imadacropid</t>
  </si>
  <si>
    <t xml:space="preserve">current plus </t>
  </si>
  <si>
    <t>prefenophos+cypermethrin</t>
  </si>
  <si>
    <t xml:space="preserve">aceprid </t>
  </si>
  <si>
    <t>Acetamiprid</t>
  </si>
  <si>
    <t xml:space="preserve">hinder </t>
  </si>
  <si>
    <t>Thiocyclamhydrogen oxalate</t>
  </si>
  <si>
    <t xml:space="preserve">pestout </t>
  </si>
  <si>
    <t>Flonicamid+Dinotefuran</t>
  </si>
  <si>
    <t xml:space="preserve">alpha guard </t>
  </si>
  <si>
    <t>alpha-cypermethrin</t>
  </si>
  <si>
    <t xml:space="preserve">delegate </t>
  </si>
  <si>
    <t>Spinetoram</t>
  </si>
  <si>
    <t>KGS</t>
  </si>
  <si>
    <t>cassate</t>
  </si>
  <si>
    <t>Abamectin+buprofezin</t>
  </si>
  <si>
    <t>Lexical</t>
  </si>
  <si>
    <t>EMMAMECTIN BENZOATE</t>
  </si>
  <si>
    <t>ltrs</t>
  </si>
  <si>
    <t>Fedelity</t>
  </si>
  <si>
    <t>Sulfoxafor+spinetoram</t>
  </si>
  <si>
    <t>belt</t>
  </si>
  <si>
    <t>Flubendiamide</t>
  </si>
  <si>
    <t>ltr</t>
  </si>
  <si>
    <t xml:space="preserve">                                    BOTRITIS  CHEMICALS   </t>
  </si>
  <si>
    <t xml:space="preserve">SWITCH </t>
  </si>
  <si>
    <t>Cyprodinil and fludioxonil</t>
  </si>
  <si>
    <t>PYRAMIC</t>
  </si>
  <si>
    <t>pyrithanimil</t>
  </si>
  <si>
    <t>OVERALL</t>
  </si>
  <si>
    <t xml:space="preserve">                       </t>
  </si>
  <si>
    <t>I.P.M  PROPERTIES</t>
  </si>
  <si>
    <t xml:space="preserve">vase solution </t>
  </si>
  <si>
    <t>fcm stickyguard</t>
  </si>
  <si>
    <t>yellow-200 pcs&amp; yellow-200 pcs</t>
  </si>
  <si>
    <t>stickyrollsyellow</t>
  </si>
  <si>
    <t xml:space="preserve"> sticky rolls blue </t>
  </si>
  <si>
    <t xml:space="preserve">                                    MEALYBUGS  CHEMICALS   </t>
  </si>
  <si>
    <t>mortar</t>
  </si>
  <si>
    <t>kgs</t>
  </si>
  <si>
    <t>matric</t>
  </si>
  <si>
    <t>flonex</t>
  </si>
  <si>
    <t xml:space="preserve">                                      ADJURANT /foliars </t>
  </si>
  <si>
    <t>STAR GOLD</t>
  </si>
  <si>
    <t>WEETER9(organsilcon)</t>
  </si>
  <si>
    <t>FOTUNE</t>
  </si>
  <si>
    <t>NEEM OIL</t>
  </si>
  <si>
    <t>molasses</t>
  </si>
  <si>
    <t>sugar</t>
  </si>
  <si>
    <t>Agrozyme</t>
  </si>
  <si>
    <t>Sea weed extract</t>
  </si>
  <si>
    <t xml:space="preserve">Atonik </t>
  </si>
  <si>
    <t xml:space="preserve">SPEDERMITE CHEMICALS </t>
  </si>
  <si>
    <t xml:space="preserve">MITESSWEEP </t>
  </si>
  <si>
    <t xml:space="preserve">KNOCK OUT </t>
  </si>
  <si>
    <t>HAXYGON</t>
  </si>
  <si>
    <t>Flonex</t>
  </si>
  <si>
    <t>Indoxacarb</t>
  </si>
  <si>
    <t>FERTILIZER</t>
  </si>
  <si>
    <t>CALCIUM NITRATE</t>
  </si>
  <si>
    <t>MAGNESSIUM SULPHATE</t>
  </si>
  <si>
    <t>MANGANEES</t>
  </si>
  <si>
    <t>chlorine</t>
  </si>
  <si>
    <t>POTASSIUM NITRATE</t>
  </si>
  <si>
    <t>MAP</t>
  </si>
  <si>
    <t>MKP</t>
  </si>
  <si>
    <t>ZINC SULPHATE</t>
  </si>
  <si>
    <t>COPPER SULPHATE</t>
  </si>
  <si>
    <t>BORAX</t>
  </si>
  <si>
    <t>EDITA MICRO MIX</t>
  </si>
  <si>
    <t>ZEEFER SUPPER IRON</t>
  </si>
  <si>
    <t>SIDOUM MOLYDBATE</t>
  </si>
  <si>
    <t>SULPHURIC ACID</t>
  </si>
  <si>
    <t>UNO VASE LIFE</t>
  </si>
  <si>
    <t>Dec.ORDER</t>
  </si>
  <si>
    <t>Price</t>
  </si>
  <si>
    <t>Fidelity</t>
  </si>
  <si>
    <t>Safety boots</t>
  </si>
  <si>
    <t>Size 8</t>
  </si>
  <si>
    <t>Pair</t>
  </si>
  <si>
    <t>Propamocarb</t>
  </si>
  <si>
    <t>Plantoc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</si>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</sst>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8"/>
      <color rgb="FFFF0000"/>
      <name val="Calibri"/>
      <charset val="134"/>
      <scheme val="minor"/>
    </font>
    <font>
      <sz val="8"/>
      <color theme="4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4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8"/>
      <color theme="4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1"/>
      <color rgb="FF000000"/>
      <name val="Calibri"/>
      <charset val="134"/>
    </font>
    <font>
      <sz val="8"/>
      <color theme="1"/>
      <name val="Calibri"/>
      <charset val="134"/>
    </font>
    <font>
      <sz val="8"/>
      <color rgb="FFFF0000"/>
      <name val="Calibri"/>
      <charset val="134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D9F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2" fillId="0" borderId="0" applyNumberFormat="0" applyFont="0" applyBorder="0" applyProtection="0"/>
  </cellStyleXfs>
  <cellXfs count="74">
    <xf numFmtId="0" fontId="0" fillId="0" borderId="0" xfId="0"/>
    <xf numFmtId="0" fontId="1" fillId="0" borderId="1" xfId="0" applyNumberFormat="1" applyFont="1" applyBorder="1"/>
    <xf numFmtId="0" fontId="2" fillId="0" borderId="2" xfId="0" applyNumberFormat="1" applyFont="1" applyBorder="1"/>
    <xf numFmtId="0" fontId="3" fillId="2" borderId="3" xfId="0" applyNumberFormat="1" applyFont="1" applyFill="1" applyBorder="1"/>
    <xf numFmtId="0" fontId="2" fillId="0" borderId="4" xfId="0" applyNumberFormat="1" applyFont="1" applyBorder="1"/>
    <xf numFmtId="0" fontId="2" fillId="0" borderId="5" xfId="0" applyNumberFormat="1" applyFont="1" applyBorder="1"/>
    <xf numFmtId="0" fontId="2" fillId="0" borderId="6" xfId="0" applyNumberFormat="1" applyFont="1" applyBorder="1"/>
    <xf numFmtId="0" fontId="4" fillId="0" borderId="4" xfId="0" applyNumberFormat="1" applyFont="1" applyBorder="1"/>
    <xf numFmtId="0" fontId="4" fillId="0" borderId="0" xfId="0" applyNumberFormat="1" applyFont="1" applyBorder="1"/>
    <xf numFmtId="0" fontId="2" fillId="0" borderId="7" xfId="0" applyNumberFormat="1" applyFont="1" applyBorder="1"/>
    <xf numFmtId="0" fontId="2" fillId="0" borderId="8" xfId="0" applyNumberFormat="1" applyFont="1" applyBorder="1"/>
    <xf numFmtId="0" fontId="5" fillId="0" borderId="8" xfId="0" applyNumberFormat="1" applyFont="1" applyBorder="1"/>
    <xf numFmtId="0" fontId="2" fillId="3" borderId="8" xfId="0" applyNumberFormat="1" applyFont="1" applyFill="1" applyBorder="1"/>
    <xf numFmtId="0" fontId="4" fillId="0" borderId="8" xfId="0" applyNumberFormat="1" applyFont="1" applyBorder="1"/>
    <xf numFmtId="0" fontId="2" fillId="0" borderId="9" xfId="0" applyNumberFormat="1" applyFont="1" applyBorder="1"/>
    <xf numFmtId="0" fontId="6" fillId="2" borderId="10" xfId="0" applyNumberFormat="1" applyFont="1" applyFill="1" applyBorder="1"/>
    <xf numFmtId="0" fontId="1" fillId="0" borderId="11" xfId="0" applyNumberFormat="1" applyFont="1" applyBorder="1"/>
    <xf numFmtId="0" fontId="7" fillId="0" borderId="1" xfId="0" applyNumberFormat="1" applyFont="1" applyBorder="1"/>
    <xf numFmtId="0" fontId="1" fillId="3" borderId="1" xfId="0" applyNumberFormat="1" applyFont="1" applyFill="1" applyBorder="1"/>
    <xf numFmtId="0" fontId="8" fillId="0" borderId="1" xfId="0" applyNumberFormat="1" applyFont="1" applyBorder="1"/>
    <xf numFmtId="0" fontId="1" fillId="0" borderId="12" xfId="0" applyNumberFormat="1" applyFont="1" applyBorder="1"/>
    <xf numFmtId="0" fontId="1" fillId="2" borderId="13" xfId="0" applyNumberFormat="1" applyFont="1" applyFill="1" applyBorder="1"/>
    <xf numFmtId="0" fontId="2" fillId="0" borderId="14" xfId="0" applyNumberFormat="1" applyFont="1" applyBorder="1"/>
    <xf numFmtId="0" fontId="5" fillId="0" borderId="2" xfId="0" applyNumberFormat="1" applyFont="1" applyBorder="1"/>
    <xf numFmtId="14" fontId="2" fillId="3" borderId="2" xfId="0" applyNumberFormat="1" applyFont="1" applyFill="1" applyBorder="1"/>
    <xf numFmtId="0" fontId="4" fillId="0" borderId="2" xfId="0" applyNumberFormat="1" applyFont="1" applyBorder="1"/>
    <xf numFmtId="0" fontId="2" fillId="0" borderId="15" xfId="0" applyNumberFormat="1" applyFont="1" applyBorder="1"/>
    <xf numFmtId="0" fontId="6" fillId="2" borderId="16" xfId="0" applyNumberFormat="1" applyFont="1" applyFill="1" applyBorder="1"/>
    <xf numFmtId="0" fontId="3" fillId="2" borderId="17" xfId="0" applyNumberFormat="1" applyFont="1" applyFill="1" applyBorder="1"/>
    <xf numFmtId="0" fontId="9" fillId="2" borderId="3" xfId="0" applyNumberFormat="1" applyFont="1" applyFill="1" applyBorder="1"/>
    <xf numFmtId="0" fontId="3" fillId="3" borderId="3" xfId="0" applyNumberFormat="1" applyFont="1" applyFill="1" applyBorder="1"/>
    <xf numFmtId="0" fontId="10" fillId="2" borderId="3" xfId="0" applyNumberFormat="1" applyFont="1" applyFill="1" applyBorder="1"/>
    <xf numFmtId="0" fontId="3" fillId="2" borderId="18" xfId="0" applyNumberFormat="1" applyFont="1" applyFill="1" applyBorder="1"/>
    <xf numFmtId="0" fontId="6" fillId="2" borderId="19" xfId="0" applyNumberFormat="1" applyFont="1" applyFill="1" applyBorder="1"/>
    <xf numFmtId="0" fontId="2" fillId="0" borderId="20" xfId="0" applyNumberFormat="1" applyFont="1" applyBorder="1"/>
    <xf numFmtId="0" fontId="5" fillId="0" borderId="4" xfId="0" applyNumberFormat="1" applyFont="1" applyBorder="1"/>
    <xf numFmtId="0" fontId="2" fillId="3" borderId="4" xfId="0" applyNumberFormat="1" applyFont="1" applyFill="1" applyBorder="1"/>
    <xf numFmtId="0" fontId="6" fillId="2" borderId="21" xfId="0" applyNumberFormat="1" applyFont="1" applyFill="1" applyBorder="1"/>
    <xf numFmtId="0" fontId="2" fillId="0" borderId="22" xfId="0" applyNumberFormat="1" applyFont="1" applyBorder="1"/>
    <xf numFmtId="0" fontId="5" fillId="0" borderId="5" xfId="0" applyNumberFormat="1" applyFont="1" applyBorder="1"/>
    <xf numFmtId="0" fontId="2" fillId="3" borderId="5" xfId="0" applyNumberFormat="1" applyFont="1" applyFill="1" applyBorder="1"/>
    <xf numFmtId="0" fontId="4" fillId="0" borderId="5" xfId="0" applyNumberFormat="1" applyFont="1" applyBorder="1"/>
    <xf numFmtId="0" fontId="2" fillId="0" borderId="23" xfId="0" applyNumberFormat="1" applyFont="1" applyBorder="1"/>
    <xf numFmtId="0" fontId="6" fillId="2" borderId="24" xfId="0" applyNumberFormat="1" applyFont="1" applyFill="1" applyBorder="1"/>
    <xf numFmtId="0" fontId="2" fillId="0" borderId="25" xfId="0" applyNumberFormat="1" applyFont="1" applyBorder="1"/>
    <xf numFmtId="0" fontId="5" fillId="0" borderId="6" xfId="0" applyNumberFormat="1" applyFont="1" applyBorder="1"/>
    <xf numFmtId="0" fontId="2" fillId="3" borderId="6" xfId="0" applyNumberFormat="1" applyFont="1" applyFill="1" applyBorder="1"/>
    <xf numFmtId="0" fontId="4" fillId="0" borderId="6" xfId="0" applyNumberFormat="1" applyFont="1" applyBorder="1"/>
    <xf numFmtId="0" fontId="4" fillId="0" borderId="20" xfId="0" applyNumberFormat="1" applyFont="1" applyBorder="1"/>
    <xf numFmtId="0" fontId="4" fillId="3" borderId="4" xfId="0" applyNumberFormat="1" applyFont="1" applyFill="1" applyBorder="1"/>
    <xf numFmtId="0" fontId="11" fillId="2" borderId="21" xfId="0" applyNumberFormat="1" applyFont="1" applyFill="1" applyBorder="1"/>
    <xf numFmtId="0" fontId="2" fillId="0" borderId="26" xfId="0" applyNumberFormat="1" applyFont="1" applyBorder="1"/>
    <xf numFmtId="0" fontId="2" fillId="3" borderId="2" xfId="0" applyNumberFormat="1" applyFont="1" applyFill="1" applyBorder="1"/>
    <xf numFmtId="0" fontId="2" fillId="0" borderId="27" xfId="0" applyNumberFormat="1" applyFont="1" applyBorder="1"/>
    <xf numFmtId="0" fontId="6" fillId="2" borderId="28" xfId="0" applyNumberFormat="1" applyFont="1" applyFill="1" applyBorder="1"/>
    <xf numFmtId="0" fontId="4" fillId="0" borderId="29" xfId="0" applyNumberFormat="1" applyFont="1" applyBorder="1"/>
    <xf numFmtId="0" fontId="4" fillId="0" borderId="30" xfId="0" applyNumberFormat="1" applyFont="1" applyBorder="1"/>
    <xf numFmtId="0" fontId="4" fillId="3" borderId="30" xfId="0" applyNumberFormat="1" applyFont="1" applyFill="1" applyBorder="1"/>
    <xf numFmtId="0" fontId="4" fillId="0" borderId="31" xfId="0" applyNumberFormat="1" applyFont="1" applyBorder="1"/>
    <xf numFmtId="0" fontId="11" fillId="2" borderId="32" xfId="0" applyNumberFormat="1" applyFont="1" applyFill="1" applyBorder="1"/>
    <xf numFmtId="0" fontId="5" fillId="0" borderId="0" xfId="0" applyNumberFormat="1" applyFont="1" applyBorder="1"/>
    <xf numFmtId="0" fontId="2" fillId="0" borderId="33" xfId="0" applyNumberFormat="1" applyFont="1" applyBorder="1"/>
    <xf numFmtId="0" fontId="5" fillId="0" borderId="34" xfId="0" applyNumberFormat="1" applyFont="1" applyBorder="1"/>
    <xf numFmtId="0" fontId="4" fillId="0" borderId="34" xfId="0" applyNumberFormat="1" applyFont="1" applyBorder="1"/>
    <xf numFmtId="0" fontId="4" fillId="3" borderId="34" xfId="0" applyNumberFormat="1" applyFont="1" applyFill="1" applyBorder="1"/>
    <xf numFmtId="0" fontId="15" fillId="0" borderId="8" xfId="0" applyFont="1" applyBorder="1"/>
    <xf numFmtId="0" fontId="16" fillId="0" borderId="8" xfId="0" applyFont="1" applyBorder="1"/>
    <xf numFmtId="0" fontId="15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7" fillId="0" borderId="8" xfId="0" applyFont="1" applyBorder="1"/>
    <xf numFmtId="0" fontId="0" fillId="0" borderId="8" xfId="0" applyBorder="1"/>
    <xf numFmtId="0" fontId="16" fillId="0" borderId="8" xfId="0" applyFont="1" applyBorder="1" applyAlignment="1"/>
    <xf numFmtId="0" fontId="16" fillId="0" borderId="8" xfId="0" applyFont="1" applyFill="1" applyBorder="1"/>
    <xf numFmtId="0" fontId="0" fillId="0" borderId="0" xfId="0" applyBorder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1"/>
  <sheetViews>
    <sheetView tabSelected="1" topLeftCell="A7" workbookViewId="0">
      <selection activeCell="E7" sqref="E7"/>
    </sheetView>
  </sheetViews>
  <sheetFormatPr defaultColWidth="9" defaultRowHeight="14.5"/>
  <cols>
    <col min="1" max="1" width="22.1796875" bestFit="1" customWidth="1"/>
    <col min="2" max="2" width="39.36328125" bestFit="1" customWidth="1"/>
    <col min="3" max="3" width="12.453125" bestFit="1" customWidth="1"/>
    <col min="4" max="4" width="17.6328125" bestFit="1" customWidth="1"/>
    <col min="5" max="5" width="15.81640625" bestFit="1" customWidth="1"/>
    <col min="6" max="6" width="1.81640625" bestFit="1" customWidth="1"/>
    <col min="7" max="7" width="14.90625" bestFit="1" customWidth="1"/>
    <col min="8" max="8" width="10.453125" bestFit="1" customWidth="1"/>
    <col min="9" max="9" width="20.90625" bestFit="1" customWidth="1"/>
  </cols>
  <sheetData>
    <row r="1" spans="1:7" ht="15.5">
      <c r="A1" s="67" t="s">
        <v>0</v>
      </c>
      <c r="B1" s="67"/>
      <c r="C1" s="67"/>
      <c r="D1" s="67"/>
      <c r="E1" s="67"/>
      <c r="F1" s="67"/>
      <c r="G1" s="67"/>
    </row>
    <row r="2" spans="1:7" ht="15.5">
      <c r="A2" s="65" t="s">
        <v>1</v>
      </c>
      <c r="B2" s="65" t="s">
        <v>2</v>
      </c>
      <c r="C2" s="65" t="s">
        <v>3</v>
      </c>
      <c r="D2" s="65" t="s">
        <v>111</v>
      </c>
      <c r="E2" s="69" t="s">
        <v>112</v>
      </c>
    </row>
    <row r="3" spans="1:7" ht="15.5">
      <c r="A3" s="66" t="s">
        <v>9</v>
      </c>
      <c r="B3" s="66"/>
      <c r="C3" s="66" t="s">
        <v>10</v>
      </c>
      <c r="D3" s="66">
        <v>35</v>
      </c>
      <c r="E3" s="70">
        <v>16</v>
      </c>
    </row>
    <row r="4" spans="1:7" ht="15.5">
      <c r="A4" s="66" t="s">
        <v>118</v>
      </c>
      <c r="B4" s="66" t="s">
        <v>117</v>
      </c>
      <c r="C4" s="66" t="s">
        <v>13</v>
      </c>
      <c r="D4" s="66">
        <v>36</v>
      </c>
      <c r="E4" s="70">
        <v>14</v>
      </c>
    </row>
    <row r="5" spans="1:7" ht="15.5">
      <c r="A5" s="66" t="s">
        <v>15</v>
      </c>
      <c r="B5" s="66" t="s">
        <v>63</v>
      </c>
      <c r="C5" s="66" t="s">
        <v>10</v>
      </c>
      <c r="D5" s="66">
        <v>12</v>
      </c>
      <c r="E5" s="70">
        <v>88</v>
      </c>
    </row>
    <row r="6" spans="1:7" ht="15.5">
      <c r="A6" s="66" t="s">
        <v>17</v>
      </c>
      <c r="B6" s="66" t="s">
        <v>18</v>
      </c>
      <c r="C6" s="66" t="s">
        <v>10</v>
      </c>
      <c r="D6" s="66">
        <v>45</v>
      </c>
      <c r="E6" s="70">
        <v>5.5</v>
      </c>
    </row>
    <row r="7" spans="1:7" ht="15.5">
      <c r="A7" s="66" t="s">
        <v>19</v>
      </c>
      <c r="B7" s="66" t="s">
        <v>20</v>
      </c>
      <c r="C7" s="66" t="s">
        <v>10</v>
      </c>
      <c r="D7" s="66">
        <v>45</v>
      </c>
      <c r="E7" s="70">
        <v>14</v>
      </c>
    </row>
    <row r="8" spans="1:7" ht="15.5">
      <c r="A8" s="66" t="s">
        <v>21</v>
      </c>
      <c r="B8" s="66" t="s">
        <v>22</v>
      </c>
      <c r="C8" s="66"/>
      <c r="D8" s="66">
        <v>13</v>
      </c>
      <c r="E8" s="70">
        <v>50</v>
      </c>
    </row>
    <row r="9" spans="1:7" ht="15.5">
      <c r="A9" s="66" t="s">
        <v>24</v>
      </c>
      <c r="B9" s="66" t="s">
        <v>25</v>
      </c>
      <c r="C9" s="66" t="s">
        <v>10</v>
      </c>
      <c r="D9" s="66">
        <v>50</v>
      </c>
      <c r="E9" s="70">
        <v>3.2</v>
      </c>
    </row>
    <row r="10" spans="1:7" ht="15.5">
      <c r="A10" s="66" t="s">
        <v>26</v>
      </c>
      <c r="B10" s="66" t="s">
        <v>27</v>
      </c>
      <c r="C10" s="66" t="s">
        <v>28</v>
      </c>
      <c r="D10" s="66">
        <v>24</v>
      </c>
      <c r="E10" s="70">
        <v>35</v>
      </c>
    </row>
    <row r="11" spans="1:7" ht="15.5">
      <c r="A11" s="66" t="s">
        <v>29</v>
      </c>
      <c r="B11" s="66" t="s">
        <v>30</v>
      </c>
      <c r="C11" s="66" t="s">
        <v>28</v>
      </c>
      <c r="D11" s="66">
        <v>6</v>
      </c>
      <c r="E11" s="70">
        <v>60</v>
      </c>
    </row>
    <row r="12" spans="1:7" ht="15.5">
      <c r="A12" s="66" t="s">
        <v>36</v>
      </c>
      <c r="B12" s="66" t="s">
        <v>37</v>
      </c>
      <c r="C12" s="66" t="s">
        <v>10</v>
      </c>
      <c r="D12" s="66">
        <v>7</v>
      </c>
      <c r="E12" s="70">
        <v>50</v>
      </c>
    </row>
    <row r="13" spans="1:7" ht="15.5">
      <c r="A13" s="66" t="s">
        <v>38</v>
      </c>
      <c r="B13" s="66" t="s">
        <v>39</v>
      </c>
      <c r="C13" s="66" t="s">
        <v>10</v>
      </c>
      <c r="D13" s="66">
        <v>4</v>
      </c>
      <c r="E13" s="70">
        <v>30</v>
      </c>
    </row>
    <row r="14" spans="1:7" ht="15.5">
      <c r="A14" s="66" t="s">
        <v>40</v>
      </c>
      <c r="B14" s="66" t="s">
        <v>41</v>
      </c>
      <c r="C14" s="66" t="s">
        <v>10</v>
      </c>
      <c r="D14" s="66">
        <v>3</v>
      </c>
      <c r="E14" s="70">
        <v>28</v>
      </c>
    </row>
    <row r="15" spans="1:7" ht="15.5">
      <c r="A15" s="66" t="s">
        <v>42</v>
      </c>
      <c r="B15" s="66" t="s">
        <v>43</v>
      </c>
      <c r="C15" s="66" t="s">
        <v>10</v>
      </c>
      <c r="D15" s="66">
        <v>12</v>
      </c>
      <c r="E15" s="70">
        <v>50</v>
      </c>
    </row>
    <row r="16" spans="1:7" ht="15.5">
      <c r="A16" s="66" t="s">
        <v>44</v>
      </c>
      <c r="B16" s="66" t="s">
        <v>45</v>
      </c>
      <c r="C16" s="66" t="s">
        <v>28</v>
      </c>
      <c r="D16" s="66">
        <v>8</v>
      </c>
      <c r="E16" s="70">
        <v>180</v>
      </c>
    </row>
    <row r="17" spans="1:5" ht="15.5">
      <c r="A17" s="66" t="s">
        <v>46</v>
      </c>
      <c r="B17" s="66" t="s">
        <v>47</v>
      </c>
      <c r="C17" s="66" t="s">
        <v>28</v>
      </c>
      <c r="D17" s="66">
        <v>12</v>
      </c>
      <c r="E17" s="70">
        <v>18</v>
      </c>
    </row>
    <row r="18" spans="1:5" ht="15.5">
      <c r="A18" s="66" t="s">
        <v>48</v>
      </c>
      <c r="B18" s="66" t="s">
        <v>49</v>
      </c>
      <c r="C18" s="66" t="s">
        <v>50</v>
      </c>
      <c r="D18" s="66">
        <v>5</v>
      </c>
      <c r="E18" s="70">
        <v>370</v>
      </c>
    </row>
    <row r="19" spans="1:5" ht="15.5">
      <c r="A19" s="66" t="s">
        <v>51</v>
      </c>
      <c r="B19" s="66" t="s">
        <v>52</v>
      </c>
      <c r="C19" s="66" t="s">
        <v>50</v>
      </c>
      <c r="D19" s="66">
        <v>5</v>
      </c>
      <c r="E19" s="70"/>
    </row>
    <row r="20" spans="1:5" ht="15.5">
      <c r="A20" s="66" t="s">
        <v>113</v>
      </c>
      <c r="B20" s="66" t="s">
        <v>57</v>
      </c>
      <c r="C20" s="66" t="s">
        <v>50</v>
      </c>
      <c r="D20" s="66">
        <v>5</v>
      </c>
      <c r="E20" s="70">
        <v>360</v>
      </c>
    </row>
    <row r="21" spans="1:5" ht="15.5">
      <c r="A21" s="66" t="s">
        <v>73</v>
      </c>
      <c r="B21" s="66"/>
      <c r="C21" s="66"/>
      <c r="D21" s="66">
        <v>3</v>
      </c>
      <c r="E21" s="70">
        <v>30</v>
      </c>
    </row>
    <row r="22" spans="1:5" ht="15.5">
      <c r="A22" s="66" t="s">
        <v>75</v>
      </c>
      <c r="B22" s="66"/>
      <c r="C22" s="66" t="s">
        <v>76</v>
      </c>
      <c r="D22" s="66">
        <v>6</v>
      </c>
      <c r="E22" s="70"/>
    </row>
    <row r="23" spans="1:5" ht="15.5">
      <c r="A23" s="66" t="s">
        <v>80</v>
      </c>
      <c r="B23" s="66" t="s">
        <v>81</v>
      </c>
      <c r="C23" s="66" t="s">
        <v>28</v>
      </c>
      <c r="D23" s="66">
        <v>100</v>
      </c>
      <c r="E23" s="70">
        <v>11</v>
      </c>
    </row>
    <row r="24" spans="1:5" ht="15.5">
      <c r="A24" s="66" t="s">
        <v>82</v>
      </c>
      <c r="B24" s="66" t="s">
        <v>83</v>
      </c>
      <c r="C24" s="66"/>
      <c r="D24" s="66">
        <v>100</v>
      </c>
      <c r="E24" s="70">
        <v>21</v>
      </c>
    </row>
    <row r="25" spans="1:5" ht="15.5">
      <c r="A25" s="66" t="s">
        <v>84</v>
      </c>
      <c r="B25" s="66" t="s">
        <v>85</v>
      </c>
      <c r="C25" s="66"/>
      <c r="D25" s="66">
        <v>100</v>
      </c>
      <c r="E25" s="70"/>
    </row>
    <row r="26" spans="1:5" ht="15.5">
      <c r="A26" s="66" t="s">
        <v>86</v>
      </c>
      <c r="B26" s="66" t="s">
        <v>87</v>
      </c>
      <c r="C26" s="66"/>
      <c r="D26" s="66">
        <v>60</v>
      </c>
      <c r="E26" s="70">
        <v>14</v>
      </c>
    </row>
    <row r="27" spans="1:5" ht="15.5">
      <c r="A27" s="66" t="s">
        <v>90</v>
      </c>
      <c r="B27" s="66"/>
      <c r="C27" s="66" t="s">
        <v>28</v>
      </c>
      <c r="D27" s="66">
        <v>3</v>
      </c>
      <c r="E27" s="70">
        <v>33</v>
      </c>
    </row>
    <row r="28" spans="1:5" ht="15.5">
      <c r="A28" s="66" t="s">
        <v>91</v>
      </c>
      <c r="B28" s="66"/>
      <c r="C28" s="66" t="s">
        <v>28</v>
      </c>
      <c r="D28" s="66">
        <v>5</v>
      </c>
      <c r="E28" s="70">
        <v>33</v>
      </c>
    </row>
    <row r="29" spans="1:5" ht="15.5">
      <c r="A29" s="66" t="s">
        <v>92</v>
      </c>
      <c r="B29" s="66"/>
      <c r="C29" s="66" t="s">
        <v>28</v>
      </c>
      <c r="D29" s="66">
        <v>10</v>
      </c>
      <c r="E29" s="70"/>
    </row>
    <row r="30" spans="1:5" ht="15.5">
      <c r="A30" s="66" t="s">
        <v>93</v>
      </c>
      <c r="B30" s="66" t="s">
        <v>94</v>
      </c>
      <c r="C30" s="66"/>
      <c r="D30" s="66">
        <v>3</v>
      </c>
      <c r="E30" s="70">
        <v>80</v>
      </c>
    </row>
    <row r="31" spans="1:5" ht="15.5">
      <c r="A31" s="71" t="s">
        <v>114</v>
      </c>
      <c r="B31" s="71" t="s">
        <v>115</v>
      </c>
      <c r="C31" s="71" t="s">
        <v>116</v>
      </c>
      <c r="D31" s="72">
        <v>1</v>
      </c>
      <c r="E31" s="70">
        <v>14.5</v>
      </c>
    </row>
    <row r="32" spans="1:5" ht="15.5">
      <c r="A32" s="66" t="s">
        <v>96</v>
      </c>
      <c r="B32" s="68" t="s">
        <v>50</v>
      </c>
      <c r="C32" s="66" t="s">
        <v>119</v>
      </c>
      <c r="D32" s="70"/>
      <c r="E32" s="70">
        <v>0.38</v>
      </c>
    </row>
    <row r="41" spans="1:1">
      <c r="A41" s="73"/>
    </row>
  </sheetData>
  <mergeCells count="1">
    <mergeCell ref="A1:G1"/>
  </mergeCells>
  <pageMargins left="0.70866141732283461" right="0.70866141732283461" top="0.74803149606299213" bottom="0.74803149606299213" header="0.31496062992125984" footer="0.31496062992125984"/>
  <pageSetup paperSize="9"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C626-771B-44FE-9D76-1CD6452A2DAA}">
  <dimension ref="A1"/>
  <sheetViews>
    <sheetView workbookViewId="0">
      <selection sqref="A1:C2"/>
    </sheetView>
  </sheetViews>
  <sheetFormatPr defaultRowHeight="14.5"/>
  <cols>
    <col min="1" max="1" width="26.81640625" bestFit="1" customWidth="1"/>
  </cols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0"/>
  <sheetViews>
    <sheetView topLeftCell="A43" workbookViewId="0">
      <selection activeCell="G70" sqref="G70"/>
    </sheetView>
  </sheetViews>
  <sheetFormatPr defaultColWidth="9.81640625" defaultRowHeight="13"/>
  <cols>
    <col min="1" max="1" width="4.453125" style="9" customWidth="1"/>
    <col min="2" max="2" width="26.1796875" style="10" customWidth="1"/>
    <col min="3" max="3" width="22.453125" style="11" customWidth="1"/>
    <col min="4" max="4" width="9.81640625" style="10"/>
    <col min="5" max="5" width="9.81640625" style="12"/>
    <col min="6" max="6" width="9.81640625" style="13"/>
    <col min="7" max="7" width="10.81640625" style="14" customWidth="1"/>
    <col min="8" max="8" width="9.81640625" style="15"/>
    <col min="9" max="16384" width="9.81640625" style="10"/>
  </cols>
  <sheetData>
    <row r="1" spans="1:8" s="1" customFormat="1">
      <c r="A1" s="16"/>
      <c r="B1" s="1" t="s">
        <v>0</v>
      </c>
      <c r="C1" s="17"/>
      <c r="E1" s="18"/>
      <c r="F1" s="19"/>
      <c r="G1" s="20"/>
      <c r="H1" s="21"/>
    </row>
    <row r="2" spans="1:8" s="2" customFormat="1">
      <c r="A2" s="22"/>
      <c r="B2" s="22"/>
      <c r="C2" s="23"/>
      <c r="E2" s="24">
        <v>45988</v>
      </c>
      <c r="F2" s="25"/>
      <c r="G2" s="26"/>
      <c r="H2" s="27"/>
    </row>
    <row r="3" spans="1:8" s="3" customFormat="1">
      <c r="A3" s="28"/>
      <c r="B3" s="28" t="s">
        <v>1</v>
      </c>
      <c r="C3" s="29" t="s">
        <v>2</v>
      </c>
      <c r="D3" s="3" t="s">
        <v>3</v>
      </c>
      <c r="E3" s="30" t="s">
        <v>4</v>
      </c>
      <c r="F3" s="31" t="s">
        <v>5</v>
      </c>
      <c r="G3" s="32" t="s">
        <v>6</v>
      </c>
      <c r="H3" s="33" t="s">
        <v>7</v>
      </c>
    </row>
    <row r="4" spans="1:8" s="4" customFormat="1">
      <c r="A4" s="34"/>
      <c r="B4" s="4" t="s">
        <v>8</v>
      </c>
      <c r="C4" s="35"/>
      <c r="E4" s="36"/>
      <c r="F4" s="7"/>
      <c r="H4" s="37"/>
    </row>
    <row r="5" spans="1:8" s="5" customFormat="1" ht="15.75" customHeight="1">
      <c r="A5" s="38">
        <v>1</v>
      </c>
      <c r="B5" s="5" t="s">
        <v>9</v>
      </c>
      <c r="C5" s="39"/>
      <c r="D5" s="5" t="s">
        <v>10</v>
      </c>
      <c r="E5" s="40">
        <v>1</v>
      </c>
      <c r="F5" s="41">
        <v>3</v>
      </c>
      <c r="G5" s="42">
        <f t="shared" ref="G5:G6" si="0">+F5*12</f>
        <v>36</v>
      </c>
      <c r="H5" s="43">
        <f>G5-E5</f>
        <v>35</v>
      </c>
    </row>
    <row r="6" spans="1:8" s="6" customFormat="1" ht="15.75" customHeight="1">
      <c r="A6" s="44">
        <v>2</v>
      </c>
      <c r="B6" s="6" t="s">
        <v>11</v>
      </c>
      <c r="C6" s="45" t="s">
        <v>12</v>
      </c>
      <c r="D6" s="6" t="s">
        <v>13</v>
      </c>
      <c r="E6" s="46">
        <v>0</v>
      </c>
      <c r="F6" s="47">
        <v>3</v>
      </c>
      <c r="G6" s="42">
        <f t="shared" si="0"/>
        <v>36</v>
      </c>
      <c r="H6" s="43">
        <f>G6-E6</f>
        <v>36</v>
      </c>
    </row>
    <row r="7" spans="1:8" s="7" customFormat="1">
      <c r="A7" s="48"/>
      <c r="B7" s="7" t="s">
        <v>14</v>
      </c>
      <c r="C7" s="35"/>
      <c r="E7" s="49"/>
      <c r="H7" s="50"/>
    </row>
    <row r="8" spans="1:8" s="5" customFormat="1">
      <c r="A8" s="38">
        <v>3</v>
      </c>
      <c r="B8" s="5" t="s">
        <v>15</v>
      </c>
      <c r="C8" s="39" t="s">
        <v>16</v>
      </c>
      <c r="D8" s="5" t="s">
        <v>10</v>
      </c>
      <c r="E8" s="40">
        <v>0.2</v>
      </c>
      <c r="F8" s="41">
        <v>0.5</v>
      </c>
      <c r="G8" s="42">
        <v>12</v>
      </c>
      <c r="H8" s="43">
        <f>G8-E8</f>
        <v>11.8</v>
      </c>
    </row>
    <row r="9" spans="1:8">
      <c r="A9" s="9">
        <v>4</v>
      </c>
      <c r="B9" s="10" t="s">
        <v>17</v>
      </c>
      <c r="C9" s="11" t="s">
        <v>18</v>
      </c>
      <c r="D9" s="10" t="s">
        <v>10</v>
      </c>
      <c r="E9" s="12">
        <v>0</v>
      </c>
      <c r="F9" s="13">
        <v>2.5</v>
      </c>
      <c r="G9" s="42">
        <v>45</v>
      </c>
      <c r="H9" s="43">
        <f>G9-E9</f>
        <v>45</v>
      </c>
    </row>
    <row r="10" spans="1:8">
      <c r="A10" s="9">
        <v>6</v>
      </c>
      <c r="B10" s="10" t="s">
        <v>19</v>
      </c>
      <c r="C10" s="11" t="s">
        <v>20</v>
      </c>
      <c r="D10" s="10" t="s">
        <v>10</v>
      </c>
      <c r="E10" s="12">
        <v>0</v>
      </c>
      <c r="F10" s="13">
        <v>2.5</v>
      </c>
      <c r="G10" s="42">
        <v>45</v>
      </c>
      <c r="H10" s="43">
        <f>G10-E10</f>
        <v>45</v>
      </c>
    </row>
    <row r="11" spans="1:8">
      <c r="A11" s="9">
        <v>7</v>
      </c>
      <c r="B11" s="10" t="s">
        <v>21</v>
      </c>
      <c r="C11" s="11" t="s">
        <v>22</v>
      </c>
      <c r="E11" s="12">
        <v>1.5</v>
      </c>
      <c r="F11" s="13">
        <v>0.6</v>
      </c>
      <c r="G11" s="42">
        <v>14</v>
      </c>
      <c r="H11" s="43">
        <f>G11-E11</f>
        <v>12.5</v>
      </c>
    </row>
    <row r="12" spans="1:8" s="7" customFormat="1">
      <c r="A12" s="48"/>
      <c r="B12" s="7" t="s">
        <v>23</v>
      </c>
      <c r="C12" s="35"/>
      <c r="E12" s="49"/>
      <c r="H12" s="50"/>
    </row>
    <row r="13" spans="1:8">
      <c r="A13" s="9">
        <v>9</v>
      </c>
      <c r="B13" s="10" t="s">
        <v>24</v>
      </c>
      <c r="C13" s="11" t="s">
        <v>25</v>
      </c>
      <c r="D13" s="10" t="s">
        <v>10</v>
      </c>
      <c r="E13" s="12">
        <v>0</v>
      </c>
      <c r="F13" s="13">
        <v>0.3</v>
      </c>
      <c r="G13" s="42">
        <v>50</v>
      </c>
      <c r="H13" s="43">
        <f>G13-E13</f>
        <v>50</v>
      </c>
    </row>
    <row r="14" spans="1:8">
      <c r="A14" s="9">
        <v>10</v>
      </c>
      <c r="B14" s="10" t="s">
        <v>26</v>
      </c>
      <c r="C14" s="11" t="s">
        <v>27</v>
      </c>
      <c r="D14" s="10" t="s">
        <v>28</v>
      </c>
      <c r="E14" s="12">
        <v>0</v>
      </c>
      <c r="F14" s="13">
        <v>2</v>
      </c>
      <c r="G14" s="42">
        <f t="shared" ref="G14:G17" si="1">+F14*12</f>
        <v>24</v>
      </c>
      <c r="H14" s="43">
        <f>G14-E14</f>
        <v>24</v>
      </c>
    </row>
    <row r="15" spans="1:8">
      <c r="A15" s="9">
        <v>11</v>
      </c>
      <c r="B15" s="10" t="s">
        <v>29</v>
      </c>
      <c r="C15" s="11" t="s">
        <v>30</v>
      </c>
      <c r="D15" s="10" t="s">
        <v>28</v>
      </c>
      <c r="E15" s="12">
        <v>0</v>
      </c>
      <c r="F15" s="13">
        <v>0.5</v>
      </c>
      <c r="G15" s="42">
        <f t="shared" si="1"/>
        <v>6</v>
      </c>
      <c r="H15" s="43">
        <f>G15-E15</f>
        <v>6</v>
      </c>
    </row>
    <row r="16" spans="1:8">
      <c r="A16" s="9">
        <v>12</v>
      </c>
      <c r="B16" s="10" t="s">
        <v>31</v>
      </c>
      <c r="C16" s="11" t="s">
        <v>32</v>
      </c>
      <c r="D16" s="10" t="s">
        <v>28</v>
      </c>
      <c r="E16" s="12">
        <v>8.1999999999999993</v>
      </c>
      <c r="F16" s="13">
        <v>0.75</v>
      </c>
      <c r="G16" s="42">
        <f t="shared" si="1"/>
        <v>9</v>
      </c>
      <c r="H16" s="43">
        <f>G16-E16</f>
        <v>0.80000000000000104</v>
      </c>
    </row>
    <row r="17" spans="1:18">
      <c r="A17" s="9">
        <v>13</v>
      </c>
      <c r="B17" s="10" t="s">
        <v>33</v>
      </c>
      <c r="C17" s="11" t="s">
        <v>34</v>
      </c>
      <c r="D17" s="10" t="s">
        <v>28</v>
      </c>
      <c r="E17" s="12">
        <v>5</v>
      </c>
      <c r="F17" s="13">
        <v>0.3</v>
      </c>
      <c r="G17" s="42">
        <f t="shared" si="1"/>
        <v>3.6</v>
      </c>
      <c r="H17" s="43">
        <f>G17-E17</f>
        <v>-1.4</v>
      </c>
    </row>
    <row r="18" spans="1:18" s="7" customFormat="1">
      <c r="A18" s="48"/>
      <c r="B18" s="7" t="s">
        <v>35</v>
      </c>
      <c r="C18" s="35"/>
      <c r="E18" s="49"/>
      <c r="H18" s="50"/>
    </row>
    <row r="19" spans="1:18">
      <c r="A19" s="9">
        <v>13</v>
      </c>
      <c r="B19" s="10" t="s">
        <v>36</v>
      </c>
      <c r="C19" s="11" t="s">
        <v>37</v>
      </c>
      <c r="D19" s="10" t="s">
        <v>10</v>
      </c>
      <c r="E19" s="12">
        <v>2.8</v>
      </c>
      <c r="F19" s="13">
        <v>0.4</v>
      </c>
      <c r="G19" s="42">
        <v>9.6</v>
      </c>
      <c r="H19" s="43">
        <f t="shared" ref="H19:H26" si="2">G19-E19</f>
        <v>6.8</v>
      </c>
    </row>
    <row r="20" spans="1:18">
      <c r="A20" s="9">
        <v>14</v>
      </c>
      <c r="B20" s="10" t="s">
        <v>38</v>
      </c>
      <c r="C20" s="11" t="s">
        <v>39</v>
      </c>
      <c r="D20" s="10" t="s">
        <v>10</v>
      </c>
      <c r="E20" s="12">
        <v>3.6</v>
      </c>
      <c r="F20" s="13">
        <v>0.6</v>
      </c>
      <c r="G20" s="42">
        <f t="shared" ref="G20:G29" si="3">+F20*12</f>
        <v>7.2</v>
      </c>
      <c r="H20" s="43">
        <f t="shared" si="2"/>
        <v>3.6</v>
      </c>
    </row>
    <row r="21" spans="1:18">
      <c r="A21" s="9">
        <v>15</v>
      </c>
      <c r="B21" s="10" t="s">
        <v>40</v>
      </c>
      <c r="C21" s="11" t="s">
        <v>41</v>
      </c>
      <c r="D21" s="10" t="s">
        <v>10</v>
      </c>
      <c r="E21" s="12">
        <v>3.9</v>
      </c>
      <c r="F21" s="13">
        <v>0.5</v>
      </c>
      <c r="G21" s="42">
        <f t="shared" si="3"/>
        <v>6</v>
      </c>
      <c r="H21" s="43">
        <f t="shared" si="2"/>
        <v>2.1</v>
      </c>
    </row>
    <row r="22" spans="1:18">
      <c r="A22" s="9">
        <v>16</v>
      </c>
      <c r="B22" s="10" t="s">
        <v>42</v>
      </c>
      <c r="C22" s="11" t="s">
        <v>43</v>
      </c>
      <c r="D22" s="10" t="s">
        <v>10</v>
      </c>
      <c r="E22" s="12">
        <v>0</v>
      </c>
      <c r="F22" s="13">
        <v>0.5</v>
      </c>
      <c r="G22" s="42">
        <v>12</v>
      </c>
      <c r="H22" s="43">
        <f t="shared" si="2"/>
        <v>12</v>
      </c>
    </row>
    <row r="23" spans="1:18">
      <c r="A23" s="9">
        <v>17</v>
      </c>
      <c r="B23" s="10" t="s">
        <v>44</v>
      </c>
      <c r="C23" s="11" t="s">
        <v>45</v>
      </c>
      <c r="D23" s="10" t="s">
        <v>28</v>
      </c>
      <c r="E23" s="12">
        <v>0.8</v>
      </c>
      <c r="F23" s="13">
        <v>0.4</v>
      </c>
      <c r="G23" s="42">
        <v>9</v>
      </c>
      <c r="H23" s="43">
        <f t="shared" si="2"/>
        <v>8.1999999999999993</v>
      </c>
    </row>
    <row r="24" spans="1:18">
      <c r="A24" s="9">
        <v>18</v>
      </c>
      <c r="B24" s="10" t="s">
        <v>46</v>
      </c>
      <c r="C24" s="11" t="s">
        <v>47</v>
      </c>
      <c r="D24" s="10" t="s">
        <v>28</v>
      </c>
      <c r="E24" s="12">
        <v>0</v>
      </c>
      <c r="F24" s="13">
        <v>0.6</v>
      </c>
      <c r="G24" s="42">
        <v>12</v>
      </c>
      <c r="H24" s="43">
        <f t="shared" si="2"/>
        <v>12</v>
      </c>
    </row>
    <row r="25" spans="1:18">
      <c r="A25" s="9">
        <v>19</v>
      </c>
      <c r="B25" s="10" t="s">
        <v>48</v>
      </c>
      <c r="C25" s="11" t="s">
        <v>49</v>
      </c>
      <c r="D25" s="10" t="s">
        <v>50</v>
      </c>
      <c r="E25" s="12">
        <v>0.1</v>
      </c>
      <c r="F25" s="13">
        <v>0.2</v>
      </c>
      <c r="G25" s="42">
        <v>4.8</v>
      </c>
      <c r="H25" s="43">
        <f t="shared" si="2"/>
        <v>4.7</v>
      </c>
    </row>
    <row r="26" spans="1:18">
      <c r="A26" s="9">
        <v>20</v>
      </c>
      <c r="B26" s="10" t="s">
        <v>51</v>
      </c>
      <c r="C26" s="11" t="s">
        <v>52</v>
      </c>
      <c r="D26" s="10" t="s">
        <v>50</v>
      </c>
      <c r="E26" s="12">
        <v>1</v>
      </c>
      <c r="F26" s="13">
        <v>0.5</v>
      </c>
      <c r="G26" s="42">
        <v>6</v>
      </c>
      <c r="H26" s="43">
        <f t="shared" si="2"/>
        <v>5</v>
      </c>
    </row>
    <row r="27" spans="1:18">
      <c r="A27" s="9">
        <v>21</v>
      </c>
      <c r="B27" s="10" t="s">
        <v>53</v>
      </c>
      <c r="C27" s="11" t="s">
        <v>54</v>
      </c>
      <c r="D27" s="10" t="s">
        <v>55</v>
      </c>
      <c r="E27" s="12">
        <v>2</v>
      </c>
      <c r="F27" s="13">
        <v>0.5</v>
      </c>
      <c r="G27" s="42">
        <f t="shared" ref="G27" si="4">+F27*12</f>
        <v>6</v>
      </c>
      <c r="H27" s="43">
        <v>0</v>
      </c>
    </row>
    <row r="28" spans="1:18">
      <c r="A28" s="9">
        <v>22</v>
      </c>
      <c r="B28" s="10" t="s">
        <v>56</v>
      </c>
      <c r="C28" s="11" t="s">
        <v>57</v>
      </c>
      <c r="D28" s="10" t="s">
        <v>50</v>
      </c>
      <c r="E28" s="12">
        <v>2.4</v>
      </c>
      <c r="F28" s="13">
        <v>0.2</v>
      </c>
      <c r="G28" s="42">
        <v>7.2</v>
      </c>
      <c r="H28" s="43">
        <f>G28-E28</f>
        <v>4.8</v>
      </c>
    </row>
    <row r="29" spans="1:18">
      <c r="A29" s="9">
        <v>23</v>
      </c>
      <c r="B29" s="10" t="s">
        <v>58</v>
      </c>
      <c r="C29" s="11" t="s">
        <v>59</v>
      </c>
      <c r="D29" s="10" t="s">
        <v>60</v>
      </c>
      <c r="E29" s="12">
        <v>6.9</v>
      </c>
      <c r="F29" s="13">
        <v>0.08</v>
      </c>
      <c r="G29" s="42">
        <f t="shared" si="3"/>
        <v>0.96</v>
      </c>
      <c r="H29" s="43">
        <v>0</v>
      </c>
    </row>
    <row r="30" spans="1:18" s="7" customFormat="1">
      <c r="A30" s="48"/>
      <c r="B30" s="7" t="s">
        <v>61</v>
      </c>
      <c r="C30" s="35"/>
      <c r="E30" s="49"/>
      <c r="G30" s="51"/>
      <c r="H30" s="37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s="8" customFormat="1">
      <c r="A31" s="9">
        <v>23</v>
      </c>
      <c r="B31" s="10" t="s">
        <v>62</v>
      </c>
      <c r="C31" s="11" t="s">
        <v>63</v>
      </c>
      <c r="D31" s="10" t="s">
        <v>10</v>
      </c>
      <c r="E31" s="12">
        <v>4.8</v>
      </c>
      <c r="F31" s="13">
        <v>0.8</v>
      </c>
      <c r="G31" s="42">
        <f t="shared" ref="G31:G33" si="5">+F31*12</f>
        <v>9.6</v>
      </c>
      <c r="H31" s="43">
        <v>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s="8" customFormat="1">
      <c r="A32" s="22">
        <v>24</v>
      </c>
      <c r="B32" s="10" t="s">
        <v>64</v>
      </c>
      <c r="C32" s="11" t="s">
        <v>65</v>
      </c>
      <c r="D32" s="10" t="s">
        <v>10</v>
      </c>
      <c r="E32" s="12">
        <v>5.5</v>
      </c>
      <c r="F32" s="13">
        <v>0.75</v>
      </c>
      <c r="G32" s="42">
        <f t="shared" si="5"/>
        <v>9</v>
      </c>
      <c r="H32" s="43">
        <v>0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s="8" customFormat="1">
      <c r="A33" s="9">
        <v>25</v>
      </c>
      <c r="B33" s="2" t="s">
        <v>66</v>
      </c>
      <c r="C33" s="23" t="s">
        <v>65</v>
      </c>
      <c r="D33" s="2" t="s">
        <v>28</v>
      </c>
      <c r="E33" s="52">
        <v>0</v>
      </c>
      <c r="F33" s="25">
        <v>1</v>
      </c>
      <c r="G33" s="53">
        <f t="shared" si="5"/>
        <v>12</v>
      </c>
      <c r="H33" s="54">
        <v>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s="7" customFormat="1">
      <c r="A34" s="55"/>
      <c r="B34" s="56" t="s">
        <v>67</v>
      </c>
      <c r="C34" s="56" t="s">
        <v>68</v>
      </c>
      <c r="D34" s="56"/>
      <c r="E34" s="57"/>
      <c r="F34" s="56"/>
      <c r="G34" s="58"/>
      <c r="H34" s="59">
        <f t="shared" ref="H34:H50" si="6">G34-E34</f>
        <v>0</v>
      </c>
    </row>
    <row r="35" spans="1:18">
      <c r="A35" s="38">
        <v>28</v>
      </c>
      <c r="B35" s="5" t="s">
        <v>69</v>
      </c>
      <c r="C35" s="60"/>
      <c r="E35" s="12">
        <v>11.5</v>
      </c>
      <c r="G35" s="42">
        <f t="shared" ref="G35:G38" si="7">+F35*12</f>
        <v>0</v>
      </c>
      <c r="H35" s="43">
        <f t="shared" si="6"/>
        <v>-11.5</v>
      </c>
    </row>
    <row r="36" spans="1:18">
      <c r="A36" s="9">
        <v>29</v>
      </c>
      <c r="B36" s="10" t="s">
        <v>70</v>
      </c>
      <c r="C36" s="11" t="s">
        <v>71</v>
      </c>
      <c r="E36" s="12">
        <v>84</v>
      </c>
      <c r="G36" s="42">
        <f t="shared" si="7"/>
        <v>0</v>
      </c>
      <c r="H36" s="43">
        <f t="shared" si="6"/>
        <v>-84</v>
      </c>
    </row>
    <row r="37" spans="1:18">
      <c r="A37" s="9">
        <v>30</v>
      </c>
      <c r="B37" s="10" t="s">
        <v>72</v>
      </c>
      <c r="E37" s="12">
        <v>0</v>
      </c>
      <c r="G37" s="42">
        <f t="shared" si="7"/>
        <v>0</v>
      </c>
      <c r="H37" s="43">
        <f t="shared" si="6"/>
        <v>0</v>
      </c>
    </row>
    <row r="38" spans="1:18">
      <c r="A38" s="9">
        <v>31</v>
      </c>
      <c r="B38" s="10" t="s">
        <v>73</v>
      </c>
      <c r="E38" s="12">
        <v>1</v>
      </c>
      <c r="G38" s="42">
        <f t="shared" si="7"/>
        <v>0</v>
      </c>
      <c r="H38" s="43">
        <v>3</v>
      </c>
    </row>
    <row r="39" spans="1:18" s="7" customFormat="1">
      <c r="A39" s="9">
        <v>28</v>
      </c>
      <c r="B39" s="7" t="s">
        <v>74</v>
      </c>
      <c r="C39" s="35"/>
      <c r="E39" s="49"/>
      <c r="H39" s="43">
        <f t="shared" si="6"/>
        <v>0</v>
      </c>
    </row>
    <row r="40" spans="1:18">
      <c r="A40" s="48"/>
      <c r="H40" s="43">
        <f t="shared" si="6"/>
        <v>0</v>
      </c>
    </row>
    <row r="41" spans="1:18">
      <c r="A41" s="9">
        <v>29</v>
      </c>
      <c r="B41" s="10" t="s">
        <v>75</v>
      </c>
      <c r="D41" s="10" t="s">
        <v>76</v>
      </c>
      <c r="E41" s="12">
        <v>0.1</v>
      </c>
      <c r="F41" s="13">
        <v>0.5</v>
      </c>
      <c r="G41" s="42">
        <f t="shared" ref="G41:G43" si="8">+F41*12</f>
        <v>6</v>
      </c>
      <c r="H41" s="43">
        <v>6</v>
      </c>
    </row>
    <row r="42" spans="1:18">
      <c r="B42" s="10" t="s">
        <v>77</v>
      </c>
      <c r="E42" s="12">
        <v>3</v>
      </c>
      <c r="G42" s="42">
        <f t="shared" si="8"/>
        <v>0</v>
      </c>
      <c r="H42" s="43">
        <f t="shared" si="6"/>
        <v>-3</v>
      </c>
    </row>
    <row r="43" spans="1:18">
      <c r="B43" s="10" t="s">
        <v>78</v>
      </c>
      <c r="E43" s="12">
        <v>1</v>
      </c>
      <c r="G43" s="42">
        <f t="shared" si="8"/>
        <v>0</v>
      </c>
      <c r="H43" s="43">
        <f t="shared" si="6"/>
        <v>-1</v>
      </c>
    </row>
    <row r="44" spans="1:18" s="7" customFormat="1">
      <c r="A44" s="61"/>
      <c r="B44" s="7" t="s">
        <v>79</v>
      </c>
      <c r="E44" s="49"/>
      <c r="G44" s="51"/>
      <c r="H44" s="37">
        <f t="shared" si="6"/>
        <v>0</v>
      </c>
    </row>
    <row r="45" spans="1:18" s="5" customFormat="1">
      <c r="A45" s="38"/>
      <c r="B45" s="5" t="s">
        <v>80</v>
      </c>
      <c r="C45" s="39" t="s">
        <v>81</v>
      </c>
      <c r="D45" s="5" t="s">
        <v>28</v>
      </c>
      <c r="E45" s="40"/>
      <c r="F45" s="41">
        <v>0.3</v>
      </c>
      <c r="G45" s="42">
        <f>+F45*12*26</f>
        <v>93.6</v>
      </c>
      <c r="H45" s="43">
        <v>100</v>
      </c>
    </row>
    <row r="46" spans="1:18">
      <c r="B46" s="10" t="s">
        <v>82</v>
      </c>
      <c r="C46" s="11" t="s">
        <v>83</v>
      </c>
      <c r="E46" s="12">
        <v>0</v>
      </c>
      <c r="F46" s="13">
        <v>0.3</v>
      </c>
      <c r="G46" s="42">
        <f>+F46*12*26</f>
        <v>93.6</v>
      </c>
      <c r="H46" s="43">
        <v>100</v>
      </c>
    </row>
    <row r="47" spans="1:18">
      <c r="B47" s="10" t="s">
        <v>84</v>
      </c>
      <c r="C47" s="11" t="s">
        <v>85</v>
      </c>
      <c r="E47" s="12">
        <v>40.5</v>
      </c>
      <c r="G47" s="42"/>
      <c r="H47" s="43">
        <v>100</v>
      </c>
    </row>
    <row r="48" spans="1:18">
      <c r="B48" s="10" t="s">
        <v>86</v>
      </c>
      <c r="C48" s="11" t="s">
        <v>87</v>
      </c>
      <c r="E48" s="12">
        <v>0</v>
      </c>
      <c r="G48" s="42">
        <v>60</v>
      </c>
      <c r="H48" s="43">
        <f>G48-E48</f>
        <v>60</v>
      </c>
    </row>
    <row r="49" spans="1:8">
      <c r="B49" s="10" t="s">
        <v>88</v>
      </c>
      <c r="E49" s="12">
        <v>0</v>
      </c>
    </row>
    <row r="50" spans="1:8" s="7" customFormat="1">
      <c r="A50" s="9"/>
      <c r="B50" s="7" t="s">
        <v>89</v>
      </c>
      <c r="C50" s="62"/>
      <c r="D50" s="63"/>
      <c r="E50" s="64"/>
      <c r="F50" s="63"/>
      <c r="H50" s="43">
        <f t="shared" si="6"/>
        <v>0</v>
      </c>
    </row>
    <row r="51" spans="1:8">
      <c r="B51" s="10" t="s">
        <v>90</v>
      </c>
      <c r="D51" s="10" t="s">
        <v>28</v>
      </c>
      <c r="E51" s="12">
        <v>13</v>
      </c>
      <c r="F51" s="13">
        <v>0.5</v>
      </c>
      <c r="G51" s="42">
        <f>+F51*12</f>
        <v>6</v>
      </c>
      <c r="H51" s="43">
        <v>3</v>
      </c>
    </row>
    <row r="52" spans="1:8">
      <c r="B52" s="10" t="s">
        <v>91</v>
      </c>
      <c r="D52" s="10" t="s">
        <v>28</v>
      </c>
      <c r="E52" s="12">
        <v>0</v>
      </c>
      <c r="F52" s="13">
        <v>0.5</v>
      </c>
      <c r="G52" s="42">
        <f>+F52*12</f>
        <v>6</v>
      </c>
      <c r="H52" s="43">
        <v>5</v>
      </c>
    </row>
    <row r="53" spans="1:8">
      <c r="B53" s="10" t="s">
        <v>92</v>
      </c>
      <c r="D53" s="10" t="s">
        <v>28</v>
      </c>
      <c r="E53" s="12">
        <v>14.25</v>
      </c>
      <c r="F53" s="13">
        <v>0.5</v>
      </c>
      <c r="G53" s="42">
        <f>+F53*12</f>
        <v>6</v>
      </c>
      <c r="H53" s="43">
        <v>10</v>
      </c>
    </row>
    <row r="54" spans="1:8">
      <c r="B54" s="10" t="s">
        <v>93</v>
      </c>
      <c r="C54" s="11" t="s">
        <v>94</v>
      </c>
      <c r="E54" s="12">
        <v>1</v>
      </c>
      <c r="F54" s="13">
        <v>0.2</v>
      </c>
      <c r="G54" s="42">
        <f>+F54*12</f>
        <v>2.4</v>
      </c>
      <c r="H54" s="43">
        <v>3</v>
      </c>
    </row>
    <row r="55" spans="1:8" s="7" customFormat="1">
      <c r="A55" s="9"/>
      <c r="B55" s="7" t="s">
        <v>95</v>
      </c>
      <c r="C55" s="62"/>
      <c r="D55" s="63"/>
      <c r="E55" s="64"/>
      <c r="F55" s="63"/>
      <c r="H55" s="43">
        <f t="shared" ref="H55" si="9">G55-E55</f>
        <v>0</v>
      </c>
    </row>
    <row r="56" spans="1:8">
      <c r="B56" s="10" t="s">
        <v>96</v>
      </c>
      <c r="D56" s="10" t="s">
        <v>50</v>
      </c>
      <c r="E56" s="12">
        <v>4250</v>
      </c>
      <c r="F56" s="13">
        <v>175</v>
      </c>
      <c r="G56" s="42">
        <v>2625</v>
      </c>
      <c r="H56" s="43">
        <v>1000</v>
      </c>
    </row>
    <row r="57" spans="1:8">
      <c r="B57" s="10" t="s">
        <v>97</v>
      </c>
      <c r="D57" s="10" t="s">
        <v>50</v>
      </c>
      <c r="E57" s="12">
        <v>3280</v>
      </c>
      <c r="F57" s="13">
        <v>120</v>
      </c>
      <c r="G57" s="42">
        <v>1800</v>
      </c>
      <c r="H57" s="43">
        <v>1600</v>
      </c>
    </row>
    <row r="58" spans="1:8">
      <c r="B58" s="10" t="s">
        <v>98</v>
      </c>
      <c r="D58" s="10" t="s">
        <v>50</v>
      </c>
      <c r="E58" s="12">
        <v>34.75</v>
      </c>
      <c r="F58" s="13">
        <v>0.5</v>
      </c>
      <c r="G58" s="42">
        <v>7.5</v>
      </c>
      <c r="H58" s="43">
        <v>25</v>
      </c>
    </row>
    <row r="59" spans="1:8">
      <c r="B59" s="10" t="s">
        <v>99</v>
      </c>
      <c r="D59" s="10" t="s">
        <v>50</v>
      </c>
      <c r="E59" s="12">
        <v>45</v>
      </c>
      <c r="H59" s="15">
        <v>20</v>
      </c>
    </row>
    <row r="60" spans="1:8">
      <c r="B60" s="10" t="s">
        <v>100</v>
      </c>
      <c r="D60" s="10" t="s">
        <v>50</v>
      </c>
      <c r="E60" s="12">
        <v>2155</v>
      </c>
      <c r="F60" s="13">
        <v>140</v>
      </c>
      <c r="G60" s="14">
        <v>2100</v>
      </c>
    </row>
    <row r="61" spans="1:8">
      <c r="B61" s="10" t="s">
        <v>101</v>
      </c>
      <c r="D61" s="10" t="s">
        <v>50</v>
      </c>
      <c r="E61" s="12">
        <v>8650</v>
      </c>
      <c r="F61" s="13">
        <v>12.5</v>
      </c>
      <c r="G61" s="14">
        <v>187.5</v>
      </c>
    </row>
    <row r="62" spans="1:8">
      <c r="B62" s="10" t="s">
        <v>102</v>
      </c>
      <c r="D62" s="10" t="s">
        <v>50</v>
      </c>
      <c r="E62" s="12">
        <v>687.5</v>
      </c>
      <c r="F62" s="13">
        <v>12.5</v>
      </c>
      <c r="G62" s="14">
        <v>187.5</v>
      </c>
    </row>
    <row r="63" spans="1:8">
      <c r="B63" s="10" t="s">
        <v>103</v>
      </c>
      <c r="D63" s="10" t="s">
        <v>50</v>
      </c>
      <c r="E63" s="12">
        <v>34.799999999999997</v>
      </c>
      <c r="F63" s="13">
        <v>0.3</v>
      </c>
      <c r="G63" s="14">
        <v>4.5</v>
      </c>
    </row>
    <row r="64" spans="1:8">
      <c r="B64" s="10" t="s">
        <v>104</v>
      </c>
      <c r="D64" s="10" t="s">
        <v>50</v>
      </c>
      <c r="E64" s="12">
        <v>58.3</v>
      </c>
      <c r="F64" s="13">
        <v>0.3</v>
      </c>
      <c r="G64" s="14">
        <v>4.3</v>
      </c>
    </row>
    <row r="65" spans="2:7">
      <c r="B65" s="10" t="s">
        <v>105</v>
      </c>
      <c r="D65" s="10" t="s">
        <v>50</v>
      </c>
      <c r="E65" s="12">
        <v>20.3</v>
      </c>
      <c r="F65" s="13">
        <v>0.2</v>
      </c>
      <c r="G65" s="14">
        <v>3</v>
      </c>
    </row>
    <row r="66" spans="2:7">
      <c r="B66" s="10" t="s">
        <v>106</v>
      </c>
      <c r="D66" s="10" t="s">
        <v>50</v>
      </c>
      <c r="E66" s="12">
        <v>136</v>
      </c>
      <c r="F66" s="13">
        <v>6</v>
      </c>
      <c r="G66" s="14">
        <v>90</v>
      </c>
    </row>
    <row r="67" spans="2:7">
      <c r="B67" s="10" t="s">
        <v>107</v>
      </c>
      <c r="D67" s="10" t="s">
        <v>50</v>
      </c>
      <c r="E67" s="12">
        <v>135</v>
      </c>
      <c r="F67" s="13">
        <v>6.5</v>
      </c>
      <c r="G67" s="14">
        <v>97.5</v>
      </c>
    </row>
    <row r="68" spans="2:7">
      <c r="B68" s="10" t="s">
        <v>108</v>
      </c>
      <c r="D68" s="10" t="s">
        <v>50</v>
      </c>
      <c r="E68" s="12">
        <v>44.4</v>
      </c>
      <c r="F68" s="13">
        <v>0.05</v>
      </c>
      <c r="G68" s="14">
        <v>0.75</v>
      </c>
    </row>
    <row r="69" spans="2:7">
      <c r="B69" s="10" t="s">
        <v>109</v>
      </c>
      <c r="D69" s="10" t="s">
        <v>50</v>
      </c>
      <c r="E69" s="12">
        <v>381</v>
      </c>
      <c r="F69" s="13">
        <v>30</v>
      </c>
      <c r="G69" s="14">
        <v>450</v>
      </c>
    </row>
    <row r="70" spans="2:7">
      <c r="B70" s="10" t="s">
        <v>110</v>
      </c>
      <c r="D70" s="10" t="s">
        <v>50</v>
      </c>
      <c r="E70" s="12">
        <v>25.4</v>
      </c>
      <c r="F70" s="13">
        <v>0.72</v>
      </c>
    </row>
  </sheetData>
  <pageMargins left="0.75" right="0.75" top="1" bottom="1" header="0.5" footer="0.5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december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2025-12-01T09:29:29Z</cp:lastPrinted>
  <dcterms:created xsi:type="dcterms:W3CDTF">2022-12-28T08:22:00Z</dcterms:created>
  <dcterms:modified xsi:type="dcterms:W3CDTF">2025-12-02T12:38:09Z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6E436BAF9FC440D4AD6704B4F5E06156_13</vt:lpwstr>
  </property>
  <property fmtid="{D5CDD505-2E9C-101B-9397-08002B2CF9AE}" pid="3" name="KSOProductBuildVer">
    <vt:lpwstr>1033-12.2.0.23155</vt:lpwstr>
  </property>
</Properties>
</file>