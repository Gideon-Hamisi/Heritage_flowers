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555974-C5C8-4CD4-BBD7-B4065262BA7B}" xr6:coauthVersionLast="41" xr6:coauthVersionMax="41" xr10:uidLastSave="{00000000-0000-0000-0000-000000000000}"/>
  <bookViews>
    <workbookView xWindow="-110" yWindow="-110" windowWidth="19420" windowHeight="10300" xr2:uid="{A67EA68E-55C6-4B62-BBC3-C0A3AE2504CA}"/>
  </bookViews>
  <sheets>
    <sheet name="LPO's" sheetId="1" r:id="rId1"/>
    <sheet name="Dec 25" sheetId="2" r:id="rId2"/>
    <sheet name="Nov 25" sheetId="3" r:id="rId3"/>
    <sheet name="Oct 25" sheetId="4" r:id="rId4"/>
    <sheet name="Sept 25" sheetId="5" r:id="rId5"/>
    <sheet name="Aug 2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" i="4"/>
  <c r="G24" i="4"/>
  <c r="G25" i="4"/>
  <c r="G26" i="4"/>
  <c r="G27" i="4"/>
  <c r="G23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5" i="4"/>
  <c r="G3" i="4"/>
  <c r="G2" i="4"/>
  <c r="G4" i="4"/>
  <c r="G21" i="4"/>
  <c r="G22" i="4"/>
  <c r="G2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" i="4"/>
  <c r="F50" i="3"/>
  <c r="F51" i="3"/>
  <c r="F49" i="3"/>
  <c r="H34" i="2"/>
  <c r="F15" i="6"/>
  <c r="G15" i="6" s="1"/>
  <c r="H15" i="6" s="1"/>
  <c r="F14" i="6"/>
  <c r="G14" i="6" s="1"/>
  <c r="H14" i="6" s="1"/>
  <c r="F13" i="6"/>
  <c r="G13" i="6" s="1"/>
  <c r="H13" i="6" s="1"/>
  <c r="F12" i="6"/>
  <c r="G12" i="6" s="1"/>
  <c r="H12" i="6" s="1"/>
  <c r="F11" i="6"/>
  <c r="G11" i="6" s="1"/>
  <c r="H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F5" i="6"/>
  <c r="G5" i="6" s="1"/>
  <c r="H5" i="6" s="1"/>
  <c r="F4" i="6"/>
  <c r="H4" i="6" s="1"/>
  <c r="F3" i="6"/>
  <c r="G3" i="6" s="1"/>
  <c r="H3" i="6" s="1"/>
  <c r="F2" i="6"/>
  <c r="G2" i="6" s="1"/>
  <c r="H2" i="6" s="1"/>
  <c r="F25" i="5"/>
  <c r="F24" i="5"/>
  <c r="F23" i="5"/>
  <c r="G23" i="5" s="1"/>
  <c r="H23" i="5" s="1"/>
  <c r="F22" i="5"/>
  <c r="F21" i="5"/>
  <c r="G21" i="5" s="1"/>
  <c r="F20" i="5"/>
  <c r="F19" i="5"/>
  <c r="G19" i="5" s="1"/>
  <c r="H19" i="5" s="1"/>
  <c r="F18" i="5"/>
  <c r="G18" i="5" s="1"/>
  <c r="H18" i="5" s="1"/>
  <c r="F17" i="5"/>
  <c r="G17" i="5" s="1"/>
  <c r="H17" i="5" s="1"/>
  <c r="F16" i="5"/>
  <c r="G16" i="5" s="1"/>
  <c r="H16" i="5" s="1"/>
  <c r="F15" i="5"/>
  <c r="G15" i="5" s="1"/>
  <c r="H15" i="5" s="1"/>
  <c r="F14" i="5"/>
  <c r="G14" i="5" s="1"/>
  <c r="H14" i="5" s="1"/>
  <c r="F13" i="5"/>
  <c r="H13" i="5" s="1"/>
  <c r="F12" i="5"/>
  <c r="H12" i="5" s="1"/>
  <c r="F11" i="5"/>
  <c r="H11" i="5" s="1"/>
  <c r="F10" i="5"/>
  <c r="H10" i="5" s="1"/>
  <c r="F9" i="5"/>
  <c r="H9" i="5" s="1"/>
  <c r="F8" i="5"/>
  <c r="G8" i="5" s="1"/>
  <c r="H8" i="5" s="1"/>
  <c r="F7" i="5"/>
  <c r="H7" i="5" s="1"/>
  <c r="F6" i="5"/>
  <c r="H6" i="5" s="1"/>
  <c r="F5" i="5"/>
  <c r="H5" i="5" s="1"/>
  <c r="G2" i="5"/>
  <c r="H2" i="5" s="1"/>
  <c r="F2" i="5"/>
  <c r="F48" i="3"/>
  <c r="F47" i="3"/>
  <c r="F46" i="3"/>
  <c r="F45" i="3"/>
  <c r="F44" i="3"/>
  <c r="F43" i="3"/>
  <c r="F42" i="3"/>
  <c r="F41" i="3"/>
  <c r="F40" i="3"/>
  <c r="F39" i="3"/>
  <c r="F36" i="3"/>
  <c r="F35" i="3"/>
  <c r="F34" i="3"/>
  <c r="F33" i="3"/>
  <c r="F32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0" i="1"/>
  <c r="H20" i="1"/>
  <c r="I20" i="1" s="1"/>
  <c r="G21" i="1"/>
  <c r="H21" i="1"/>
  <c r="I21" i="1"/>
  <c r="G22" i="1"/>
  <c r="I22" i="1"/>
  <c r="G23" i="1"/>
  <c r="H23" i="1"/>
  <c r="I23" i="1"/>
  <c r="H29" i="4" l="1"/>
  <c r="F52" i="3"/>
  <c r="G20" i="5"/>
  <c r="H20" i="5" s="1"/>
  <c r="H26" i="5" s="1"/>
  <c r="H16" i="6"/>
  <c r="H21" i="5"/>
  <c r="G24" i="5"/>
  <c r="H24" i="5" s="1"/>
  <c r="G22" i="5"/>
  <c r="H22" i="5" s="1"/>
  <c r="G25" i="5"/>
  <c r="H25" i="5" s="1"/>
  <c r="F28" i="2" l="1"/>
  <c r="G28" i="2" s="1"/>
  <c r="H28" i="2" s="1"/>
  <c r="F27" i="2"/>
  <c r="G27" i="2" s="1"/>
  <c r="H27" i="2" s="1"/>
  <c r="F26" i="2"/>
  <c r="G26" i="2" s="1"/>
  <c r="H26" i="2" s="1"/>
  <c r="F25" i="2"/>
  <c r="G25" i="2" s="1"/>
  <c r="H25" i="2" s="1"/>
  <c r="F24" i="2"/>
  <c r="G24" i="2" s="1"/>
  <c r="F23" i="2"/>
  <c r="G23" i="2" s="1"/>
  <c r="H23" i="2" s="1"/>
  <c r="F22" i="2"/>
  <c r="G22" i="2" s="1"/>
  <c r="H22" i="2" s="1"/>
  <c r="F21" i="2"/>
  <c r="F20" i="2"/>
  <c r="G20" i="2" s="1"/>
  <c r="H20" i="2" s="1"/>
  <c r="F19" i="2"/>
  <c r="G19" i="2" s="1"/>
  <c r="H19" i="2" s="1"/>
  <c r="F18" i="2"/>
  <c r="G18" i="2" s="1"/>
  <c r="H18" i="2" s="1"/>
  <c r="F17" i="2"/>
  <c r="G17" i="2" s="1"/>
  <c r="H17" i="2" s="1"/>
  <c r="F16" i="2"/>
  <c r="G16" i="2" s="1"/>
  <c r="F15" i="2"/>
  <c r="G15" i="2" s="1"/>
  <c r="H15" i="2" s="1"/>
  <c r="F14" i="2"/>
  <c r="F13" i="2"/>
  <c r="G13" i="2" s="1"/>
  <c r="F12" i="2"/>
  <c r="G12" i="2" s="1"/>
  <c r="H12" i="2" s="1"/>
  <c r="F11" i="2"/>
  <c r="G11" i="2" s="1"/>
  <c r="H11" i="2" s="1"/>
  <c r="F10" i="2"/>
  <c r="G10" i="2" s="1"/>
  <c r="H10" i="2" s="1"/>
  <c r="F9" i="2"/>
  <c r="G9" i="2" s="1"/>
  <c r="H9" i="2" s="1"/>
  <c r="F8" i="2"/>
  <c r="G8" i="2" s="1"/>
  <c r="H8" i="2" s="1"/>
  <c r="F7" i="2"/>
  <c r="G7" i="2" s="1"/>
  <c r="H7" i="2" s="1"/>
  <c r="F6" i="2"/>
  <c r="F5" i="2"/>
  <c r="G5" i="2" s="1"/>
  <c r="H5" i="2" s="1"/>
  <c r="F4" i="2"/>
  <c r="G4" i="2" s="1"/>
  <c r="H4" i="2" s="1"/>
  <c r="G6" i="2" l="1"/>
  <c r="H6" i="2" s="1"/>
  <c r="H13" i="2"/>
  <c r="H16" i="2"/>
  <c r="G21" i="2"/>
  <c r="H21" i="2" s="1"/>
  <c r="H24" i="2"/>
  <c r="G14" i="2"/>
  <c r="H14" i="2" s="1"/>
  <c r="I310" i="1"/>
  <c r="I309" i="1"/>
  <c r="I308" i="1"/>
  <c r="H309" i="1"/>
  <c r="H308" i="1"/>
  <c r="G309" i="1"/>
  <c r="G308" i="1"/>
  <c r="G295" i="1" l="1"/>
  <c r="H295" i="1" l="1"/>
  <c r="I295" i="1" s="1"/>
  <c r="I296" i="1" s="1"/>
  <c r="F291" i="1"/>
  <c r="G283" i="1" l="1"/>
  <c r="G284" i="1"/>
  <c r="G285" i="1"/>
  <c r="G286" i="1"/>
  <c r="G282" i="1"/>
  <c r="G287" i="1" s="1"/>
  <c r="F275" i="1"/>
  <c r="G268" i="1"/>
  <c r="H268" i="1" s="1"/>
  <c r="G269" i="1"/>
  <c r="H269" i="1" s="1"/>
  <c r="G270" i="1"/>
  <c r="H270" i="1" s="1"/>
  <c r="I270" i="1" s="1"/>
  <c r="G267" i="1"/>
  <c r="H267" i="1" s="1"/>
  <c r="I267" i="1" s="1"/>
  <c r="G266" i="1"/>
  <c r="H266" i="1" l="1"/>
  <c r="I266" i="1" s="1"/>
  <c r="I269" i="1"/>
  <c r="I268" i="1"/>
  <c r="G258" i="1"/>
  <c r="H258" i="1" s="1"/>
  <c r="I258" i="1" s="1"/>
  <c r="G259" i="1"/>
  <c r="H259" i="1" s="1"/>
  <c r="G260" i="1"/>
  <c r="H260" i="1" s="1"/>
  <c r="G261" i="1"/>
  <c r="H261" i="1" s="1"/>
  <c r="G257" i="1"/>
  <c r="H257" i="1" s="1"/>
  <c r="I271" i="1" l="1"/>
  <c r="I261" i="1"/>
  <c r="I260" i="1"/>
  <c r="I259" i="1"/>
  <c r="I257" i="1"/>
  <c r="G229" i="1"/>
  <c r="H229" i="1" s="1"/>
  <c r="I229" i="1" s="1"/>
  <c r="G230" i="1"/>
  <c r="G231" i="1"/>
  <c r="H231" i="1" s="1"/>
  <c r="G232" i="1"/>
  <c r="H232" i="1" s="1"/>
  <c r="G233" i="1"/>
  <c r="H233" i="1" s="1"/>
  <c r="I233" i="1" s="1"/>
  <c r="G234" i="1"/>
  <c r="H234" i="1" s="1"/>
  <c r="I234" i="1" s="1"/>
  <c r="G235" i="1"/>
  <c r="H235" i="1" s="1"/>
  <c r="G236" i="1"/>
  <c r="H236" i="1" s="1"/>
  <c r="I236" i="1" s="1"/>
  <c r="G237" i="1"/>
  <c r="G238" i="1"/>
  <c r="G239" i="1"/>
  <c r="H239" i="1" s="1"/>
  <c r="G240" i="1"/>
  <c r="H240" i="1" s="1"/>
  <c r="G241" i="1"/>
  <c r="G242" i="1"/>
  <c r="H242" i="1" s="1"/>
  <c r="I242" i="1" s="1"/>
  <c r="G243" i="1"/>
  <c r="G244" i="1"/>
  <c r="G245" i="1"/>
  <c r="G246" i="1"/>
  <c r="H246" i="1" s="1"/>
  <c r="G247" i="1"/>
  <c r="H247" i="1" s="1"/>
  <c r="G248" i="1"/>
  <c r="H248" i="1" s="1"/>
  <c r="I248" i="1" s="1"/>
  <c r="G249" i="1"/>
  <c r="H249" i="1" s="1"/>
  <c r="G250" i="1"/>
  <c r="H250" i="1" s="1"/>
  <c r="G251" i="1"/>
  <c r="H251" i="1" s="1"/>
  <c r="G252" i="1"/>
  <c r="H252" i="1" s="1"/>
  <c r="G228" i="1"/>
  <c r="I262" i="1" l="1"/>
  <c r="I251" i="1"/>
  <c r="I250" i="1"/>
  <c r="I235" i="1"/>
  <c r="H228" i="1"/>
  <c r="I228" i="1" s="1"/>
  <c r="H244" i="1"/>
  <c r="I244" i="1" s="1"/>
  <c r="I249" i="1"/>
  <c r="H238" i="1"/>
  <c r="I238" i="1" s="1"/>
  <c r="H243" i="1"/>
  <c r="I243" i="1" s="1"/>
  <c r="H230" i="1"/>
  <c r="I230" i="1" s="1"/>
  <c r="H237" i="1"/>
  <c r="I237" i="1" s="1"/>
  <c r="H241" i="1"/>
  <c r="I241" i="1" s="1"/>
  <c r="I247" i="1"/>
  <c r="I240" i="1"/>
  <c r="I232" i="1"/>
  <c r="I252" i="1"/>
  <c r="I246" i="1"/>
  <c r="I239" i="1"/>
  <c r="I231" i="1"/>
  <c r="H245" i="1"/>
  <c r="I245" i="1" s="1"/>
  <c r="G224" i="1"/>
  <c r="H224" i="1" s="1"/>
  <c r="G220" i="1"/>
  <c r="H220" i="1" s="1"/>
  <c r="I220" i="1" s="1"/>
  <c r="I221" i="1" s="1"/>
  <c r="G216" i="1"/>
  <c r="G212" i="1"/>
  <c r="H212" i="1" s="1"/>
  <c r="I212" i="1" s="1"/>
  <c r="G211" i="1"/>
  <c r="H211" i="1" s="1"/>
  <c r="I211" i="1" s="1"/>
  <c r="G210" i="1"/>
  <c r="H210" i="1" s="1"/>
  <c r="I210" i="1" s="1"/>
  <c r="I253" i="1" l="1"/>
  <c r="H216" i="1"/>
  <c r="I216" i="1" s="1"/>
  <c r="I217" i="1" s="1"/>
  <c r="I224" i="1"/>
  <c r="I225" i="1" s="1"/>
  <c r="I213" i="1"/>
  <c r="G202" i="1"/>
  <c r="H202" i="1" s="1"/>
  <c r="I202" i="1" s="1"/>
  <c r="I203" i="1" s="1"/>
  <c r="G198" i="1" l="1"/>
  <c r="H198" i="1" s="1"/>
  <c r="I198" i="1" s="1"/>
  <c r="G197" i="1"/>
  <c r="H197" i="1" s="1"/>
  <c r="I197" i="1" s="1"/>
  <c r="G192" i="1"/>
  <c r="H192" i="1" s="1"/>
  <c r="I192" i="1" s="1"/>
  <c r="I193" i="1" s="1"/>
  <c r="G188" i="1"/>
  <c r="G189" i="1" s="1"/>
  <c r="G184" i="1"/>
  <c r="G185" i="1" s="1"/>
  <c r="G173" i="1"/>
  <c r="G174" i="1" s="1"/>
  <c r="G169" i="1"/>
  <c r="G170" i="1" s="1"/>
  <c r="I199" i="1" l="1"/>
  <c r="G163" i="1"/>
  <c r="H163" i="1" s="1"/>
  <c r="I163" i="1" s="1"/>
  <c r="G164" i="1"/>
  <c r="H164" i="1" s="1"/>
  <c r="I164" i="1" s="1"/>
  <c r="G162" i="1"/>
  <c r="H162" i="1" s="1"/>
  <c r="I162" i="1" s="1"/>
  <c r="G161" i="1"/>
  <c r="H161" i="1" s="1"/>
  <c r="I161" i="1" s="1"/>
  <c r="G160" i="1"/>
  <c r="H160" i="1" s="1"/>
  <c r="I160" i="1" s="1"/>
  <c r="G159" i="1"/>
  <c r="H159" i="1" s="1"/>
  <c r="I159" i="1" s="1"/>
  <c r="G158" i="1"/>
  <c r="H158" i="1" s="1"/>
  <c r="I158" i="1" s="1"/>
  <c r="G157" i="1"/>
  <c r="H157" i="1" s="1"/>
  <c r="I157" i="1" s="1"/>
  <c r="G153" i="1"/>
  <c r="H153" i="1" s="1"/>
  <c r="I153" i="1" s="1"/>
  <c r="G152" i="1"/>
  <c r="H152" i="1" s="1"/>
  <c r="I152" i="1" s="1"/>
  <c r="G151" i="1"/>
  <c r="H151" i="1" s="1"/>
  <c r="I151" i="1" s="1"/>
  <c r="G150" i="1"/>
  <c r="H150" i="1" s="1"/>
  <c r="I150" i="1" s="1"/>
  <c r="G149" i="1"/>
  <c r="H149" i="1" s="1"/>
  <c r="I149" i="1" s="1"/>
  <c r="G148" i="1"/>
  <c r="H148" i="1" s="1"/>
  <c r="I148" i="1" s="1"/>
  <c r="I154" i="1" l="1"/>
  <c r="I165" i="1"/>
  <c r="G144" i="1"/>
  <c r="H144" i="1" s="1"/>
  <c r="I144" i="1" s="1"/>
  <c r="I145" i="1" s="1"/>
  <c r="I124" i="1" l="1"/>
  <c r="G140" i="1" l="1"/>
  <c r="H140" i="1" s="1"/>
  <c r="I140" i="1" s="1"/>
  <c r="G129" i="1" l="1"/>
  <c r="H129" i="1" s="1"/>
  <c r="I129" i="1" s="1"/>
  <c r="G128" i="1"/>
  <c r="H128" i="1" s="1"/>
  <c r="I128" i="1" s="1"/>
  <c r="G135" i="1"/>
  <c r="H135" i="1" s="1"/>
  <c r="I135" i="1" s="1"/>
  <c r="G136" i="1"/>
  <c r="H136" i="1" s="1"/>
  <c r="I136" i="1" s="1"/>
  <c r="G137" i="1"/>
  <c r="H137" i="1" s="1"/>
  <c r="G134" i="1"/>
  <c r="H134" i="1" s="1"/>
  <c r="I13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4" i="1"/>
  <c r="H84" i="1" s="1"/>
  <c r="I84" i="1" s="1"/>
  <c r="G118" i="1"/>
  <c r="H118" i="1" s="1"/>
  <c r="I118" i="1" s="1"/>
  <c r="I89" i="1" l="1"/>
  <c r="G114" i="1"/>
  <c r="H114" i="1" s="1"/>
  <c r="I114" i="1" s="1"/>
  <c r="G110" i="1"/>
  <c r="H110" i="1" s="1"/>
  <c r="I110" i="1" s="1"/>
  <c r="G109" i="1"/>
  <c r="H109" i="1" s="1"/>
  <c r="I109" i="1" s="1"/>
  <c r="G108" i="1"/>
  <c r="H108" i="1" s="1"/>
  <c r="I108" i="1" s="1"/>
  <c r="G95" i="1"/>
  <c r="H95" i="1" s="1"/>
  <c r="I95" i="1" s="1"/>
  <c r="G96" i="1"/>
  <c r="H96" i="1" s="1"/>
  <c r="I96" i="1" s="1"/>
  <c r="G94" i="1"/>
  <c r="H94" i="1" s="1"/>
  <c r="I94" i="1" s="1"/>
  <c r="G102" i="1"/>
  <c r="H102" i="1" s="1"/>
  <c r="I102" i="1" s="1"/>
  <c r="G101" i="1"/>
  <c r="H101" i="1" s="1"/>
  <c r="I101" i="1" s="1"/>
  <c r="G78" i="1"/>
  <c r="G68" i="1"/>
  <c r="G77" i="1"/>
  <c r="G76" i="1"/>
  <c r="G66" i="1"/>
  <c r="G67" i="1"/>
  <c r="G65" i="1"/>
  <c r="G79" i="1" l="1"/>
  <c r="I103" i="1"/>
  <c r="I111" i="1"/>
  <c r="G69" i="1"/>
  <c r="I97" i="1"/>
  <c r="G57" i="1"/>
  <c r="H57" i="1" s="1"/>
  <c r="I57" i="1" s="1"/>
  <c r="G40" i="1" l="1"/>
  <c r="I40" i="1" s="1"/>
  <c r="G41" i="1"/>
  <c r="I41" i="1" s="1"/>
  <c r="G42" i="1"/>
  <c r="H42" i="1" s="1"/>
  <c r="I42" i="1" s="1"/>
  <c r="G43" i="1"/>
  <c r="I43" i="1" s="1"/>
  <c r="G44" i="1"/>
  <c r="I44" i="1" s="1"/>
  <c r="G45" i="1"/>
  <c r="G46" i="1"/>
  <c r="I46" i="1" s="1"/>
  <c r="G47" i="1"/>
  <c r="I47" i="1" s="1"/>
  <c r="G48" i="1"/>
  <c r="H48" i="1" s="1"/>
  <c r="I48" i="1" s="1"/>
  <c r="G49" i="1"/>
  <c r="G50" i="1"/>
  <c r="H50" i="1" s="1"/>
  <c r="I50" i="1" s="1"/>
  <c r="G51" i="1"/>
  <c r="H51" i="1" s="1"/>
  <c r="I51" i="1" s="1"/>
  <c r="G52" i="1"/>
  <c r="H52" i="1" s="1"/>
  <c r="I52" i="1" s="1"/>
  <c r="G53" i="1"/>
  <c r="G39" i="1"/>
  <c r="I39" i="1" s="1"/>
  <c r="H49" i="1" l="1"/>
  <c r="I49" i="1" s="1"/>
  <c r="H53" i="1"/>
  <c r="I53" i="1" s="1"/>
  <c r="I45" i="1"/>
  <c r="G15" i="1"/>
  <c r="H15" i="1" s="1"/>
  <c r="I15" i="1" s="1"/>
  <c r="G16" i="1"/>
  <c r="H16" i="1" s="1"/>
  <c r="I16" i="1" s="1"/>
  <c r="G11" i="1"/>
  <c r="H11" i="1" s="1"/>
  <c r="I11" i="1" s="1"/>
  <c r="G14" i="1"/>
  <c r="H14" i="1" s="1"/>
  <c r="I14" i="1" s="1"/>
  <c r="G10" i="1"/>
  <c r="H10" i="1" s="1"/>
  <c r="I10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3" i="1"/>
  <c r="H3" i="1" s="1"/>
  <c r="I3" i="1" s="1"/>
  <c r="G28" i="1"/>
  <c r="H28" i="1" s="1"/>
  <c r="I28" i="1" s="1"/>
  <c r="G29" i="1"/>
  <c r="H29" i="1" s="1"/>
  <c r="I29" i="1" s="1"/>
  <c r="G30" i="1"/>
  <c r="H30" i="1" s="1"/>
  <c r="G31" i="1"/>
  <c r="G32" i="1"/>
  <c r="H32" i="1" s="1"/>
  <c r="I32" i="1" s="1"/>
  <c r="G27" i="1"/>
  <c r="H27" i="1" s="1"/>
  <c r="I27" i="1" s="1"/>
  <c r="I54" i="1" l="1"/>
  <c r="I24" i="1"/>
  <c r="I12" i="1"/>
  <c r="I17" i="1"/>
  <c r="I8" i="1"/>
  <c r="H31" i="1"/>
  <c r="I31" i="1" s="1"/>
  <c r="I30" i="1"/>
  <c r="I33" i="1" l="1"/>
  <c r="I35" i="1" s="1"/>
</calcChain>
</file>

<file path=xl/sharedStrings.xml><?xml version="1.0" encoding="utf-8"?>
<sst xmlns="http://schemas.openxmlformats.org/spreadsheetml/2006/main" count="1195" uniqueCount="414">
  <si>
    <t>UOM</t>
  </si>
  <si>
    <t>UNIT PRICE(EX VAT)</t>
  </si>
  <si>
    <t>SUB TOTAL</t>
  </si>
  <si>
    <t>VAT AMOUNT</t>
  </si>
  <si>
    <t>TOTAL</t>
  </si>
  <si>
    <t>QTY</t>
  </si>
  <si>
    <t>DESCRIPTION</t>
  </si>
  <si>
    <t>PRODUCT</t>
  </si>
  <si>
    <t>Respirator</t>
  </si>
  <si>
    <t>pcs</t>
  </si>
  <si>
    <t>2M Half Face Mask</t>
  </si>
  <si>
    <t>Ear Muffs</t>
  </si>
  <si>
    <t>Googles</t>
  </si>
  <si>
    <t>Safety Boots</t>
  </si>
  <si>
    <t>Size 10</t>
  </si>
  <si>
    <t>pair</t>
  </si>
  <si>
    <t>Size 7</t>
  </si>
  <si>
    <t>pairs</t>
  </si>
  <si>
    <t>Size 8</t>
  </si>
  <si>
    <t>D- Note No.</t>
  </si>
  <si>
    <t>Zigzag Wire</t>
  </si>
  <si>
    <t>Spray Hose 80 Bar</t>
  </si>
  <si>
    <t>100 mtr roll</t>
  </si>
  <si>
    <t>mtrs</t>
  </si>
  <si>
    <t>Tapping Screw (4.8*20mm)</t>
  </si>
  <si>
    <t>700pcs/box</t>
  </si>
  <si>
    <t>Tapping Screw (5.5*25mm)</t>
  </si>
  <si>
    <t>480 pcs/box</t>
  </si>
  <si>
    <t>Locking Profile</t>
  </si>
  <si>
    <t>0.65mm</t>
  </si>
  <si>
    <t>Barot</t>
  </si>
  <si>
    <t>1kg pack</t>
  </si>
  <si>
    <t>Alpha Guard</t>
  </si>
  <si>
    <t>1 ltr</t>
  </si>
  <si>
    <t>Fonium</t>
  </si>
  <si>
    <t>1 kg pack</t>
  </si>
  <si>
    <t>Bolts</t>
  </si>
  <si>
    <t>M12*2"</t>
  </si>
  <si>
    <t>M10*2"</t>
  </si>
  <si>
    <t>Polythene UV Block</t>
  </si>
  <si>
    <t>8*74m</t>
  </si>
  <si>
    <t>sqm</t>
  </si>
  <si>
    <t>Polythene uv Open - Clear</t>
  </si>
  <si>
    <t>8*86m</t>
  </si>
  <si>
    <t>Kusabi</t>
  </si>
  <si>
    <t>Bolts and Nuts</t>
  </si>
  <si>
    <t>GRAND TOTAL:</t>
  </si>
  <si>
    <t>ltrs</t>
  </si>
  <si>
    <t>Product</t>
  </si>
  <si>
    <t>Description</t>
  </si>
  <si>
    <t>Qty</t>
  </si>
  <si>
    <t>Strobin Extra</t>
  </si>
  <si>
    <t>Ltrs</t>
  </si>
  <si>
    <t>Spiroxamine</t>
  </si>
  <si>
    <t>Climate</t>
  </si>
  <si>
    <t>Atonik</t>
  </si>
  <si>
    <t>Aceprid</t>
  </si>
  <si>
    <t>Kgs</t>
  </si>
  <si>
    <t>Hinder</t>
  </si>
  <si>
    <t>Pestout</t>
  </si>
  <si>
    <t>Current Plus</t>
  </si>
  <si>
    <t>Tucker</t>
  </si>
  <si>
    <t>kgs</t>
  </si>
  <si>
    <t xml:space="preserve">Knapsack </t>
  </si>
  <si>
    <t> PB 20 Ltrs</t>
  </si>
  <si>
    <t xml:space="preserve">Sticky rolls </t>
  </si>
  <si>
    <t>Yellow (15cm x 100mtrs)</t>
  </si>
  <si>
    <t>Blue (15cm x 100mtrs)</t>
  </si>
  <si>
    <t>Safety Boot No.8</t>
  </si>
  <si>
    <t>Pair</t>
  </si>
  <si>
    <t>Safety Boot No.7</t>
  </si>
  <si>
    <t>Fcm Net</t>
  </si>
  <si>
    <t>1.5x 500mtrs</t>
  </si>
  <si>
    <t>Roll</t>
  </si>
  <si>
    <t>Unit Price</t>
  </si>
  <si>
    <t>SubTotal</t>
  </si>
  <si>
    <t>Vat Amount</t>
  </si>
  <si>
    <t>Total</t>
  </si>
  <si>
    <t>Boom Sprayer</t>
  </si>
  <si>
    <t>300 ltrs</t>
  </si>
  <si>
    <t>Piece</t>
  </si>
  <si>
    <t>Monograde Oil</t>
  </si>
  <si>
    <t>SAE 40</t>
  </si>
  <si>
    <t>Litre</t>
  </si>
  <si>
    <t>Fuel</t>
  </si>
  <si>
    <t>Unit Price(EX VAT)</t>
  </si>
  <si>
    <t>lts</t>
  </si>
  <si>
    <t xml:space="preserve">Grand Total: </t>
  </si>
  <si>
    <t>Kenwear</t>
  </si>
  <si>
    <t>Madhav</t>
  </si>
  <si>
    <t>Welding Rods</t>
  </si>
  <si>
    <t>Hacksaw Blades</t>
  </si>
  <si>
    <t>NCH</t>
  </si>
  <si>
    <t>Hacksaw Blade Handle</t>
  </si>
  <si>
    <t xml:space="preserve">Pipe Range Spanner </t>
  </si>
  <si>
    <t>24"</t>
  </si>
  <si>
    <t>Unit Price (VAT Incl)</t>
  </si>
  <si>
    <t>Pipe Range Spanner</t>
  </si>
  <si>
    <t>14"</t>
  </si>
  <si>
    <t xml:space="preserve">X Nipple </t>
  </si>
  <si>
    <t>1/2"</t>
  </si>
  <si>
    <t>To Write Lpo's</t>
  </si>
  <si>
    <t>Smart Crop</t>
  </si>
  <si>
    <t>Protexeco Export</t>
  </si>
  <si>
    <t>Strapping Rolls</t>
  </si>
  <si>
    <t>8mm x 8KG</t>
  </si>
  <si>
    <t>Rolls</t>
  </si>
  <si>
    <t>Strapping Machine</t>
  </si>
  <si>
    <t>Semi Automatic</t>
  </si>
  <si>
    <t>Grand Total</t>
  </si>
  <si>
    <t>LPO 015</t>
  </si>
  <si>
    <t>LPO 016</t>
  </si>
  <si>
    <t>Teejet Nozzles</t>
  </si>
  <si>
    <t>Brown</t>
  </si>
  <si>
    <t>Lilac</t>
  </si>
  <si>
    <t>Yellow</t>
  </si>
  <si>
    <t>ELGON</t>
  </si>
  <si>
    <t>LPO 017</t>
  </si>
  <si>
    <t>Sleeves 40x30x12</t>
  </si>
  <si>
    <t>Printed Heritage</t>
  </si>
  <si>
    <t>Clear Sleeves 40x30x12</t>
  </si>
  <si>
    <t xml:space="preserve">Clear Sleeves 50x30x12 </t>
  </si>
  <si>
    <t>AMIRAN</t>
  </si>
  <si>
    <t>LPO 018</t>
  </si>
  <si>
    <t>TOG 6</t>
  </si>
  <si>
    <t>Flat File</t>
  </si>
  <si>
    <t>12"</t>
  </si>
  <si>
    <t xml:space="preserve"> LPO 019</t>
  </si>
  <si>
    <t>LPO 020</t>
  </si>
  <si>
    <t>BROEKHOF</t>
  </si>
  <si>
    <t>LPO  021</t>
  </si>
  <si>
    <t>Vaselife Uno</t>
  </si>
  <si>
    <t>5 kgs</t>
  </si>
  <si>
    <t>GAL</t>
  </si>
  <si>
    <t>LPO 022</t>
  </si>
  <si>
    <t>Blades</t>
  </si>
  <si>
    <t>Holders</t>
  </si>
  <si>
    <t>springs</t>
  </si>
  <si>
    <t>locks</t>
  </si>
  <si>
    <t>cut&amp;holdspare axis nut</t>
  </si>
  <si>
    <t>UNIRITE</t>
  </si>
  <si>
    <t>LPO 023</t>
  </si>
  <si>
    <t>A-TECH</t>
  </si>
  <si>
    <t>MEGA PACK</t>
  </si>
  <si>
    <t>Printing Papers</t>
  </si>
  <si>
    <t>Reams</t>
  </si>
  <si>
    <t>pkts</t>
  </si>
  <si>
    <t>LPO 024</t>
  </si>
  <si>
    <t>Staple Pins 24/6</t>
  </si>
  <si>
    <t>Stapler DS-45 Kangaroo</t>
  </si>
  <si>
    <t>Pcs</t>
  </si>
  <si>
    <t>Epson Ink</t>
  </si>
  <si>
    <t>Black</t>
  </si>
  <si>
    <t>Cans</t>
  </si>
  <si>
    <t>Amiran</t>
  </si>
  <si>
    <t>Decription</t>
  </si>
  <si>
    <t>Subtotal</t>
  </si>
  <si>
    <t>Totat</t>
  </si>
  <si>
    <t>Surgive Valve</t>
  </si>
  <si>
    <t>Grand Total:</t>
  </si>
  <si>
    <t>Sub total</t>
  </si>
  <si>
    <t>Heritage Zim Box Top &amp; Bottom</t>
  </si>
  <si>
    <t>1000 plain &amp; 1000 Printed</t>
  </si>
  <si>
    <t>Heritage Std Box Top &amp; Bottom</t>
  </si>
  <si>
    <t xml:space="preserve">                                                                                                                                                                                       Grand Total</t>
  </si>
  <si>
    <t xml:space="preserve">Table Scale </t>
  </si>
  <si>
    <t>Pc</t>
  </si>
  <si>
    <t>San-Traco</t>
  </si>
  <si>
    <t>LPO 057</t>
  </si>
  <si>
    <t>Desert</t>
  </si>
  <si>
    <t>LPO 058</t>
  </si>
  <si>
    <t xml:space="preserve">Oil Filter </t>
  </si>
  <si>
    <t>Diesel Filter</t>
  </si>
  <si>
    <t>Air Cleaner</t>
  </si>
  <si>
    <t>Engine Oil</t>
  </si>
  <si>
    <t>Labour</t>
  </si>
  <si>
    <t>Gressing</t>
  </si>
  <si>
    <t>LPO 059</t>
  </si>
  <si>
    <t>Injector Pump Kit</t>
  </si>
  <si>
    <t>New Nozzles</t>
  </si>
  <si>
    <t>Nozzle Service</t>
  </si>
  <si>
    <t>Calibration Injector Pump</t>
  </si>
  <si>
    <t>Grey Silicon</t>
  </si>
  <si>
    <t>Kit</t>
  </si>
  <si>
    <t>Miscellaneous</t>
  </si>
  <si>
    <t>Injector Pumb elements</t>
  </si>
  <si>
    <t>Solar Charged Led Lights</t>
  </si>
  <si>
    <t>Cost Wise</t>
  </si>
  <si>
    <t>LPO 060</t>
  </si>
  <si>
    <t>Trucking</t>
  </si>
  <si>
    <t>LPO 061</t>
  </si>
  <si>
    <t>Spare Tyre</t>
  </si>
  <si>
    <t>Size 13/175</t>
  </si>
  <si>
    <t>Mambo</t>
  </si>
  <si>
    <t>D- Note 12260</t>
  </si>
  <si>
    <t>Barrot</t>
  </si>
  <si>
    <t xml:space="preserve">Product </t>
  </si>
  <si>
    <t>Quantity</t>
  </si>
  <si>
    <t>Welding Machine</t>
  </si>
  <si>
    <t>250 Amps</t>
  </si>
  <si>
    <t>PE Pipe</t>
  </si>
  <si>
    <t>16mmx100m</t>
  </si>
  <si>
    <t>Afrodrip</t>
  </si>
  <si>
    <t>LPO 062</t>
  </si>
  <si>
    <t>LPO 063</t>
  </si>
  <si>
    <t>XC360</t>
  </si>
  <si>
    <t>LPO064</t>
  </si>
  <si>
    <t>Integral 256GB 2.5" SATA SSD</t>
  </si>
  <si>
    <t>LPO065</t>
  </si>
  <si>
    <t>PC Hardware &amp; Accessories</t>
  </si>
  <si>
    <t>Power Cable</t>
  </si>
  <si>
    <t>Units</t>
  </si>
  <si>
    <t>Start Rubber (T- Type)</t>
  </si>
  <si>
    <t>16mmx13mm</t>
  </si>
  <si>
    <t xml:space="preserve">UV Block </t>
  </si>
  <si>
    <t>8x74m (Sole Plast)</t>
  </si>
  <si>
    <t>Weighing Scale Charger</t>
  </si>
  <si>
    <t>5 volts</t>
  </si>
  <si>
    <t>Acephate</t>
  </si>
  <si>
    <t xml:space="preserve">U.V Block </t>
  </si>
  <si>
    <t>8x74m</t>
  </si>
  <si>
    <t>D-Note</t>
  </si>
  <si>
    <t>Uni-Rite</t>
  </si>
  <si>
    <t>Assorted Items</t>
  </si>
  <si>
    <t>Epson Printer L3250 S/No XATWO12802 Mainenance Kit</t>
  </si>
  <si>
    <t>Online Epson Rest Key1</t>
  </si>
  <si>
    <t>Workshop Service/Labour</t>
  </si>
  <si>
    <t>LPO 052</t>
  </si>
  <si>
    <t>Flower Bunch Cutter Gullotine Pull Handle Grey</t>
  </si>
  <si>
    <t>38x45cmH</t>
  </si>
  <si>
    <t>Service</t>
  </si>
  <si>
    <t>Refrigiration</t>
  </si>
  <si>
    <r>
      <rPr>
        <b/>
        <sz val="11"/>
        <color theme="1"/>
        <rFont val="Calibri"/>
        <family val="2"/>
        <scheme val="minor"/>
      </rPr>
      <t xml:space="preserve">Maintanance: </t>
    </r>
    <r>
      <rPr>
        <sz val="11"/>
        <color theme="1"/>
        <rFont val="Calibri"/>
        <family val="2"/>
        <scheme val="minor"/>
      </rPr>
      <t>Receiving Cold Room-ZB76KQE-TFD-551</t>
    </r>
  </si>
  <si>
    <r>
      <rPr>
        <b/>
        <sz val="11"/>
        <color theme="1"/>
        <rFont val="Calibri"/>
        <family val="2"/>
        <scheme val="minor"/>
      </rPr>
      <t>Reference:</t>
    </r>
    <r>
      <rPr>
        <sz val="11"/>
        <color theme="1"/>
        <rFont val="Calibri"/>
        <family val="2"/>
        <scheme val="minor"/>
      </rPr>
      <t xml:space="preserve"> Job Card No:6895</t>
    </r>
  </si>
  <si>
    <t>Spray Pump Service and Installations</t>
  </si>
  <si>
    <t>Set</t>
  </si>
  <si>
    <t>Lectric</t>
  </si>
  <si>
    <t>LPO 045</t>
  </si>
  <si>
    <t>LPO 067</t>
  </si>
  <si>
    <t>Plantoc</t>
  </si>
  <si>
    <t>sulphurgold</t>
  </si>
  <si>
    <t>Strobin</t>
  </si>
  <si>
    <t>barrot</t>
  </si>
  <si>
    <t xml:space="preserve">current plus </t>
  </si>
  <si>
    <t xml:space="preserve">aceprid </t>
  </si>
  <si>
    <t xml:space="preserve">hinder </t>
  </si>
  <si>
    <t xml:space="preserve">pestout </t>
  </si>
  <si>
    <t xml:space="preserve">alpha guard </t>
  </si>
  <si>
    <t>cassate</t>
  </si>
  <si>
    <t>Fidelity</t>
  </si>
  <si>
    <t>Agrozyme</t>
  </si>
  <si>
    <t>Flonex</t>
  </si>
  <si>
    <t>Safety boots</t>
  </si>
  <si>
    <t>Star Gold</t>
  </si>
  <si>
    <t>Mitessweep</t>
  </si>
  <si>
    <t>Calcium Nitrate</t>
  </si>
  <si>
    <t>Agrilax</t>
  </si>
  <si>
    <t>Agrithane</t>
  </si>
  <si>
    <t xml:space="preserve">Fornium </t>
  </si>
  <si>
    <t>Spiro</t>
  </si>
  <si>
    <t>Sword</t>
  </si>
  <si>
    <t>Fortune Aza</t>
  </si>
  <si>
    <t>Acro Best</t>
  </si>
  <si>
    <t xml:space="preserve">Mambo </t>
  </si>
  <si>
    <t xml:space="preserve"> size 63mm</t>
  </si>
  <si>
    <t>110mm</t>
  </si>
  <si>
    <t>63mm</t>
  </si>
  <si>
    <t>50mm</t>
  </si>
  <si>
    <t xml:space="preserve">GRN Books </t>
  </si>
  <si>
    <t>Biro Pens</t>
  </si>
  <si>
    <t>Markpen white board</t>
  </si>
  <si>
    <t>A4 Envelopes</t>
  </si>
  <si>
    <t>A5 Envelopes</t>
  </si>
  <si>
    <t>Last No: 2851-2900</t>
  </si>
  <si>
    <t>Blue&amp;Black</t>
  </si>
  <si>
    <t>Dozen</t>
  </si>
  <si>
    <t>Pkts</t>
  </si>
  <si>
    <t xml:space="preserve">Welding rolls </t>
  </si>
  <si>
    <t>kg</t>
  </si>
  <si>
    <t xml:space="preserve">PVC Ball Cork </t>
  </si>
  <si>
    <t>PVC Saddle Clamp</t>
  </si>
  <si>
    <t>Crtu card ghs</t>
  </si>
  <si>
    <t>PH Electrode probe</t>
  </si>
  <si>
    <t xml:space="preserve"> PCS</t>
  </si>
  <si>
    <t xml:space="preserve"> PCS </t>
  </si>
  <si>
    <t xml:space="preserve"> mts</t>
  </si>
  <si>
    <t xml:space="preserve"> pcs</t>
  </si>
  <si>
    <t>Flex cable</t>
  </si>
  <si>
    <t xml:space="preserve"> 3cx1.5mm</t>
  </si>
  <si>
    <t xml:space="preserve">Serai valve </t>
  </si>
  <si>
    <t>24vac</t>
  </si>
  <si>
    <t>Rotamter</t>
  </si>
  <si>
    <t xml:space="preserve"> 700l</t>
  </si>
  <si>
    <t>LPO 069</t>
  </si>
  <si>
    <t xml:space="preserve">Battery </t>
  </si>
  <si>
    <t>N70</t>
  </si>
  <si>
    <t>Impala</t>
  </si>
  <si>
    <t>Yongao</t>
  </si>
  <si>
    <t>75mm</t>
  </si>
  <si>
    <t xml:space="preserve">Grand Total </t>
  </si>
  <si>
    <t>LPO 070</t>
  </si>
  <si>
    <t>LPO 071</t>
  </si>
  <si>
    <t>LPO 072</t>
  </si>
  <si>
    <t>LPO 073</t>
  </si>
  <si>
    <t>N150</t>
  </si>
  <si>
    <t xml:space="preserve">Trucking </t>
  </si>
  <si>
    <t>LPO 074</t>
  </si>
  <si>
    <t>3/4"</t>
  </si>
  <si>
    <t xml:space="preserve">Copline Rubber </t>
  </si>
  <si>
    <t>Female Copline</t>
  </si>
  <si>
    <t>DAP</t>
  </si>
  <si>
    <t>CAN</t>
  </si>
  <si>
    <t>Item Code</t>
  </si>
  <si>
    <t>SUPER TRICOFLEX ULTIMATE HOSE 19mm 50m ROLL</t>
  </si>
  <si>
    <t>Mtrs</t>
  </si>
  <si>
    <t xml:space="preserve">Hardi </t>
  </si>
  <si>
    <t>LPO 075</t>
  </si>
  <si>
    <t xml:space="preserve">Sticky rolls blue </t>
  </si>
  <si>
    <t xml:space="preserve">Sticky cards blue </t>
  </si>
  <si>
    <t xml:space="preserve">Sticky cards yellow </t>
  </si>
  <si>
    <t>D-note 12274</t>
  </si>
  <si>
    <t>LPO 076</t>
  </si>
  <si>
    <t>Sub Total</t>
  </si>
  <si>
    <t>Smart crop</t>
  </si>
  <si>
    <t>HERITAGE PURCHASES (Mambo Wholesalers)</t>
  </si>
  <si>
    <t>Promocarb</t>
  </si>
  <si>
    <t>Natureguard</t>
  </si>
  <si>
    <t>cymoxanil+famoxadone</t>
  </si>
  <si>
    <t>mancozeb</t>
  </si>
  <si>
    <t>mancozeb+metalaxyl</t>
  </si>
  <si>
    <t>Tucker 700</t>
  </si>
  <si>
    <t>dimethomorph+cymoxanil</t>
  </si>
  <si>
    <t>Spinex</t>
  </si>
  <si>
    <t>spiroximine</t>
  </si>
  <si>
    <t>pyriofenon</t>
  </si>
  <si>
    <t>Carbozim 500SC</t>
  </si>
  <si>
    <t>carbendazim</t>
  </si>
  <si>
    <t>meltatox</t>
  </si>
  <si>
    <t>dodemorph</t>
  </si>
  <si>
    <t>Sulphurgold</t>
  </si>
  <si>
    <t>sulphur</t>
  </si>
  <si>
    <t>Pyramic</t>
  </si>
  <si>
    <t>pyrithanimil</t>
  </si>
  <si>
    <t>Overall</t>
  </si>
  <si>
    <t>Switch</t>
  </si>
  <si>
    <t>Cyprodinil and fludioxonil</t>
  </si>
  <si>
    <t>azystrobin+defenacozole</t>
  </si>
  <si>
    <t>imadacropid</t>
  </si>
  <si>
    <t xml:space="preserve">Current Plus </t>
  </si>
  <si>
    <t>Lufenuron 5'1.EC</t>
  </si>
  <si>
    <t xml:space="preserve">Aceprid </t>
  </si>
  <si>
    <t xml:space="preserve">Acetamiprid </t>
  </si>
  <si>
    <t xml:space="preserve">Hinder </t>
  </si>
  <si>
    <t xml:space="preserve">Thiocyclam hydrogen oxalate </t>
  </si>
  <si>
    <t>Belt</t>
  </si>
  <si>
    <t xml:space="preserve">Flubendiamide </t>
  </si>
  <si>
    <t xml:space="preserve">Sulfoxaflor  + Spinetoram </t>
  </si>
  <si>
    <t>Cassate</t>
  </si>
  <si>
    <t>Abamectin  + Buprofezin</t>
  </si>
  <si>
    <t xml:space="preserve">Pestout </t>
  </si>
  <si>
    <t xml:space="preserve">Flonicamid  + Dinotefuran </t>
  </si>
  <si>
    <t>Fcm white stick cards</t>
  </si>
  <si>
    <t>Pheromone</t>
  </si>
  <si>
    <t xml:space="preserve">Alpha guard </t>
  </si>
  <si>
    <t xml:space="preserve">Alpha-cypermethrin </t>
  </si>
  <si>
    <t xml:space="preserve">Sticky Rolls Blue </t>
  </si>
  <si>
    <t>E-8-Dodecen-1-yl acetate, Z-8-Dodecen-1-yl acetate / 2,6-di-tert-butyl-p-crésol</t>
  </si>
  <si>
    <t>Star Gold (Weeter)</t>
  </si>
  <si>
    <t>Polyalkyleneoxide modified heptamethyltrisiloxane (organosilicone) 800g/L</t>
  </si>
  <si>
    <t>NEEM OIL</t>
  </si>
  <si>
    <t xml:space="preserve">Mitessweep </t>
  </si>
  <si>
    <t xml:space="preserve">Hexythiazox </t>
  </si>
  <si>
    <t xml:space="preserve">Knock Out </t>
  </si>
  <si>
    <t xml:space="preserve">Clofentezine </t>
  </si>
  <si>
    <t xml:space="preserve">Indoxacarb </t>
  </si>
  <si>
    <t>Matric</t>
  </si>
  <si>
    <t xml:space="preserve">Chromafenozide </t>
  </si>
  <si>
    <t xml:space="preserve">Foliar </t>
  </si>
  <si>
    <t>Atonic</t>
  </si>
  <si>
    <t>Sea weed extract</t>
  </si>
  <si>
    <t>Delegate</t>
  </si>
  <si>
    <t xml:space="preserve">Spinetoram </t>
  </si>
  <si>
    <t>Zinc/Boron</t>
  </si>
  <si>
    <t>Respirator Masks</t>
  </si>
  <si>
    <t>Respirator Cartidges Filters</t>
  </si>
  <si>
    <t xml:space="preserve">Spray Lancer Rings </t>
  </si>
  <si>
    <t>Pairs</t>
  </si>
  <si>
    <t>Manganees</t>
  </si>
  <si>
    <t>Chlorine</t>
  </si>
  <si>
    <t>Spray Lancer</t>
  </si>
  <si>
    <t>Zig Zag Lock Wire</t>
  </si>
  <si>
    <t>Star gold</t>
  </si>
  <si>
    <t>Edita</t>
  </si>
  <si>
    <t>Zeefer</t>
  </si>
  <si>
    <t>FCM Lure</t>
  </si>
  <si>
    <t>Liquid Rapid Lure</t>
  </si>
  <si>
    <t>Potassium Nitrate</t>
  </si>
  <si>
    <t>FCM Net 500mtrs</t>
  </si>
  <si>
    <t>Sticky Rolls Yellow</t>
  </si>
  <si>
    <t>Sticky Rolls Blue</t>
  </si>
  <si>
    <t>Strobin extra</t>
  </si>
  <si>
    <t>Switch 1kg</t>
  </si>
  <si>
    <t>Dipnony 1L</t>
  </si>
  <si>
    <t>15cmx100m</t>
  </si>
  <si>
    <t>Molasses</t>
  </si>
  <si>
    <t>30cmx100m</t>
  </si>
  <si>
    <t>Sqr</t>
  </si>
  <si>
    <t>8x74m(2 Rolls)</t>
  </si>
  <si>
    <t>8x74m (Sole Plast) (1 Roll)</t>
  </si>
  <si>
    <t>LPO 077</t>
  </si>
  <si>
    <t xml:space="preserve">Description </t>
  </si>
  <si>
    <t>Maintenance: Repair of Receiving Cold Room (ZB76KQE)</t>
  </si>
  <si>
    <t>Refence No: 6963</t>
  </si>
  <si>
    <t>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</si>
</sst>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Ksh&quot;#,##0.00;[Red]\-&quot;Ksh&quot;#,##0.00"/>
    <numFmt numFmtId="44" formatCode="_-&quot;Ksh&quot;* #,##0.00_-;\-&quot;Ksh&quot;* #,##0.00_-;_-&quot;Ksh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0.000"/>
    <numFmt numFmtId="166" formatCode="_-[$€-2]\ * #,##0.00_-;\-[$€-2]\ * #,##0.00_-;_-[$€-2]\ * &quot;-&quot;??_-;_-@_-"/>
    <numFmt numFmtId="167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4"/>
      <name val="Calibri"/>
      <family val="2"/>
      <scheme val="minor"/>
    </font>
    <font>
      <sz val="11"/>
      <color rgb="FF000000"/>
      <name val="Leelawadee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5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164" fontId="2" fillId="0" borderId="1" xfId="0" applyNumberFormat="1" applyFont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0" xfId="0" applyBorder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/>
    <xf numFmtId="43" fontId="0" fillId="0" borderId="1" xfId="1" applyFont="1" applyBorder="1"/>
    <xf numFmtId="0" fontId="0" fillId="0" borderId="1" xfId="0" applyFont="1" applyBorder="1" applyAlignment="1">
      <alignment horizontal="left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0" fillId="0" borderId="4" xfId="0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4" fontId="2" fillId="0" borderId="1" xfId="2" applyFont="1" applyBorder="1"/>
    <xf numFmtId="0" fontId="3" fillId="0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166" fontId="2" fillId="0" borderId="1" xfId="0" applyNumberFormat="1" applyFont="1" applyBorder="1"/>
    <xf numFmtId="3" fontId="0" fillId="0" borderId="1" xfId="0" applyNumberFormat="1" applyBorder="1"/>
    <xf numFmtId="0" fontId="2" fillId="0" borderId="1" xfId="0" applyFont="1" applyBorder="1" applyAlignment="1">
      <alignment horizontal="right"/>
    </xf>
    <xf numFmtId="164" fontId="2" fillId="0" borderId="1" xfId="2" applyNumberFormat="1" applyFont="1" applyBorder="1"/>
    <xf numFmtId="44" fontId="2" fillId="0" borderId="1" xfId="2" applyFont="1" applyFill="1" applyBorder="1"/>
    <xf numFmtId="0" fontId="3" fillId="0" borderId="4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16" fontId="0" fillId="0" borderId="1" xfId="0" applyNumberFormat="1" applyBorder="1"/>
    <xf numFmtId="0" fontId="2" fillId="0" borderId="1" xfId="0" applyFont="1" applyBorder="1"/>
    <xf numFmtId="0" fontId="7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2" borderId="1" xfId="0" applyFill="1" applyBorder="1"/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5" fillId="0" borderId="8" xfId="0" applyFont="1" applyBorder="1" applyAlignment="1">
      <alignment vertical="center"/>
    </xf>
    <xf numFmtId="4" fontId="0" fillId="0" borderId="1" xfId="0" applyNumberFormat="1" applyBorder="1"/>
    <xf numFmtId="0" fontId="9" fillId="0" borderId="1" xfId="0" applyFont="1" applyBorder="1"/>
    <xf numFmtId="164" fontId="2" fillId="0" borderId="1" xfId="2" applyNumberFormat="1" applyFont="1" applyFill="1" applyBorder="1"/>
    <xf numFmtId="0" fontId="11" fillId="0" borderId="1" xfId="0" applyFont="1" applyBorder="1" applyAlignment="1">
      <alignment horizontal="left" vertical="center" wrapText="1" indent="1"/>
    </xf>
    <xf numFmtId="0" fontId="0" fillId="0" borderId="1" xfId="0" applyFont="1" applyBorder="1"/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 indent="2"/>
    </xf>
    <xf numFmtId="0" fontId="12" fillId="0" borderId="1" xfId="0" applyFont="1" applyBorder="1" applyAlignment="1">
      <alignment horizontal="right"/>
    </xf>
    <xf numFmtId="44" fontId="0" fillId="0" borderId="1" xfId="2" applyFont="1" applyBorder="1" applyAlignment="1">
      <alignment horizontal="center"/>
    </xf>
    <xf numFmtId="3" fontId="0" fillId="0" borderId="0" xfId="0" applyNumberFormat="1"/>
    <xf numFmtId="3" fontId="0" fillId="0" borderId="4" xfId="0" applyNumberFormat="1" applyBorder="1"/>
    <xf numFmtId="0" fontId="3" fillId="0" borderId="9" xfId="0" applyFont="1" applyBorder="1" applyAlignment="1">
      <alignment vertical="center"/>
    </xf>
    <xf numFmtId="0" fontId="9" fillId="2" borderId="1" xfId="0" applyFont="1" applyFill="1" applyBorder="1"/>
    <xf numFmtId="0" fontId="13" fillId="0" borderId="1" xfId="0" applyFont="1" applyBorder="1"/>
    <xf numFmtId="0" fontId="3" fillId="0" borderId="1" xfId="0" applyFont="1" applyBorder="1" applyAlignment="1">
      <alignment vertical="center" wrapText="1"/>
    </xf>
    <xf numFmtId="0" fontId="14" fillId="0" borderId="1" xfId="0" applyFont="1" applyBorder="1"/>
    <xf numFmtId="0" fontId="15" fillId="0" borderId="1" xfId="0" applyFont="1" applyBorder="1"/>
    <xf numFmtId="0" fontId="14" fillId="2" borderId="1" xfId="0" applyFont="1" applyFill="1" applyBorder="1"/>
    <xf numFmtId="0" fontId="15" fillId="2" borderId="1" xfId="0" applyFont="1" applyFill="1" applyBorder="1"/>
    <xf numFmtId="0" fontId="9" fillId="0" borderId="1" xfId="0" applyFont="1" applyBorder="1" applyAlignment="1">
      <alignment horizontal="right"/>
    </xf>
    <xf numFmtId="0" fontId="16" fillId="0" borderId="0" xfId="0" applyFont="1"/>
    <xf numFmtId="0" fontId="16" fillId="0" borderId="1" xfId="0" applyFont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" fillId="0" borderId="1" xfId="0" applyFont="1" applyBorder="1"/>
    <xf numFmtId="0" fontId="16" fillId="0" borderId="1" xfId="0" applyFont="1" applyBorder="1" applyAlignment="1">
      <alignment wrapText="1"/>
    </xf>
    <xf numFmtId="0" fontId="14" fillId="0" borderId="1" xfId="0" applyFont="1" applyFill="1" applyBorder="1"/>
    <xf numFmtId="0" fontId="17" fillId="0" borderId="1" xfId="0" applyFont="1" applyBorder="1"/>
    <xf numFmtId="0" fontId="1" fillId="2" borderId="1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0" fillId="0" borderId="1" xfId="0" applyBorder="1" applyAlignment="1">
      <alignment horizontal="center" vertical="center"/>
    </xf>
    <xf numFmtId="43" fontId="0" fillId="2" borderId="1" xfId="1" applyFont="1" applyFill="1" applyBorder="1"/>
    <xf numFmtId="0" fontId="0" fillId="0" borderId="1" xfId="0" applyBorder="1" applyAlignment="1">
      <alignment horizontal="center"/>
    </xf>
    <xf numFmtId="0" fontId="3" fillId="2" borderId="7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43" fontId="0" fillId="4" borderId="1" xfId="1" applyFont="1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0" fillId="4" borderId="4" xfId="0" applyFill="1" applyBorder="1"/>
    <xf numFmtId="0" fontId="4" fillId="4" borderId="1" xfId="0" applyFont="1" applyFill="1" applyBorder="1"/>
    <xf numFmtId="0" fontId="14" fillId="4" borderId="1" xfId="0" applyFont="1" applyFill="1" applyBorder="1"/>
    <xf numFmtId="0" fontId="9" fillId="4" borderId="1" xfId="0" applyFont="1" applyFill="1" applyBorder="1"/>
    <xf numFmtId="0" fontId="1" fillId="4" borderId="1" xfId="0" applyFont="1" applyFill="1" applyBorder="1"/>
    <xf numFmtId="0" fontId="17" fillId="4" borderId="1" xfId="0" applyFont="1" applyFill="1" applyBorder="1"/>
    <xf numFmtId="0" fontId="2" fillId="4" borderId="4" xfId="0" applyFont="1" applyFill="1" applyBorder="1" applyAlignment="1">
      <alignment horizontal="center"/>
    </xf>
    <xf numFmtId="167" fontId="2" fillId="4" borderId="1" xfId="0" applyNumberFormat="1" applyFont="1" applyFill="1" applyBorder="1"/>
    <xf numFmtId="17" fontId="2" fillId="4" borderId="1" xfId="0" applyNumberFormat="1" applyFont="1" applyFill="1" applyBorder="1" applyAlignment="1">
      <alignment horizontal="center"/>
    </xf>
    <xf numFmtId="0" fontId="0" fillId="4" borderId="1" xfId="0" applyFont="1" applyFill="1" applyBorder="1"/>
    <xf numFmtId="0" fontId="2" fillId="0" borderId="10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0" fillId="0" borderId="1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" fontId="2" fillId="0" borderId="11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8" fontId="5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2C57-6C78-490E-9C5C-475140F5F9CE}">
  <sheetPr>
    <tabColor rgb="FF7030A0"/>
  </sheetPr>
  <dimension ref="A2:I318"/>
  <sheetViews>
    <sheetView tabSelected="1" topLeftCell="A223" workbookViewId="0">
      <selection activeCell="F317" sqref="F317"/>
    </sheetView>
  </sheetViews>
  <sheetFormatPr defaultRowHeight="14.5" x14ac:dyDescent="0.35"/>
  <cols>
    <col min="1" max="1" width="15.1796875" bestFit="1" customWidth="1"/>
    <col min="2" max="2" width="23.54296875" bestFit="1" customWidth="1"/>
    <col min="3" max="3" width="18.1796875" customWidth="1"/>
    <col min="4" max="4" width="10.1796875" bestFit="1" customWidth="1"/>
    <col min="5" max="5" width="13" customWidth="1"/>
    <col min="6" max="6" width="13.08984375" bestFit="1" customWidth="1"/>
    <col min="7" max="7" width="13.1796875" bestFit="1" customWidth="1"/>
    <col min="8" max="8" width="11.453125" customWidth="1"/>
    <col min="9" max="9" width="14.81640625" bestFit="1" customWidth="1"/>
  </cols>
  <sheetData>
    <row r="2" spans="1:9" ht="43.5" x14ac:dyDescent="0.35">
      <c r="A2" s="4" t="s">
        <v>19</v>
      </c>
      <c r="B2" s="3" t="s">
        <v>7</v>
      </c>
      <c r="C2" s="3" t="s">
        <v>6</v>
      </c>
      <c r="D2" s="3" t="s">
        <v>5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 x14ac:dyDescent="0.35">
      <c r="A3" s="4">
        <v>12210</v>
      </c>
      <c r="B3" s="4" t="s">
        <v>20</v>
      </c>
      <c r="C3" s="4"/>
      <c r="D3" s="4">
        <v>1000</v>
      </c>
      <c r="E3" s="4" t="s">
        <v>9</v>
      </c>
      <c r="F3" s="5">
        <v>0.45</v>
      </c>
      <c r="G3" s="5">
        <f>F3*D3</f>
        <v>450</v>
      </c>
      <c r="H3" s="5">
        <f>G3*16%</f>
        <v>72</v>
      </c>
      <c r="I3" s="5">
        <f>H3+G3</f>
        <v>522</v>
      </c>
    </row>
    <row r="4" spans="1:9" x14ac:dyDescent="0.35">
      <c r="A4" s="4"/>
      <c r="B4" s="4" t="s">
        <v>21</v>
      </c>
      <c r="C4" s="4" t="s">
        <v>22</v>
      </c>
      <c r="D4" s="4">
        <v>400</v>
      </c>
      <c r="E4" s="4" t="s">
        <v>23</v>
      </c>
      <c r="F4" s="5">
        <v>1.85</v>
      </c>
      <c r="G4" s="5">
        <f t="shared" ref="G4:G7" si="0">F4*D4</f>
        <v>740</v>
      </c>
      <c r="H4" s="5">
        <f t="shared" ref="H4:H16" si="1">G4*16%</f>
        <v>118.4</v>
      </c>
      <c r="I4" s="5">
        <f t="shared" ref="I4:I7" si="2">H4+G4</f>
        <v>858.4</v>
      </c>
    </row>
    <row r="5" spans="1:9" x14ac:dyDescent="0.35">
      <c r="A5" s="4"/>
      <c r="B5" s="4" t="s">
        <v>24</v>
      </c>
      <c r="C5" s="4" t="s">
        <v>25</v>
      </c>
      <c r="D5" s="4">
        <v>1400</v>
      </c>
      <c r="E5" s="4" t="s">
        <v>9</v>
      </c>
      <c r="F5" s="5">
        <v>7.0000000000000007E-2</v>
      </c>
      <c r="G5" s="5">
        <f t="shared" si="0"/>
        <v>98.000000000000014</v>
      </c>
      <c r="H5" s="5">
        <f t="shared" si="1"/>
        <v>15.680000000000003</v>
      </c>
      <c r="I5" s="5">
        <f t="shared" si="2"/>
        <v>113.68000000000002</v>
      </c>
    </row>
    <row r="6" spans="1:9" x14ac:dyDescent="0.35">
      <c r="A6" s="4"/>
      <c r="B6" s="4" t="s">
        <v>26</v>
      </c>
      <c r="C6" s="4" t="s">
        <v>27</v>
      </c>
      <c r="D6" s="4">
        <v>960</v>
      </c>
      <c r="E6" s="4" t="s">
        <v>9</v>
      </c>
      <c r="F6" s="5">
        <v>8.5000000000000006E-2</v>
      </c>
      <c r="G6" s="5">
        <f t="shared" si="0"/>
        <v>81.600000000000009</v>
      </c>
      <c r="H6" s="5">
        <f t="shared" si="1"/>
        <v>13.056000000000001</v>
      </c>
      <c r="I6" s="5">
        <f t="shared" si="2"/>
        <v>94.656000000000006</v>
      </c>
    </row>
    <row r="7" spans="1:9" x14ac:dyDescent="0.35">
      <c r="A7" s="4"/>
      <c r="B7" s="4" t="s">
        <v>28</v>
      </c>
      <c r="C7" s="4" t="s">
        <v>29</v>
      </c>
      <c r="D7" s="4">
        <v>200</v>
      </c>
      <c r="E7" s="4" t="s">
        <v>9</v>
      </c>
      <c r="F7" s="5">
        <v>4.0999999999999996</v>
      </c>
      <c r="G7" s="5">
        <f t="shared" si="0"/>
        <v>819.99999999999989</v>
      </c>
      <c r="H7" s="5">
        <f t="shared" si="1"/>
        <v>131.19999999999999</v>
      </c>
      <c r="I7" s="5">
        <f t="shared" si="2"/>
        <v>951.19999999999982</v>
      </c>
    </row>
    <row r="8" spans="1:9" x14ac:dyDescent="0.35">
      <c r="A8" s="4"/>
      <c r="B8" s="4"/>
      <c r="C8" s="4"/>
      <c r="D8" s="4"/>
      <c r="E8" s="4"/>
      <c r="F8" s="4"/>
      <c r="G8" s="4"/>
      <c r="H8" s="4"/>
      <c r="I8" s="6">
        <f>SUM(I3:I7)</f>
        <v>2539.9359999999997</v>
      </c>
    </row>
    <row r="10" spans="1:9" x14ac:dyDescent="0.35">
      <c r="A10" s="4">
        <v>12211</v>
      </c>
      <c r="B10" s="4" t="s">
        <v>30</v>
      </c>
      <c r="C10" s="4" t="s">
        <v>31</v>
      </c>
      <c r="D10" s="4">
        <v>20</v>
      </c>
      <c r="E10" s="4" t="s">
        <v>9</v>
      </c>
      <c r="F10" s="4">
        <v>50</v>
      </c>
      <c r="G10" s="5">
        <f t="shared" ref="G10" si="3">F10*D10</f>
        <v>1000</v>
      </c>
      <c r="H10" s="5">
        <f t="shared" si="1"/>
        <v>160</v>
      </c>
      <c r="I10" s="5">
        <f t="shared" ref="I10" si="4">H10+G10</f>
        <v>1160</v>
      </c>
    </row>
    <row r="11" spans="1:9" x14ac:dyDescent="0.35">
      <c r="A11" s="4"/>
      <c r="B11" s="4" t="s">
        <v>32</v>
      </c>
      <c r="C11" s="4" t="s">
        <v>33</v>
      </c>
      <c r="D11" s="4">
        <v>20</v>
      </c>
      <c r="E11" s="4" t="s">
        <v>9</v>
      </c>
      <c r="F11" s="4">
        <v>18</v>
      </c>
      <c r="G11" s="5">
        <f t="shared" ref="G11:G14" si="5">F11*D11</f>
        <v>360</v>
      </c>
      <c r="H11" s="5">
        <f t="shared" si="1"/>
        <v>57.6</v>
      </c>
      <c r="I11" s="5">
        <f t="shared" ref="I11:I14" si="6">H11+G11</f>
        <v>417.6</v>
      </c>
    </row>
    <row r="12" spans="1:9" x14ac:dyDescent="0.35">
      <c r="A12" s="4"/>
      <c r="B12" s="4"/>
      <c r="C12" s="4"/>
      <c r="D12" s="4"/>
      <c r="E12" s="4"/>
      <c r="F12" s="4"/>
      <c r="G12" s="5"/>
      <c r="H12" s="5"/>
      <c r="I12" s="6">
        <f>SUM(I10:I11)</f>
        <v>1577.6</v>
      </c>
    </row>
    <row r="14" spans="1:9" x14ac:dyDescent="0.35">
      <c r="A14" s="4">
        <v>12212</v>
      </c>
      <c r="B14" s="4" t="s">
        <v>34</v>
      </c>
      <c r="C14" s="4" t="s">
        <v>35</v>
      </c>
      <c r="D14" s="4">
        <v>30</v>
      </c>
      <c r="E14" s="4" t="s">
        <v>9</v>
      </c>
      <c r="F14" s="4">
        <v>16</v>
      </c>
      <c r="G14" s="5">
        <f t="shared" si="5"/>
        <v>480</v>
      </c>
      <c r="H14" s="5">
        <f t="shared" si="1"/>
        <v>76.8</v>
      </c>
      <c r="I14" s="5">
        <f t="shared" si="6"/>
        <v>556.79999999999995</v>
      </c>
    </row>
    <row r="15" spans="1:9" x14ac:dyDescent="0.35">
      <c r="A15" s="4"/>
      <c r="B15" s="4" t="s">
        <v>36</v>
      </c>
      <c r="C15" s="4" t="s">
        <v>37</v>
      </c>
      <c r="D15" s="4">
        <v>2</v>
      </c>
      <c r="E15" s="4" t="s">
        <v>9</v>
      </c>
      <c r="F15" s="4">
        <v>9.5000000000000001E-2</v>
      </c>
      <c r="G15" s="5">
        <f t="shared" ref="G15:G16" si="7">F15*D15</f>
        <v>0.19</v>
      </c>
      <c r="H15" s="5">
        <f t="shared" si="1"/>
        <v>3.04E-2</v>
      </c>
      <c r="I15" s="5">
        <f t="shared" ref="I15:I16" si="8">H15+G15</f>
        <v>0.22040000000000001</v>
      </c>
    </row>
    <row r="16" spans="1:9" x14ac:dyDescent="0.35">
      <c r="A16" s="4"/>
      <c r="B16" s="4"/>
      <c r="C16" s="4" t="s">
        <v>38</v>
      </c>
      <c r="D16" s="4">
        <v>2</v>
      </c>
      <c r="E16" s="4" t="s">
        <v>9</v>
      </c>
      <c r="F16" s="4">
        <v>0.09</v>
      </c>
      <c r="G16" s="5">
        <f t="shared" si="7"/>
        <v>0.18</v>
      </c>
      <c r="H16" s="5">
        <f t="shared" si="1"/>
        <v>2.8799999999999999E-2</v>
      </c>
      <c r="I16" s="5">
        <f t="shared" si="8"/>
        <v>0.20879999999999999</v>
      </c>
    </row>
    <row r="17" spans="1:9" x14ac:dyDescent="0.35">
      <c r="A17" s="4"/>
      <c r="B17" s="7"/>
      <c r="C17" s="8"/>
      <c r="D17" s="8"/>
      <c r="E17" s="8"/>
      <c r="F17" s="8"/>
      <c r="G17" s="8"/>
      <c r="H17" s="9"/>
      <c r="I17" s="6">
        <f>SUM(I14:I16)</f>
        <v>557.22919999999999</v>
      </c>
    </row>
    <row r="18" spans="1:9" ht="15" thickBot="1" x14ac:dyDescent="0.4">
      <c r="A18" s="10"/>
      <c r="B18" s="11"/>
      <c r="C18" s="11"/>
      <c r="D18" s="11"/>
      <c r="E18" s="11"/>
      <c r="F18" s="11"/>
      <c r="G18" s="11"/>
      <c r="H18" s="11"/>
      <c r="I18" s="12"/>
    </row>
    <row r="19" spans="1:9" ht="29.5" thickBot="1" x14ac:dyDescent="0.4">
      <c r="A19" s="4"/>
      <c r="B19" s="17" t="s">
        <v>7</v>
      </c>
      <c r="C19" s="18" t="s">
        <v>6</v>
      </c>
      <c r="D19" s="18" t="s">
        <v>5</v>
      </c>
      <c r="E19" s="18" t="s">
        <v>0</v>
      </c>
      <c r="F19" s="18" t="s">
        <v>1</v>
      </c>
      <c r="G19" s="18" t="s">
        <v>2</v>
      </c>
      <c r="H19" s="18" t="s">
        <v>3</v>
      </c>
      <c r="I19" s="18" t="s">
        <v>4</v>
      </c>
    </row>
    <row r="20" spans="1:9" x14ac:dyDescent="0.35">
      <c r="A20" s="4">
        <v>12218</v>
      </c>
      <c r="B20" s="14" t="s">
        <v>39</v>
      </c>
      <c r="C20" s="14" t="s">
        <v>40</v>
      </c>
      <c r="D20" s="15">
        <v>20128</v>
      </c>
      <c r="E20" s="14" t="s">
        <v>41</v>
      </c>
      <c r="F20" s="4">
        <v>0.68</v>
      </c>
      <c r="G20" s="13">
        <f t="shared" ref="G20:G23" si="9">F20*D20</f>
        <v>13687.04</v>
      </c>
      <c r="H20" s="13">
        <f t="shared" ref="H20:H23" si="10">G20*16%</f>
        <v>2189.9264000000003</v>
      </c>
      <c r="I20" s="13">
        <f t="shared" ref="I20:I23" si="11">H20+G20</f>
        <v>15876.966400000001</v>
      </c>
    </row>
    <row r="21" spans="1:9" x14ac:dyDescent="0.35">
      <c r="A21" s="4"/>
      <c r="B21" s="14" t="s">
        <v>42</v>
      </c>
      <c r="C21" s="14" t="s">
        <v>43</v>
      </c>
      <c r="D21" s="15">
        <v>2064</v>
      </c>
      <c r="E21" s="14" t="s">
        <v>41</v>
      </c>
      <c r="F21" s="4">
        <v>0.68</v>
      </c>
      <c r="G21" s="13">
        <f t="shared" si="9"/>
        <v>1403.5200000000002</v>
      </c>
      <c r="H21" s="13">
        <f t="shared" si="10"/>
        <v>224.56320000000005</v>
      </c>
      <c r="I21" s="13">
        <f t="shared" si="11"/>
        <v>1628.0832000000003</v>
      </c>
    </row>
    <row r="22" spans="1:9" x14ac:dyDescent="0.35">
      <c r="A22" s="4"/>
      <c r="B22" s="14" t="s">
        <v>44</v>
      </c>
      <c r="C22" s="14"/>
      <c r="D22" s="16">
        <v>5</v>
      </c>
      <c r="E22" s="14" t="s">
        <v>47</v>
      </c>
      <c r="F22" s="4">
        <v>165</v>
      </c>
      <c r="G22" s="5">
        <f t="shared" si="9"/>
        <v>825</v>
      </c>
      <c r="H22" s="5">
        <v>0</v>
      </c>
      <c r="I22" s="5">
        <f t="shared" si="11"/>
        <v>825</v>
      </c>
    </row>
    <row r="23" spans="1:9" x14ac:dyDescent="0.35">
      <c r="A23" s="4"/>
      <c r="B23" s="14" t="s">
        <v>45</v>
      </c>
      <c r="C23" s="14" t="s">
        <v>38</v>
      </c>
      <c r="D23" s="14">
        <v>100</v>
      </c>
      <c r="E23" s="14" t="s">
        <v>9</v>
      </c>
      <c r="F23" s="4">
        <v>0.75</v>
      </c>
      <c r="G23" s="5">
        <f t="shared" si="9"/>
        <v>75</v>
      </c>
      <c r="H23" s="5">
        <f t="shared" si="10"/>
        <v>12</v>
      </c>
      <c r="I23" s="5">
        <f t="shared" si="11"/>
        <v>87</v>
      </c>
    </row>
    <row r="24" spans="1:9" x14ac:dyDescent="0.35">
      <c r="A24" s="7"/>
      <c r="B24" s="8"/>
      <c r="C24" s="8"/>
      <c r="D24" s="8"/>
      <c r="E24" s="8"/>
      <c r="F24" s="8"/>
      <c r="G24" s="8"/>
      <c r="H24" s="9"/>
      <c r="I24" s="6">
        <f>SUM(I20:I23)</f>
        <v>18417.049600000002</v>
      </c>
    </row>
    <row r="27" spans="1:9" x14ac:dyDescent="0.35">
      <c r="A27" s="4">
        <v>12222</v>
      </c>
      <c r="B27" s="4" t="s">
        <v>8</v>
      </c>
      <c r="C27" s="4" t="s">
        <v>10</v>
      </c>
      <c r="D27" s="4">
        <v>19</v>
      </c>
      <c r="E27" s="4" t="s">
        <v>9</v>
      </c>
      <c r="F27" s="5">
        <v>23</v>
      </c>
      <c r="G27" s="5">
        <f>D27*F27</f>
        <v>437</v>
      </c>
      <c r="H27" s="5">
        <f>G27*16%</f>
        <v>69.92</v>
      </c>
      <c r="I27" s="5">
        <f>G27+H27</f>
        <v>506.92</v>
      </c>
    </row>
    <row r="28" spans="1:9" x14ac:dyDescent="0.35">
      <c r="A28" s="4"/>
      <c r="B28" s="4" t="s">
        <v>11</v>
      </c>
      <c r="C28" s="4"/>
      <c r="D28" s="4">
        <v>5</v>
      </c>
      <c r="E28" s="4" t="s">
        <v>9</v>
      </c>
      <c r="F28" s="5">
        <v>2.2999999999999998</v>
      </c>
      <c r="G28" s="5">
        <f t="shared" ref="G28:G32" si="12">D28*F28</f>
        <v>11.5</v>
      </c>
      <c r="H28" s="5">
        <f t="shared" ref="H28:H32" si="13">G28*16%</f>
        <v>1.84</v>
      </c>
      <c r="I28" s="5">
        <f t="shared" ref="I28:I32" si="14">G28+H28</f>
        <v>13.34</v>
      </c>
    </row>
    <row r="29" spans="1:9" x14ac:dyDescent="0.35">
      <c r="A29" s="4"/>
      <c r="B29" s="4" t="s">
        <v>12</v>
      </c>
      <c r="C29" s="4"/>
      <c r="D29" s="4">
        <v>19</v>
      </c>
      <c r="E29" s="4" t="s">
        <v>9</v>
      </c>
      <c r="F29" s="5">
        <v>1.75</v>
      </c>
      <c r="G29" s="5">
        <f t="shared" si="12"/>
        <v>33.25</v>
      </c>
      <c r="H29" s="5">
        <f t="shared" si="13"/>
        <v>5.32</v>
      </c>
      <c r="I29" s="5">
        <f t="shared" si="14"/>
        <v>38.57</v>
      </c>
    </row>
    <row r="30" spans="1:9" x14ac:dyDescent="0.35">
      <c r="A30" s="4"/>
      <c r="B30" s="4" t="s">
        <v>13</v>
      </c>
      <c r="C30" s="4" t="s">
        <v>14</v>
      </c>
      <c r="D30" s="4">
        <v>1</v>
      </c>
      <c r="E30" s="4" t="s">
        <v>15</v>
      </c>
      <c r="F30" s="5">
        <v>14.5</v>
      </c>
      <c r="G30" s="5">
        <f t="shared" si="12"/>
        <v>14.5</v>
      </c>
      <c r="H30" s="5">
        <f t="shared" si="13"/>
        <v>2.3199999999999998</v>
      </c>
      <c r="I30" s="5">
        <f t="shared" si="14"/>
        <v>16.82</v>
      </c>
    </row>
    <row r="31" spans="1:9" x14ac:dyDescent="0.35">
      <c r="A31" s="4"/>
      <c r="B31" s="4"/>
      <c r="C31" s="4" t="s">
        <v>16</v>
      </c>
      <c r="D31" s="4">
        <v>2</v>
      </c>
      <c r="E31" s="4" t="s">
        <v>17</v>
      </c>
      <c r="F31" s="5">
        <v>14.5</v>
      </c>
      <c r="G31" s="5">
        <f t="shared" si="12"/>
        <v>29</v>
      </c>
      <c r="H31" s="5">
        <f t="shared" si="13"/>
        <v>4.6399999999999997</v>
      </c>
      <c r="I31" s="5">
        <f t="shared" si="14"/>
        <v>33.64</v>
      </c>
    </row>
    <row r="32" spans="1:9" x14ac:dyDescent="0.35">
      <c r="A32" s="4"/>
      <c r="B32" s="4"/>
      <c r="C32" s="4" t="s">
        <v>18</v>
      </c>
      <c r="D32" s="4">
        <v>2</v>
      </c>
      <c r="E32" s="4" t="s">
        <v>17</v>
      </c>
      <c r="F32" s="5">
        <v>14.5</v>
      </c>
      <c r="G32" s="5">
        <f t="shared" si="12"/>
        <v>29</v>
      </c>
      <c r="H32" s="5">
        <f t="shared" si="13"/>
        <v>4.6399999999999997</v>
      </c>
      <c r="I32" s="5">
        <f t="shared" si="14"/>
        <v>33.64</v>
      </c>
    </row>
    <row r="33" spans="1:9" x14ac:dyDescent="0.35">
      <c r="A33" s="4"/>
      <c r="B33" s="7"/>
      <c r="C33" s="8"/>
      <c r="D33" s="8"/>
      <c r="E33" s="8"/>
      <c r="F33" s="8"/>
      <c r="G33" s="8"/>
      <c r="H33" s="9"/>
      <c r="I33" s="6">
        <f>SUM(I27:I32)</f>
        <v>642.93000000000006</v>
      </c>
    </row>
    <row r="34" spans="1:9" x14ac:dyDescent="0.35">
      <c r="A34" s="113" t="s">
        <v>46</v>
      </c>
      <c r="B34" s="113"/>
      <c r="C34" s="113"/>
      <c r="D34" s="113"/>
      <c r="E34" s="113"/>
      <c r="F34" s="113"/>
      <c r="G34" s="113"/>
      <c r="H34" s="113"/>
      <c r="I34" s="2"/>
    </row>
    <row r="35" spans="1:9" x14ac:dyDescent="0.35">
      <c r="A35" s="114"/>
      <c r="B35" s="114"/>
      <c r="C35" s="114"/>
      <c r="D35" s="114"/>
      <c r="E35" s="114"/>
      <c r="F35" s="114"/>
      <c r="G35" s="114"/>
      <c r="H35" s="114"/>
      <c r="I35" s="1">
        <f>I33+I24+I17+I12+I8</f>
        <v>23734.7448</v>
      </c>
    </row>
    <row r="37" spans="1:9" x14ac:dyDescent="0.35">
      <c r="B37" t="s">
        <v>101</v>
      </c>
    </row>
    <row r="38" spans="1:9" ht="29" x14ac:dyDescent="0.35">
      <c r="A38">
        <v>12227</v>
      </c>
      <c r="B38" s="22" t="s">
        <v>48</v>
      </c>
      <c r="C38" s="22" t="s">
        <v>49</v>
      </c>
      <c r="D38" s="22" t="s">
        <v>50</v>
      </c>
      <c r="E38" s="22" t="s">
        <v>0</v>
      </c>
      <c r="F38" s="26" t="s">
        <v>85</v>
      </c>
      <c r="G38" s="19" t="s">
        <v>75</v>
      </c>
      <c r="H38" s="19" t="s">
        <v>76</v>
      </c>
      <c r="I38" s="19" t="s">
        <v>77</v>
      </c>
    </row>
    <row r="39" spans="1:9" x14ac:dyDescent="0.35">
      <c r="B39" s="23" t="s">
        <v>51</v>
      </c>
      <c r="C39" s="23"/>
      <c r="D39" s="24">
        <v>6</v>
      </c>
      <c r="E39" s="23" t="s">
        <v>52</v>
      </c>
      <c r="F39" s="4">
        <v>60</v>
      </c>
      <c r="G39" s="13">
        <f t="shared" ref="G39" si="15">F39*D39</f>
        <v>360</v>
      </c>
      <c r="H39" s="13">
        <v>0</v>
      </c>
      <c r="I39" s="13">
        <f t="shared" ref="I39" si="16">H39+G39</f>
        <v>360</v>
      </c>
    </row>
    <row r="40" spans="1:9" x14ac:dyDescent="0.35">
      <c r="B40" s="23" t="s">
        <v>53</v>
      </c>
      <c r="C40" s="23"/>
      <c r="D40" s="24">
        <v>12</v>
      </c>
      <c r="E40" s="23" t="s">
        <v>52</v>
      </c>
      <c r="F40" s="4">
        <v>50</v>
      </c>
      <c r="G40" s="13">
        <f t="shared" ref="G40:G53" si="17">F40*D40</f>
        <v>600</v>
      </c>
      <c r="H40" s="13">
        <v>0</v>
      </c>
      <c r="I40" s="13">
        <f t="shared" ref="I40:I53" si="18">H40+G40</f>
        <v>600</v>
      </c>
    </row>
    <row r="41" spans="1:9" x14ac:dyDescent="0.35">
      <c r="B41" s="23" t="s">
        <v>54</v>
      </c>
      <c r="C41" s="23"/>
      <c r="D41" s="24">
        <v>12</v>
      </c>
      <c r="E41" s="23" t="s">
        <v>52</v>
      </c>
      <c r="F41" s="4">
        <v>52</v>
      </c>
      <c r="G41" s="13">
        <f t="shared" si="17"/>
        <v>624</v>
      </c>
      <c r="H41" s="13">
        <v>0</v>
      </c>
      <c r="I41" s="13">
        <f t="shared" si="18"/>
        <v>624</v>
      </c>
    </row>
    <row r="42" spans="1:9" x14ac:dyDescent="0.35">
      <c r="B42" s="27" t="s">
        <v>55</v>
      </c>
      <c r="C42" s="27"/>
      <c r="D42" s="28">
        <v>10</v>
      </c>
      <c r="E42" s="27" t="s">
        <v>52</v>
      </c>
      <c r="F42" s="29">
        <v>40</v>
      </c>
      <c r="G42" s="13">
        <f t="shared" si="17"/>
        <v>400</v>
      </c>
      <c r="H42" s="13">
        <f t="shared" ref="H42:H53" si="19">G42*16%</f>
        <v>64</v>
      </c>
      <c r="I42" s="13">
        <f t="shared" si="18"/>
        <v>464</v>
      </c>
    </row>
    <row r="43" spans="1:9" x14ac:dyDescent="0.35">
      <c r="B43" s="23" t="s">
        <v>56</v>
      </c>
      <c r="C43" s="23"/>
      <c r="D43" s="24">
        <v>6</v>
      </c>
      <c r="E43" s="23" t="s">
        <v>57</v>
      </c>
      <c r="F43" s="4">
        <v>32</v>
      </c>
      <c r="G43" s="13">
        <f t="shared" si="17"/>
        <v>192</v>
      </c>
      <c r="H43" s="13">
        <v>0</v>
      </c>
      <c r="I43" s="13">
        <f t="shared" si="18"/>
        <v>192</v>
      </c>
    </row>
    <row r="44" spans="1:9" x14ac:dyDescent="0.35">
      <c r="B44" s="23" t="s">
        <v>58</v>
      </c>
      <c r="C44" s="23"/>
      <c r="D44" s="24">
        <v>5</v>
      </c>
      <c r="E44" s="23" t="s">
        <v>57</v>
      </c>
      <c r="F44" s="4">
        <v>50</v>
      </c>
      <c r="G44" s="13">
        <f t="shared" si="17"/>
        <v>250</v>
      </c>
      <c r="H44" s="13">
        <v>0</v>
      </c>
      <c r="I44" s="13">
        <f t="shared" si="18"/>
        <v>250</v>
      </c>
    </row>
    <row r="45" spans="1:9" x14ac:dyDescent="0.35">
      <c r="B45" s="23" t="s">
        <v>59</v>
      </c>
      <c r="C45" s="23"/>
      <c r="D45" s="24">
        <v>3</v>
      </c>
      <c r="E45" s="23" t="s">
        <v>57</v>
      </c>
      <c r="F45" s="4">
        <v>180</v>
      </c>
      <c r="G45" s="13">
        <f t="shared" si="17"/>
        <v>540</v>
      </c>
      <c r="H45" s="13">
        <v>0</v>
      </c>
      <c r="I45" s="13">
        <f t="shared" si="18"/>
        <v>540</v>
      </c>
    </row>
    <row r="46" spans="1:9" x14ac:dyDescent="0.35">
      <c r="B46" s="23" t="s">
        <v>60</v>
      </c>
      <c r="C46" s="23"/>
      <c r="D46" s="24">
        <v>10</v>
      </c>
      <c r="E46" s="23" t="s">
        <v>52</v>
      </c>
      <c r="F46" s="4">
        <v>35</v>
      </c>
      <c r="G46" s="13">
        <f t="shared" si="17"/>
        <v>350</v>
      </c>
      <c r="H46" s="13">
        <v>0</v>
      </c>
      <c r="I46" s="13">
        <f t="shared" si="18"/>
        <v>350</v>
      </c>
    </row>
    <row r="47" spans="1:9" x14ac:dyDescent="0.35">
      <c r="B47" s="23" t="s">
        <v>61</v>
      </c>
      <c r="C47" s="23"/>
      <c r="D47" s="24">
        <v>5</v>
      </c>
      <c r="E47" s="23" t="s">
        <v>62</v>
      </c>
      <c r="F47" s="4">
        <v>55</v>
      </c>
      <c r="G47" s="13">
        <f t="shared" si="17"/>
        <v>275</v>
      </c>
      <c r="H47" s="13">
        <v>0</v>
      </c>
      <c r="I47" s="13">
        <f t="shared" si="18"/>
        <v>275</v>
      </c>
    </row>
    <row r="48" spans="1:9" x14ac:dyDescent="0.35">
      <c r="B48" s="23" t="s">
        <v>63</v>
      </c>
      <c r="C48" s="23" t="s">
        <v>64</v>
      </c>
      <c r="D48" s="24">
        <v>2</v>
      </c>
      <c r="E48" s="23" t="s">
        <v>9</v>
      </c>
      <c r="F48" s="4">
        <v>65</v>
      </c>
      <c r="G48" s="13">
        <f t="shared" si="17"/>
        <v>130</v>
      </c>
      <c r="H48" s="13">
        <f t="shared" si="19"/>
        <v>20.8</v>
      </c>
      <c r="I48" s="13">
        <f t="shared" si="18"/>
        <v>150.80000000000001</v>
      </c>
    </row>
    <row r="49" spans="1:9" x14ac:dyDescent="0.35">
      <c r="B49" s="23" t="s">
        <v>65</v>
      </c>
      <c r="C49" s="23" t="s">
        <v>66</v>
      </c>
      <c r="D49" s="24">
        <v>10</v>
      </c>
      <c r="E49" s="23" t="s">
        <v>9</v>
      </c>
      <c r="F49" s="4">
        <v>30</v>
      </c>
      <c r="G49" s="13">
        <f t="shared" si="17"/>
        <v>300</v>
      </c>
      <c r="H49" s="13">
        <f t="shared" si="19"/>
        <v>48</v>
      </c>
      <c r="I49" s="13">
        <f t="shared" si="18"/>
        <v>348</v>
      </c>
    </row>
    <row r="50" spans="1:9" x14ac:dyDescent="0.35">
      <c r="B50" s="23" t="s">
        <v>65</v>
      </c>
      <c r="C50" s="23" t="s">
        <v>67</v>
      </c>
      <c r="D50" s="24">
        <v>10</v>
      </c>
      <c r="E50" s="23" t="s">
        <v>9</v>
      </c>
      <c r="F50" s="4">
        <v>30</v>
      </c>
      <c r="G50" s="13">
        <f t="shared" si="17"/>
        <v>300</v>
      </c>
      <c r="H50" s="13">
        <f t="shared" si="19"/>
        <v>48</v>
      </c>
      <c r="I50" s="13">
        <f t="shared" si="18"/>
        <v>348</v>
      </c>
    </row>
    <row r="51" spans="1:9" x14ac:dyDescent="0.35">
      <c r="B51" s="23" t="s">
        <v>68</v>
      </c>
      <c r="C51" s="23"/>
      <c r="D51" s="24">
        <v>1</v>
      </c>
      <c r="E51" s="23" t="s">
        <v>69</v>
      </c>
      <c r="F51" s="4">
        <v>14.5</v>
      </c>
      <c r="G51" s="13">
        <f t="shared" si="17"/>
        <v>14.5</v>
      </c>
      <c r="H51" s="13">
        <f t="shared" si="19"/>
        <v>2.3199999999999998</v>
      </c>
      <c r="I51" s="13">
        <f t="shared" si="18"/>
        <v>16.82</v>
      </c>
    </row>
    <row r="52" spans="1:9" x14ac:dyDescent="0.35">
      <c r="B52" s="23" t="s">
        <v>70</v>
      </c>
      <c r="C52" s="23"/>
      <c r="D52" s="24">
        <v>1</v>
      </c>
      <c r="E52" s="23" t="s">
        <v>69</v>
      </c>
      <c r="F52" s="4">
        <v>14.5</v>
      </c>
      <c r="G52" s="13">
        <f t="shared" si="17"/>
        <v>14.5</v>
      </c>
      <c r="H52" s="13">
        <f t="shared" si="19"/>
        <v>2.3199999999999998</v>
      </c>
      <c r="I52" s="13">
        <f t="shared" si="18"/>
        <v>16.82</v>
      </c>
    </row>
    <row r="53" spans="1:9" x14ac:dyDescent="0.35">
      <c r="B53" s="27" t="s">
        <v>71</v>
      </c>
      <c r="C53" s="27" t="s">
        <v>72</v>
      </c>
      <c r="D53" s="28">
        <v>1</v>
      </c>
      <c r="E53" s="27" t="s">
        <v>73</v>
      </c>
      <c r="F53" s="29">
        <v>405</v>
      </c>
      <c r="G53" s="13">
        <f t="shared" si="17"/>
        <v>405</v>
      </c>
      <c r="H53" s="13">
        <f t="shared" si="19"/>
        <v>64.8</v>
      </c>
      <c r="I53" s="13">
        <f t="shared" si="18"/>
        <v>469.8</v>
      </c>
    </row>
    <row r="54" spans="1:9" x14ac:dyDescent="0.35">
      <c r="B54" s="115" t="s">
        <v>87</v>
      </c>
      <c r="C54" s="116"/>
      <c r="D54" s="116"/>
      <c r="E54" s="116"/>
      <c r="F54" s="116"/>
      <c r="G54" s="116"/>
      <c r="H54" s="117"/>
      <c r="I54" s="1">
        <f>SUM(I39:I53)</f>
        <v>5005.24</v>
      </c>
    </row>
    <row r="56" spans="1:9" x14ac:dyDescent="0.35">
      <c r="A56">
        <v>12228</v>
      </c>
      <c r="B56" s="22" t="s">
        <v>48</v>
      </c>
      <c r="C56" s="22" t="s">
        <v>49</v>
      </c>
      <c r="D56" s="22" t="s">
        <v>50</v>
      </c>
      <c r="E56" s="22" t="s">
        <v>0</v>
      </c>
      <c r="F56" s="20" t="s">
        <v>74</v>
      </c>
      <c r="G56" s="19" t="s">
        <v>75</v>
      </c>
      <c r="H56" s="19" t="s">
        <v>76</v>
      </c>
      <c r="I56" s="19" t="s">
        <v>77</v>
      </c>
    </row>
    <row r="57" spans="1:9" x14ac:dyDescent="0.35">
      <c r="B57" s="23" t="s">
        <v>78</v>
      </c>
      <c r="C57" s="23" t="s">
        <v>79</v>
      </c>
      <c r="D57" s="24">
        <v>1</v>
      </c>
      <c r="E57" s="23" t="s">
        <v>80</v>
      </c>
      <c r="F57" s="21">
        <v>3400</v>
      </c>
      <c r="G57" s="5">
        <f>F57*D57</f>
        <v>3400</v>
      </c>
      <c r="H57" s="5">
        <f>G57*16%</f>
        <v>544</v>
      </c>
      <c r="I57" s="5">
        <f>H57+G57</f>
        <v>3944</v>
      </c>
    </row>
    <row r="58" spans="1:9" x14ac:dyDescent="0.35">
      <c r="B58" s="23" t="s">
        <v>81</v>
      </c>
      <c r="C58" s="23" t="s">
        <v>82</v>
      </c>
      <c r="D58" s="24">
        <v>1</v>
      </c>
      <c r="E58" s="23" t="s">
        <v>83</v>
      </c>
      <c r="F58" s="21"/>
      <c r="G58" s="4"/>
      <c r="H58" s="4"/>
      <c r="I58" s="4"/>
    </row>
    <row r="59" spans="1:9" x14ac:dyDescent="0.35">
      <c r="B59" s="23" t="s">
        <v>84</v>
      </c>
      <c r="C59" s="25"/>
      <c r="D59" s="24">
        <v>3</v>
      </c>
      <c r="E59" s="23" t="s">
        <v>86</v>
      </c>
      <c r="F59" s="21"/>
      <c r="G59" s="4"/>
      <c r="H59" s="4"/>
      <c r="I59" s="4"/>
    </row>
    <row r="62" spans="1:9" x14ac:dyDescent="0.35">
      <c r="A62" t="s">
        <v>88</v>
      </c>
    </row>
    <row r="64" spans="1:9" ht="29" x14ac:dyDescent="0.35">
      <c r="A64" t="s">
        <v>89</v>
      </c>
      <c r="B64" s="22" t="s">
        <v>48</v>
      </c>
      <c r="C64" s="22" t="s">
        <v>49</v>
      </c>
      <c r="D64" s="22" t="s">
        <v>50</v>
      </c>
      <c r="E64" s="22" t="s">
        <v>0</v>
      </c>
      <c r="F64" s="26" t="s">
        <v>96</v>
      </c>
      <c r="G64" s="19" t="s">
        <v>77</v>
      </c>
      <c r="H64" s="20"/>
    </row>
    <row r="65" spans="1:9" x14ac:dyDescent="0.35">
      <c r="A65" t="s">
        <v>127</v>
      </c>
      <c r="B65" s="4" t="s">
        <v>90</v>
      </c>
      <c r="C65" s="4"/>
      <c r="D65" s="4">
        <v>2</v>
      </c>
      <c r="E65" s="4" t="s">
        <v>62</v>
      </c>
      <c r="F65" s="4">
        <v>250</v>
      </c>
      <c r="G65" s="4">
        <f>F65*D65</f>
        <v>500</v>
      </c>
    </row>
    <row r="66" spans="1:9" x14ac:dyDescent="0.35">
      <c r="B66" s="4" t="s">
        <v>91</v>
      </c>
      <c r="C66" s="4"/>
      <c r="D66" s="4">
        <v>2</v>
      </c>
      <c r="E66" s="4" t="s">
        <v>9</v>
      </c>
      <c r="F66" s="4">
        <v>130</v>
      </c>
      <c r="G66" s="4">
        <f t="shared" ref="G66:G67" si="20">F66*D66</f>
        <v>260</v>
      </c>
    </row>
    <row r="67" spans="1:9" x14ac:dyDescent="0.35">
      <c r="B67" s="4" t="s">
        <v>94</v>
      </c>
      <c r="C67" s="4" t="s">
        <v>95</v>
      </c>
      <c r="D67" s="4">
        <v>2</v>
      </c>
      <c r="E67" s="4" t="s">
        <v>9</v>
      </c>
      <c r="F67" s="4">
        <v>1500</v>
      </c>
      <c r="G67" s="4">
        <f t="shared" si="20"/>
        <v>3000</v>
      </c>
    </row>
    <row r="68" spans="1:9" x14ac:dyDescent="0.35">
      <c r="B68" s="4" t="s">
        <v>125</v>
      </c>
      <c r="C68" s="4" t="s">
        <v>126</v>
      </c>
      <c r="D68" s="4">
        <v>2</v>
      </c>
      <c r="E68" s="4" t="s">
        <v>9</v>
      </c>
      <c r="F68" s="4">
        <v>450</v>
      </c>
      <c r="G68" s="4">
        <f t="shared" ref="G68" si="21">F68*D68</f>
        <v>900</v>
      </c>
    </row>
    <row r="69" spans="1:9" x14ac:dyDescent="0.35">
      <c r="B69" s="108" t="s">
        <v>109</v>
      </c>
      <c r="C69" s="108"/>
      <c r="D69" s="108"/>
      <c r="E69" s="108"/>
      <c r="F69" s="108"/>
      <c r="G69" s="40">
        <f>SUM(G65:G68)</f>
        <v>4660</v>
      </c>
    </row>
    <row r="75" spans="1:9" ht="29" x14ac:dyDescent="0.35">
      <c r="A75" s="4" t="s">
        <v>92</v>
      </c>
      <c r="B75" s="22" t="s">
        <v>48</v>
      </c>
      <c r="C75" s="22" t="s">
        <v>49</v>
      </c>
      <c r="D75" s="22" t="s">
        <v>50</v>
      </c>
      <c r="E75" s="22" t="s">
        <v>0</v>
      </c>
      <c r="F75" s="41" t="s">
        <v>96</v>
      </c>
      <c r="G75" s="19" t="s">
        <v>77</v>
      </c>
      <c r="H75" s="19"/>
      <c r="I75" s="19"/>
    </row>
    <row r="76" spans="1:9" x14ac:dyDescent="0.35">
      <c r="A76" t="s">
        <v>128</v>
      </c>
      <c r="B76" s="4" t="s">
        <v>93</v>
      </c>
      <c r="C76" s="4"/>
      <c r="D76" s="4">
        <v>2</v>
      </c>
      <c r="E76" s="4" t="s">
        <v>9</v>
      </c>
      <c r="F76" s="4">
        <v>340</v>
      </c>
      <c r="G76" s="4">
        <f>F76*D76</f>
        <v>680</v>
      </c>
    </row>
    <row r="77" spans="1:9" x14ac:dyDescent="0.35">
      <c r="B77" s="4" t="s">
        <v>97</v>
      </c>
      <c r="C77" s="4" t="s">
        <v>98</v>
      </c>
      <c r="D77" s="4">
        <v>2</v>
      </c>
      <c r="E77" s="4" t="s">
        <v>9</v>
      </c>
      <c r="F77" s="4">
        <v>650</v>
      </c>
      <c r="G77" s="4">
        <f>F77*D77</f>
        <v>1300</v>
      </c>
    </row>
    <row r="78" spans="1:9" x14ac:dyDescent="0.35">
      <c r="B78" s="4" t="s">
        <v>99</v>
      </c>
      <c r="C78" s="4" t="s">
        <v>100</v>
      </c>
      <c r="D78" s="4">
        <v>6</v>
      </c>
      <c r="E78" s="4" t="s">
        <v>9</v>
      </c>
      <c r="F78" s="4">
        <v>30</v>
      </c>
      <c r="G78" s="4">
        <f>F78*D78</f>
        <v>180</v>
      </c>
    </row>
    <row r="79" spans="1:9" x14ac:dyDescent="0.35">
      <c r="B79" s="109" t="s">
        <v>109</v>
      </c>
      <c r="C79" s="110"/>
      <c r="D79" s="110"/>
      <c r="E79" s="110"/>
      <c r="F79" s="111"/>
      <c r="G79" s="33">
        <f>SUM(G76:G78)</f>
        <v>2160</v>
      </c>
    </row>
    <row r="83" spans="1:9" x14ac:dyDescent="0.35">
      <c r="A83" t="s">
        <v>133</v>
      </c>
      <c r="B83" s="22" t="s">
        <v>48</v>
      </c>
      <c r="C83" s="22" t="s">
        <v>49</v>
      </c>
      <c r="D83" s="22" t="s">
        <v>50</v>
      </c>
      <c r="E83" s="22" t="s">
        <v>0</v>
      </c>
      <c r="F83" s="20" t="s">
        <v>74</v>
      </c>
      <c r="G83" s="19" t="s">
        <v>75</v>
      </c>
      <c r="H83" s="19" t="s">
        <v>76</v>
      </c>
      <c r="I83" s="19" t="s">
        <v>77</v>
      </c>
    </row>
    <row r="84" spans="1:9" x14ac:dyDescent="0.35">
      <c r="A84" t="s">
        <v>134</v>
      </c>
      <c r="B84" s="4" t="s">
        <v>135</v>
      </c>
      <c r="C84" s="4"/>
      <c r="D84" s="4">
        <v>100</v>
      </c>
      <c r="E84" s="42" t="s">
        <v>9</v>
      </c>
      <c r="F84" s="4">
        <v>4.5</v>
      </c>
      <c r="G84" s="4">
        <f>F84*D84</f>
        <v>450</v>
      </c>
      <c r="H84" s="4">
        <f>16%*G84</f>
        <v>72</v>
      </c>
      <c r="I84" s="4">
        <f>H84+G84</f>
        <v>522</v>
      </c>
    </row>
    <row r="85" spans="1:9" x14ac:dyDescent="0.35">
      <c r="B85" s="4" t="s">
        <v>136</v>
      </c>
      <c r="C85" s="4"/>
      <c r="D85" s="4">
        <v>100</v>
      </c>
      <c r="E85" s="42" t="s">
        <v>9</v>
      </c>
      <c r="F85" s="4">
        <v>2.5</v>
      </c>
      <c r="G85" s="4">
        <f t="shared" ref="G85:G88" si="22">F85*D85</f>
        <v>250</v>
      </c>
      <c r="H85" s="4">
        <f t="shared" ref="H85:H88" si="23">16%*G85</f>
        <v>40</v>
      </c>
      <c r="I85" s="4">
        <f t="shared" ref="I85:I88" si="24">H85+G85</f>
        <v>290</v>
      </c>
    </row>
    <row r="86" spans="1:9" x14ac:dyDescent="0.35">
      <c r="B86" s="4" t="s">
        <v>137</v>
      </c>
      <c r="C86" s="4"/>
      <c r="D86" s="4">
        <v>100</v>
      </c>
      <c r="E86" s="42" t="s">
        <v>9</v>
      </c>
      <c r="F86" s="4">
        <v>0.7</v>
      </c>
      <c r="G86" s="4">
        <f t="shared" si="22"/>
        <v>70</v>
      </c>
      <c r="H86" s="4">
        <f t="shared" si="23"/>
        <v>11.200000000000001</v>
      </c>
      <c r="I86" s="4">
        <f t="shared" si="24"/>
        <v>81.2</v>
      </c>
    </row>
    <row r="87" spans="1:9" x14ac:dyDescent="0.35">
      <c r="B87" s="4" t="s">
        <v>138</v>
      </c>
      <c r="C87" s="4"/>
      <c r="D87" s="4">
        <v>100</v>
      </c>
      <c r="E87" s="42" t="s">
        <v>9</v>
      </c>
      <c r="F87" s="4">
        <v>0.7</v>
      </c>
      <c r="G87" s="4">
        <f t="shared" si="22"/>
        <v>70</v>
      </c>
      <c r="H87" s="4">
        <f t="shared" si="23"/>
        <v>11.200000000000001</v>
      </c>
      <c r="I87" s="4">
        <f t="shared" si="24"/>
        <v>81.2</v>
      </c>
    </row>
    <row r="88" spans="1:9" x14ac:dyDescent="0.35">
      <c r="B88" s="4" t="s">
        <v>139</v>
      </c>
      <c r="C88" s="4"/>
      <c r="D88" s="4">
        <v>100</v>
      </c>
      <c r="E88" s="42" t="s">
        <v>9</v>
      </c>
      <c r="F88" s="4">
        <v>1.5</v>
      </c>
      <c r="G88" s="4">
        <f t="shared" si="22"/>
        <v>150</v>
      </c>
      <c r="H88" s="4">
        <f t="shared" si="23"/>
        <v>24</v>
      </c>
      <c r="I88" s="4">
        <f t="shared" si="24"/>
        <v>174</v>
      </c>
    </row>
    <row r="89" spans="1:9" x14ac:dyDescent="0.35">
      <c r="B89" s="109" t="s">
        <v>109</v>
      </c>
      <c r="C89" s="110"/>
      <c r="D89" s="110"/>
      <c r="E89" s="110"/>
      <c r="F89" s="110"/>
      <c r="G89" s="110"/>
      <c r="H89" s="111"/>
      <c r="I89" s="6">
        <f>SUM(I84:I88)</f>
        <v>1148.4000000000001</v>
      </c>
    </row>
    <row r="93" spans="1:9" x14ac:dyDescent="0.35">
      <c r="A93" t="s">
        <v>102</v>
      </c>
      <c r="B93" s="22" t="s">
        <v>48</v>
      </c>
      <c r="C93" s="22" t="s">
        <v>49</v>
      </c>
      <c r="D93" s="22" t="s">
        <v>50</v>
      </c>
      <c r="E93" s="22" t="s">
        <v>0</v>
      </c>
      <c r="F93" s="20" t="s">
        <v>74</v>
      </c>
      <c r="G93" s="19" t="s">
        <v>75</v>
      </c>
      <c r="H93" s="19" t="s">
        <v>76</v>
      </c>
      <c r="I93" s="19" t="s">
        <v>77</v>
      </c>
    </row>
    <row r="94" spans="1:9" x14ac:dyDescent="0.35">
      <c r="A94" t="s">
        <v>111</v>
      </c>
      <c r="B94" s="4" t="s">
        <v>112</v>
      </c>
      <c r="C94" s="4" t="s">
        <v>113</v>
      </c>
      <c r="D94" s="4">
        <v>12</v>
      </c>
      <c r="E94" s="4" t="s">
        <v>9</v>
      </c>
      <c r="F94" s="35">
        <v>4.0049999999999999</v>
      </c>
      <c r="G94" s="4">
        <f>F94*D94</f>
        <v>48.06</v>
      </c>
      <c r="H94" s="4">
        <f>16%*G94</f>
        <v>7.6896000000000004</v>
      </c>
      <c r="I94" s="4">
        <f>H94+G94</f>
        <v>55.749600000000001</v>
      </c>
    </row>
    <row r="95" spans="1:9" x14ac:dyDescent="0.35">
      <c r="B95" s="4"/>
      <c r="C95" s="4" t="s">
        <v>114</v>
      </c>
      <c r="D95" s="4">
        <v>12</v>
      </c>
      <c r="E95" s="4" t="s">
        <v>9</v>
      </c>
      <c r="F95" s="35">
        <v>4.0049999999999999</v>
      </c>
      <c r="G95" s="4">
        <f t="shared" ref="G95:G96" si="25">F95*D95</f>
        <v>48.06</v>
      </c>
      <c r="H95" s="4">
        <f t="shared" ref="H95:H96" si="26">16%*G95</f>
        <v>7.6896000000000004</v>
      </c>
      <c r="I95" s="4">
        <f t="shared" ref="I95:I96" si="27">H95+G95</f>
        <v>55.749600000000001</v>
      </c>
    </row>
    <row r="96" spans="1:9" x14ac:dyDescent="0.35">
      <c r="B96" s="4"/>
      <c r="C96" s="4" t="s">
        <v>115</v>
      </c>
      <c r="D96" s="4">
        <v>12</v>
      </c>
      <c r="E96" s="4" t="s">
        <v>9</v>
      </c>
      <c r="F96" s="35">
        <v>4.0049999999999999</v>
      </c>
      <c r="G96" s="4">
        <f t="shared" si="25"/>
        <v>48.06</v>
      </c>
      <c r="H96" s="4">
        <f t="shared" si="26"/>
        <v>7.6896000000000004</v>
      </c>
      <c r="I96" s="4">
        <f t="shared" si="27"/>
        <v>55.749600000000001</v>
      </c>
    </row>
    <row r="97" spans="1:9" x14ac:dyDescent="0.35">
      <c r="B97" s="109" t="s">
        <v>109</v>
      </c>
      <c r="C97" s="110"/>
      <c r="D97" s="110"/>
      <c r="E97" s="110"/>
      <c r="F97" s="110"/>
      <c r="G97" s="110"/>
      <c r="H97" s="111"/>
      <c r="I97" s="36">
        <f>SUM(I94:I96)</f>
        <v>167.24880000000002</v>
      </c>
    </row>
    <row r="98" spans="1:9" x14ac:dyDescent="0.35">
      <c r="B98" s="4"/>
      <c r="C98" s="4"/>
      <c r="D98" s="4"/>
      <c r="E98" s="4"/>
      <c r="F98" s="4"/>
      <c r="G98" s="4"/>
      <c r="H98" s="4"/>
      <c r="I98" s="4"/>
    </row>
    <row r="100" spans="1:9" x14ac:dyDescent="0.35">
      <c r="A100" t="s">
        <v>103</v>
      </c>
      <c r="B100" s="22" t="s">
        <v>48</v>
      </c>
      <c r="C100" s="22" t="s">
        <v>49</v>
      </c>
      <c r="D100" s="22" t="s">
        <v>50</v>
      </c>
      <c r="E100" s="22" t="s">
        <v>0</v>
      </c>
      <c r="F100" s="20" t="s">
        <v>74</v>
      </c>
      <c r="G100" s="19" t="s">
        <v>75</v>
      </c>
      <c r="H100" s="19" t="s">
        <v>76</v>
      </c>
      <c r="I100" s="34" t="s">
        <v>77</v>
      </c>
    </row>
    <row r="101" spans="1:9" x14ac:dyDescent="0.35">
      <c r="A101" t="s">
        <v>110</v>
      </c>
      <c r="B101" s="4" t="s">
        <v>104</v>
      </c>
      <c r="C101" s="4" t="s">
        <v>105</v>
      </c>
      <c r="D101" s="4">
        <v>50</v>
      </c>
      <c r="E101" s="4" t="s">
        <v>106</v>
      </c>
      <c r="F101" s="4">
        <v>2000</v>
      </c>
      <c r="G101" s="4">
        <f>F101*D101</f>
        <v>100000</v>
      </c>
      <c r="H101" s="4">
        <f>16%*G101</f>
        <v>16000</v>
      </c>
      <c r="I101" s="4">
        <f>H101+G101</f>
        <v>116000</v>
      </c>
    </row>
    <row r="102" spans="1:9" x14ac:dyDescent="0.35">
      <c r="B102" s="4" t="s">
        <v>107</v>
      </c>
      <c r="C102" s="4" t="s">
        <v>108</v>
      </c>
      <c r="D102" s="4">
        <v>1</v>
      </c>
      <c r="E102" s="4" t="s">
        <v>80</v>
      </c>
      <c r="F102" s="4">
        <v>65000</v>
      </c>
      <c r="G102" s="4">
        <f>F102*D102</f>
        <v>65000</v>
      </c>
      <c r="H102" s="4">
        <f>16%*G102</f>
        <v>10400</v>
      </c>
      <c r="I102" s="4">
        <f>H102+G102</f>
        <v>75400</v>
      </c>
    </row>
    <row r="103" spans="1:9" x14ac:dyDescent="0.35">
      <c r="B103" s="30" t="s">
        <v>109</v>
      </c>
      <c r="C103" s="31"/>
      <c r="D103" s="31"/>
      <c r="E103" s="31"/>
      <c r="F103" s="31"/>
      <c r="G103" s="31"/>
      <c r="H103" s="32"/>
      <c r="I103" s="33">
        <f>SUM(I101:I102)</f>
        <v>191400</v>
      </c>
    </row>
    <row r="107" spans="1:9" x14ac:dyDescent="0.35">
      <c r="A107" t="s">
        <v>116</v>
      </c>
      <c r="B107" s="22" t="s">
        <v>48</v>
      </c>
      <c r="C107" s="22" t="s">
        <v>49</v>
      </c>
      <c r="D107" s="22" t="s">
        <v>50</v>
      </c>
      <c r="E107" s="22" t="s">
        <v>0</v>
      </c>
      <c r="F107" s="20" t="s">
        <v>74</v>
      </c>
      <c r="G107" s="19" t="s">
        <v>75</v>
      </c>
      <c r="H107" s="19" t="s">
        <v>76</v>
      </c>
      <c r="I107" s="34" t="s">
        <v>77</v>
      </c>
    </row>
    <row r="108" spans="1:9" x14ac:dyDescent="0.35">
      <c r="A108" t="s">
        <v>117</v>
      </c>
      <c r="B108" s="4" t="s">
        <v>118</v>
      </c>
      <c r="C108" s="4" t="s">
        <v>119</v>
      </c>
      <c r="D108" s="37">
        <v>20000</v>
      </c>
      <c r="E108" s="4" t="s">
        <v>9</v>
      </c>
      <c r="F108" s="5">
        <v>3.2</v>
      </c>
      <c r="G108" s="13">
        <f>F108*D108</f>
        <v>64000</v>
      </c>
      <c r="H108" s="13">
        <f>G108*16%</f>
        <v>10240</v>
      </c>
      <c r="I108" s="13">
        <f>H108+G108</f>
        <v>74240</v>
      </c>
    </row>
    <row r="109" spans="1:9" x14ac:dyDescent="0.35">
      <c r="B109" s="4" t="s">
        <v>120</v>
      </c>
      <c r="C109" s="4"/>
      <c r="D109" s="37">
        <v>20000</v>
      </c>
      <c r="E109" s="4" t="s">
        <v>9</v>
      </c>
      <c r="F109" s="4">
        <v>2.5099999999999998</v>
      </c>
      <c r="G109" s="13">
        <f>F109*D109</f>
        <v>50199.999999999993</v>
      </c>
      <c r="H109" s="13">
        <f>G109*16%</f>
        <v>8031.9999999999991</v>
      </c>
      <c r="I109" s="13">
        <f>H109+G109</f>
        <v>58231.999999999993</v>
      </c>
    </row>
    <row r="110" spans="1:9" x14ac:dyDescent="0.35">
      <c r="B110" s="4" t="s">
        <v>121</v>
      </c>
      <c r="C110" s="4"/>
      <c r="D110" s="37">
        <v>10000</v>
      </c>
      <c r="E110" s="4" t="s">
        <v>9</v>
      </c>
      <c r="F110" s="4">
        <v>3.08</v>
      </c>
      <c r="G110" s="13">
        <f>F110*D110</f>
        <v>30800</v>
      </c>
      <c r="H110" s="13">
        <f>G110*16%</f>
        <v>4928</v>
      </c>
      <c r="I110" s="13">
        <f>H110+G110</f>
        <v>35728</v>
      </c>
    </row>
    <row r="111" spans="1:9" x14ac:dyDescent="0.35">
      <c r="B111" s="30" t="s">
        <v>109</v>
      </c>
      <c r="C111" s="31"/>
      <c r="D111" s="31"/>
      <c r="E111" s="31"/>
      <c r="F111" s="31"/>
      <c r="G111" s="31"/>
      <c r="H111" s="32"/>
      <c r="I111" s="33">
        <f>SUM(I108:I110)</f>
        <v>168200</v>
      </c>
    </row>
    <row r="112" spans="1:9" x14ac:dyDescent="0.35">
      <c r="B112" s="10"/>
      <c r="C112" s="10"/>
      <c r="D112" s="10"/>
      <c r="E112" s="10"/>
      <c r="F112" s="10"/>
      <c r="G112" s="10"/>
      <c r="H112" s="10"/>
      <c r="I112" s="10"/>
    </row>
    <row r="113" spans="1:9" x14ac:dyDescent="0.35">
      <c r="A113" t="s">
        <v>122</v>
      </c>
      <c r="B113" s="22" t="s">
        <v>48</v>
      </c>
      <c r="C113" s="22" t="s">
        <v>49</v>
      </c>
      <c r="D113" s="22" t="s">
        <v>50</v>
      </c>
      <c r="E113" s="22" t="s">
        <v>0</v>
      </c>
      <c r="F113" s="19" t="s">
        <v>74</v>
      </c>
      <c r="G113" s="19" t="s">
        <v>75</v>
      </c>
      <c r="H113" s="19" t="s">
        <v>76</v>
      </c>
      <c r="I113" s="34" t="s">
        <v>77</v>
      </c>
    </row>
    <row r="114" spans="1:9" x14ac:dyDescent="0.35">
      <c r="A114" t="s">
        <v>123</v>
      </c>
      <c r="B114" s="29" t="s">
        <v>124</v>
      </c>
      <c r="C114" s="4"/>
      <c r="D114" s="4">
        <v>20</v>
      </c>
      <c r="E114" s="29" t="s">
        <v>57</v>
      </c>
      <c r="F114" s="5">
        <v>12</v>
      </c>
      <c r="G114" s="5">
        <f>D114*F114</f>
        <v>240</v>
      </c>
      <c r="H114" s="4">
        <f>G114*16%</f>
        <v>38.4</v>
      </c>
      <c r="I114" s="5">
        <f>H114+G114</f>
        <v>278.39999999999998</v>
      </c>
    </row>
    <row r="115" spans="1:9" x14ac:dyDescent="0.35">
      <c r="B115" s="38" t="s">
        <v>109</v>
      </c>
      <c r="C115" s="38"/>
      <c r="D115" s="38"/>
      <c r="E115" s="38"/>
      <c r="F115" s="38"/>
      <c r="G115" s="38"/>
      <c r="H115" s="38"/>
      <c r="I115" s="39">
        <v>278.39999999999998</v>
      </c>
    </row>
    <row r="117" spans="1:9" x14ac:dyDescent="0.35">
      <c r="A117" t="s">
        <v>129</v>
      </c>
      <c r="B117" s="22" t="s">
        <v>48</v>
      </c>
      <c r="C117" s="22" t="s">
        <v>49</v>
      </c>
      <c r="D117" s="22" t="s">
        <v>50</v>
      </c>
      <c r="E117" s="22" t="s">
        <v>0</v>
      </c>
      <c r="F117" s="19" t="s">
        <v>74</v>
      </c>
      <c r="G117" s="19" t="s">
        <v>75</v>
      </c>
      <c r="H117" s="19" t="s">
        <v>76</v>
      </c>
      <c r="I117" s="34" t="s">
        <v>77</v>
      </c>
    </row>
    <row r="118" spans="1:9" x14ac:dyDescent="0.35">
      <c r="A118" t="s">
        <v>130</v>
      </c>
      <c r="B118" s="4" t="s">
        <v>131</v>
      </c>
      <c r="C118" s="4" t="s">
        <v>132</v>
      </c>
      <c r="D118" s="4">
        <v>6</v>
      </c>
      <c r="E118" s="4" t="s">
        <v>153</v>
      </c>
      <c r="F118" s="4">
        <v>54.25</v>
      </c>
      <c r="G118" s="4">
        <f>F118*D118</f>
        <v>325.5</v>
      </c>
      <c r="H118" s="4">
        <f>16%*G118</f>
        <v>52.08</v>
      </c>
      <c r="I118" s="4">
        <f>H118+G118</f>
        <v>377.58</v>
      </c>
    </row>
    <row r="119" spans="1:9" x14ac:dyDescent="0.35">
      <c r="B119" s="108" t="s">
        <v>109</v>
      </c>
      <c r="C119" s="108"/>
      <c r="D119" s="108"/>
      <c r="E119" s="108"/>
      <c r="F119" s="108"/>
      <c r="G119" s="108"/>
      <c r="H119" s="108"/>
      <c r="I119" s="36">
        <v>377.58</v>
      </c>
    </row>
    <row r="121" spans="1:9" x14ac:dyDescent="0.35">
      <c r="A121" t="s">
        <v>143</v>
      </c>
      <c r="B121" s="22" t="s">
        <v>48</v>
      </c>
      <c r="C121" s="22" t="s">
        <v>49</v>
      </c>
      <c r="D121" s="22" t="s">
        <v>50</v>
      </c>
      <c r="E121" s="50" t="s">
        <v>0</v>
      </c>
      <c r="F121" s="22" t="s">
        <v>74</v>
      </c>
      <c r="G121" s="22" t="s">
        <v>160</v>
      </c>
      <c r="H121" s="22" t="s">
        <v>76</v>
      </c>
      <c r="I121" s="22" t="s">
        <v>77</v>
      </c>
    </row>
    <row r="122" spans="1:9" x14ac:dyDescent="0.35">
      <c r="A122" t="s">
        <v>141</v>
      </c>
      <c r="B122" s="23" t="s">
        <v>161</v>
      </c>
      <c r="C122" s="23" t="s">
        <v>162</v>
      </c>
      <c r="D122" s="24">
        <v>2000</v>
      </c>
      <c r="E122" s="23" t="s">
        <v>9</v>
      </c>
      <c r="F122" s="24">
        <v>2.61</v>
      </c>
      <c r="G122" s="24">
        <v>5220</v>
      </c>
      <c r="H122" s="24">
        <v>835.2</v>
      </c>
      <c r="I122" s="24">
        <v>6055.2</v>
      </c>
    </row>
    <row r="123" spans="1:9" x14ac:dyDescent="0.35">
      <c r="B123" s="23" t="s">
        <v>163</v>
      </c>
      <c r="C123" s="23" t="s">
        <v>162</v>
      </c>
      <c r="D123" s="24">
        <v>2000</v>
      </c>
      <c r="E123" s="23" t="s">
        <v>9</v>
      </c>
      <c r="F123" s="24">
        <v>1.9</v>
      </c>
      <c r="G123" s="24">
        <v>3800</v>
      </c>
      <c r="H123" s="24">
        <v>608</v>
      </c>
      <c r="I123" s="24">
        <v>4408</v>
      </c>
    </row>
    <row r="124" spans="1:9" x14ac:dyDescent="0.35">
      <c r="B124" s="118" t="s">
        <v>164</v>
      </c>
      <c r="C124" s="118"/>
      <c r="D124" s="118"/>
      <c r="E124" s="118"/>
      <c r="F124" s="118"/>
      <c r="G124" s="118"/>
      <c r="H124" s="118"/>
      <c r="I124" s="39">
        <f>SUM(I122:I123)</f>
        <v>10463.200000000001</v>
      </c>
    </row>
    <row r="125" spans="1:9" x14ac:dyDescent="0.35">
      <c r="B125" s="4"/>
      <c r="C125" s="4"/>
      <c r="D125" s="4"/>
      <c r="E125" s="4"/>
      <c r="F125" s="4"/>
      <c r="G125" s="4"/>
      <c r="H125" s="4"/>
      <c r="I125" s="4"/>
    </row>
    <row r="126" spans="1:9" x14ac:dyDescent="0.35">
      <c r="B126" s="4"/>
      <c r="C126" s="4"/>
      <c r="D126" s="4"/>
      <c r="E126" s="4"/>
      <c r="F126" s="4"/>
      <c r="G126" s="4"/>
      <c r="H126" s="4"/>
      <c r="I126" s="4"/>
    </row>
    <row r="127" spans="1:9" x14ac:dyDescent="0.35">
      <c r="A127" s="46" t="s">
        <v>140</v>
      </c>
      <c r="B127" s="47" t="s">
        <v>48</v>
      </c>
      <c r="C127" s="47" t="s">
        <v>49</v>
      </c>
      <c r="D127" s="47" t="s">
        <v>50</v>
      </c>
      <c r="E127" s="47" t="s">
        <v>0</v>
      </c>
      <c r="F127" s="48" t="s">
        <v>74</v>
      </c>
      <c r="G127" s="47" t="s">
        <v>75</v>
      </c>
      <c r="H127" s="47" t="s">
        <v>76</v>
      </c>
      <c r="I127" s="19" t="s">
        <v>77</v>
      </c>
    </row>
    <row r="128" spans="1:9" x14ac:dyDescent="0.35">
      <c r="A128" s="46"/>
      <c r="B128" s="49" t="s">
        <v>151</v>
      </c>
      <c r="C128" s="49" t="s">
        <v>152</v>
      </c>
      <c r="D128" s="49">
        <v>3</v>
      </c>
      <c r="E128" s="49"/>
      <c r="F128" s="49">
        <v>1400</v>
      </c>
      <c r="G128" s="49">
        <f>F128*D128</f>
        <v>4200</v>
      </c>
      <c r="H128" s="49">
        <f>16%*G128</f>
        <v>672</v>
      </c>
      <c r="I128" s="4">
        <f>H128+G128</f>
        <v>4872</v>
      </c>
    </row>
    <row r="129" spans="1:9" x14ac:dyDescent="0.35">
      <c r="A129" s="46"/>
      <c r="B129" s="49" t="s">
        <v>151</v>
      </c>
      <c r="C129" s="49" t="s">
        <v>115</v>
      </c>
      <c r="D129" s="49">
        <v>2</v>
      </c>
      <c r="E129" s="49"/>
      <c r="F129" s="49">
        <v>1400</v>
      </c>
      <c r="G129" s="49">
        <f>F129*D129</f>
        <v>2800</v>
      </c>
      <c r="H129" s="49">
        <f>16%*G129</f>
        <v>448</v>
      </c>
      <c r="I129" s="4">
        <f>H129+G129</f>
        <v>3248</v>
      </c>
    </row>
    <row r="130" spans="1:9" x14ac:dyDescent="0.35">
      <c r="A130" s="46"/>
      <c r="B130" s="49"/>
      <c r="C130" s="49"/>
      <c r="D130" s="49"/>
      <c r="E130" s="49"/>
      <c r="F130" s="49"/>
      <c r="G130" s="49"/>
      <c r="H130" s="49"/>
      <c r="I130" s="4"/>
    </row>
    <row r="131" spans="1:9" x14ac:dyDescent="0.35">
      <c r="B131" s="4"/>
      <c r="C131" s="4"/>
      <c r="D131" s="4"/>
      <c r="E131" s="4"/>
      <c r="F131" s="4"/>
      <c r="G131" s="4"/>
      <c r="H131" s="4"/>
      <c r="I131" s="4"/>
    </row>
    <row r="132" spans="1:9" x14ac:dyDescent="0.35">
      <c r="B132" s="4"/>
      <c r="C132" s="4"/>
      <c r="D132" s="4"/>
      <c r="E132" s="4"/>
      <c r="F132" s="4"/>
      <c r="G132" s="4"/>
      <c r="H132" s="4"/>
      <c r="I132" s="4"/>
    </row>
    <row r="133" spans="1:9" x14ac:dyDescent="0.35">
      <c r="A133" t="s">
        <v>142</v>
      </c>
      <c r="B133" s="22" t="s">
        <v>48</v>
      </c>
      <c r="C133" s="22" t="s">
        <v>49</v>
      </c>
      <c r="D133" s="22" t="s">
        <v>50</v>
      </c>
      <c r="E133" s="22" t="s">
        <v>0</v>
      </c>
      <c r="F133" s="20" t="s">
        <v>74</v>
      </c>
      <c r="G133" s="19" t="s">
        <v>75</v>
      </c>
      <c r="H133" s="19" t="s">
        <v>76</v>
      </c>
      <c r="I133" s="19" t="s">
        <v>77</v>
      </c>
    </row>
    <row r="134" spans="1:9" x14ac:dyDescent="0.35">
      <c r="B134" s="4" t="s">
        <v>144</v>
      </c>
      <c r="C134" s="4"/>
      <c r="D134" s="4">
        <v>10</v>
      </c>
      <c r="E134" s="4" t="s">
        <v>145</v>
      </c>
      <c r="F134" s="4">
        <v>400</v>
      </c>
      <c r="G134" s="4">
        <f>F134*D134</f>
        <v>4000</v>
      </c>
      <c r="H134" s="4">
        <f>16%*G134</f>
        <v>640</v>
      </c>
      <c r="I134" s="4">
        <f>H134+G134</f>
        <v>4640</v>
      </c>
    </row>
    <row r="135" spans="1:9" x14ac:dyDescent="0.35">
      <c r="B135" s="4" t="s">
        <v>148</v>
      </c>
      <c r="C135" s="43"/>
      <c r="D135" s="4">
        <v>100</v>
      </c>
      <c r="E135" s="4" t="s">
        <v>146</v>
      </c>
      <c r="F135" s="4">
        <v>155.16999999999999</v>
      </c>
      <c r="G135" s="4">
        <f t="shared" ref="G135:G137" si="28">F135*D135</f>
        <v>15516.999999999998</v>
      </c>
      <c r="H135" s="4">
        <f t="shared" ref="H135:H137" si="29">16%*G135</f>
        <v>2482.7199999999998</v>
      </c>
      <c r="I135" s="4">
        <f t="shared" ref="I135:I136" si="30">H135+G135</f>
        <v>17999.719999999998</v>
      </c>
    </row>
    <row r="136" spans="1:9" x14ac:dyDescent="0.35">
      <c r="B136" s="4" t="s">
        <v>149</v>
      </c>
      <c r="C136" s="4"/>
      <c r="D136" s="4">
        <v>50</v>
      </c>
      <c r="E136" s="4" t="s">
        <v>150</v>
      </c>
      <c r="F136" s="4">
        <v>370.69</v>
      </c>
      <c r="G136" s="4">
        <f t="shared" si="28"/>
        <v>18534.5</v>
      </c>
      <c r="H136" s="4">
        <f t="shared" si="29"/>
        <v>2965.52</v>
      </c>
      <c r="I136" s="4">
        <f t="shared" si="30"/>
        <v>21500.02</v>
      </c>
    </row>
    <row r="137" spans="1:9" x14ac:dyDescent="0.35">
      <c r="B137" s="4"/>
      <c r="C137" s="4"/>
      <c r="D137" s="4"/>
      <c r="E137" s="4"/>
      <c r="F137" s="4"/>
      <c r="G137" s="4">
        <f t="shared" si="28"/>
        <v>0</v>
      </c>
      <c r="H137" s="4">
        <f t="shared" si="29"/>
        <v>0</v>
      </c>
      <c r="I137" s="4"/>
    </row>
    <row r="138" spans="1:9" x14ac:dyDescent="0.35">
      <c r="B138" s="4"/>
      <c r="C138" s="4"/>
      <c r="D138" s="4"/>
      <c r="E138" s="4"/>
      <c r="F138" s="4"/>
      <c r="G138" s="4"/>
      <c r="H138" s="4"/>
      <c r="I138" s="4"/>
    </row>
    <row r="139" spans="1:9" x14ac:dyDescent="0.35">
      <c r="A139" t="s">
        <v>154</v>
      </c>
      <c r="B139" s="44" t="s">
        <v>48</v>
      </c>
      <c r="C139" s="44" t="s">
        <v>155</v>
      </c>
      <c r="D139" s="44" t="s">
        <v>50</v>
      </c>
      <c r="E139" s="45" t="s">
        <v>0</v>
      </c>
      <c r="F139" s="44" t="s">
        <v>74</v>
      </c>
      <c r="G139" s="44" t="s">
        <v>156</v>
      </c>
      <c r="H139" s="44" t="s">
        <v>76</v>
      </c>
      <c r="I139" s="44" t="s">
        <v>157</v>
      </c>
    </row>
    <row r="140" spans="1:9" x14ac:dyDescent="0.35">
      <c r="A140" t="s">
        <v>147</v>
      </c>
      <c r="B140" s="29" t="s">
        <v>158</v>
      </c>
      <c r="C140" s="4" t="s">
        <v>100</v>
      </c>
      <c r="D140" s="4">
        <v>12</v>
      </c>
      <c r="E140" s="29" t="s">
        <v>9</v>
      </c>
      <c r="F140" s="4">
        <v>10.135999999999999</v>
      </c>
      <c r="G140" s="4">
        <f>F140*D140</f>
        <v>121.63199999999999</v>
      </c>
      <c r="H140" s="4">
        <f>16%*G140</f>
        <v>19.461119999999998</v>
      </c>
      <c r="I140" s="4">
        <f>H140+G140</f>
        <v>141.09312</v>
      </c>
    </row>
    <row r="141" spans="1:9" x14ac:dyDescent="0.35">
      <c r="B141" s="108" t="s">
        <v>159</v>
      </c>
      <c r="C141" s="108"/>
      <c r="D141" s="108"/>
      <c r="E141" s="108"/>
      <c r="F141" s="108"/>
      <c r="G141" s="108"/>
      <c r="H141" s="108"/>
      <c r="I141" s="6">
        <v>141.09312</v>
      </c>
    </row>
    <row r="143" spans="1:9" x14ac:dyDescent="0.35">
      <c r="A143" t="s">
        <v>167</v>
      </c>
      <c r="B143" s="44" t="s">
        <v>48</v>
      </c>
      <c r="C143" s="44" t="s">
        <v>49</v>
      </c>
      <c r="D143" s="44" t="s">
        <v>50</v>
      </c>
      <c r="E143" s="45" t="s">
        <v>0</v>
      </c>
      <c r="F143" s="44" t="s">
        <v>74</v>
      </c>
      <c r="G143" s="44" t="s">
        <v>156</v>
      </c>
      <c r="H143" s="44" t="s">
        <v>76</v>
      </c>
      <c r="I143" s="44" t="s">
        <v>77</v>
      </c>
    </row>
    <row r="144" spans="1:9" x14ac:dyDescent="0.35">
      <c r="A144" t="s">
        <v>168</v>
      </c>
      <c r="B144" s="4" t="s">
        <v>165</v>
      </c>
      <c r="C144" s="4"/>
      <c r="D144" s="4">
        <v>1</v>
      </c>
      <c r="E144" s="4" t="s">
        <v>166</v>
      </c>
      <c r="F144" s="37">
        <v>7500</v>
      </c>
      <c r="G144" s="4">
        <f>F144*D144</f>
        <v>7500</v>
      </c>
      <c r="H144" s="4">
        <f>16%*G144</f>
        <v>1200</v>
      </c>
      <c r="I144" s="4">
        <f>H144+G144</f>
        <v>8700</v>
      </c>
    </row>
    <row r="145" spans="1:9" x14ac:dyDescent="0.35">
      <c r="B145" s="108" t="s">
        <v>109</v>
      </c>
      <c r="C145" s="108"/>
      <c r="D145" s="108"/>
      <c r="E145" s="108"/>
      <c r="F145" s="108"/>
      <c r="G145" s="108"/>
      <c r="H145" s="108"/>
      <c r="I145" s="33">
        <f>SUM(I144)</f>
        <v>8700</v>
      </c>
    </row>
    <row r="147" spans="1:9" x14ac:dyDescent="0.35">
      <c r="B147" s="44" t="s">
        <v>48</v>
      </c>
      <c r="C147" s="44" t="s">
        <v>49</v>
      </c>
      <c r="D147" s="44" t="s">
        <v>50</v>
      </c>
      <c r="E147" s="45" t="s">
        <v>0</v>
      </c>
      <c r="F147" s="44" t="s">
        <v>74</v>
      </c>
      <c r="G147" s="44" t="s">
        <v>156</v>
      </c>
      <c r="H147" s="44" t="s">
        <v>76</v>
      </c>
      <c r="I147" s="44" t="s">
        <v>77</v>
      </c>
    </row>
    <row r="148" spans="1:9" x14ac:dyDescent="0.35">
      <c r="A148" t="s">
        <v>169</v>
      </c>
      <c r="B148" s="4" t="s">
        <v>171</v>
      </c>
      <c r="C148" s="4"/>
      <c r="D148" s="4">
        <v>1</v>
      </c>
      <c r="E148" s="4" t="s">
        <v>150</v>
      </c>
      <c r="F148" s="4">
        <v>2600</v>
      </c>
      <c r="G148" s="4">
        <f t="shared" ref="G148:G153" si="31">F148*D148</f>
        <v>2600</v>
      </c>
      <c r="H148" s="4">
        <f t="shared" ref="H148:H153" si="32">16%*G148</f>
        <v>416</v>
      </c>
      <c r="I148" s="4">
        <f t="shared" ref="I148:I153" si="33">H148+G148</f>
        <v>3016</v>
      </c>
    </row>
    <row r="149" spans="1:9" x14ac:dyDescent="0.35">
      <c r="A149" t="s">
        <v>170</v>
      </c>
      <c r="B149" s="4" t="s">
        <v>172</v>
      </c>
      <c r="C149" s="4"/>
      <c r="D149" s="4">
        <v>1</v>
      </c>
      <c r="E149" s="4" t="s">
        <v>150</v>
      </c>
      <c r="F149" s="4">
        <v>1800</v>
      </c>
      <c r="G149" s="4">
        <f t="shared" si="31"/>
        <v>1800</v>
      </c>
      <c r="H149" s="4">
        <f t="shared" si="32"/>
        <v>288</v>
      </c>
      <c r="I149" s="4">
        <f t="shared" si="33"/>
        <v>2088</v>
      </c>
    </row>
    <row r="150" spans="1:9" x14ac:dyDescent="0.35">
      <c r="B150" s="4" t="s">
        <v>173</v>
      </c>
      <c r="C150" s="4"/>
      <c r="D150" s="4">
        <v>1</v>
      </c>
      <c r="E150" s="4" t="s">
        <v>150</v>
      </c>
      <c r="F150" s="4">
        <v>3800</v>
      </c>
      <c r="G150" s="4">
        <f t="shared" si="31"/>
        <v>3800</v>
      </c>
      <c r="H150" s="4">
        <f t="shared" si="32"/>
        <v>608</v>
      </c>
      <c r="I150" s="4">
        <f t="shared" si="33"/>
        <v>4408</v>
      </c>
    </row>
    <row r="151" spans="1:9" x14ac:dyDescent="0.35">
      <c r="B151" s="4" t="s">
        <v>174</v>
      </c>
      <c r="C151" s="4"/>
      <c r="D151" s="4">
        <v>10</v>
      </c>
      <c r="E151" s="4" t="s">
        <v>52</v>
      </c>
      <c r="F151" s="4">
        <v>1250</v>
      </c>
      <c r="G151" s="4">
        <f t="shared" si="31"/>
        <v>12500</v>
      </c>
      <c r="H151" s="4">
        <f t="shared" si="32"/>
        <v>2000</v>
      </c>
      <c r="I151" s="4">
        <f t="shared" si="33"/>
        <v>14500</v>
      </c>
    </row>
    <row r="152" spans="1:9" x14ac:dyDescent="0.35">
      <c r="B152" s="4" t="s">
        <v>175</v>
      </c>
      <c r="C152" s="4"/>
      <c r="D152" s="4">
        <v>1</v>
      </c>
      <c r="E152" s="4"/>
      <c r="F152" s="4">
        <v>6500</v>
      </c>
      <c r="G152" s="4">
        <f t="shared" si="31"/>
        <v>6500</v>
      </c>
      <c r="H152" s="4">
        <f t="shared" si="32"/>
        <v>1040</v>
      </c>
      <c r="I152" s="4">
        <f t="shared" si="33"/>
        <v>7540</v>
      </c>
    </row>
    <row r="153" spans="1:9" x14ac:dyDescent="0.35">
      <c r="B153" s="4" t="s">
        <v>176</v>
      </c>
      <c r="C153" s="4"/>
      <c r="D153" s="4">
        <v>1</v>
      </c>
      <c r="E153" s="4"/>
      <c r="F153" s="4">
        <v>1200</v>
      </c>
      <c r="G153" s="4">
        <f t="shared" si="31"/>
        <v>1200</v>
      </c>
      <c r="H153" s="4">
        <f t="shared" si="32"/>
        <v>192</v>
      </c>
      <c r="I153" s="4">
        <f t="shared" si="33"/>
        <v>1392</v>
      </c>
    </row>
    <row r="154" spans="1:9" x14ac:dyDescent="0.35">
      <c r="B154" s="108" t="s">
        <v>109</v>
      </c>
      <c r="C154" s="108"/>
      <c r="D154" s="108"/>
      <c r="E154" s="108"/>
      <c r="F154" s="108"/>
      <c r="G154" s="108"/>
      <c r="H154" s="108"/>
      <c r="I154" s="40">
        <f>SUM(I148:I153)</f>
        <v>32944</v>
      </c>
    </row>
    <row r="156" spans="1:9" x14ac:dyDescent="0.35">
      <c r="B156" s="44" t="s">
        <v>48</v>
      </c>
      <c r="C156" s="44" t="s">
        <v>49</v>
      </c>
      <c r="D156" s="44" t="s">
        <v>50</v>
      </c>
      <c r="E156" s="45" t="s">
        <v>0</v>
      </c>
      <c r="F156" s="44" t="s">
        <v>74</v>
      </c>
      <c r="G156" s="44" t="s">
        <v>156</v>
      </c>
      <c r="H156" s="44" t="s">
        <v>76</v>
      </c>
      <c r="I156" s="44" t="s">
        <v>77</v>
      </c>
    </row>
    <row r="157" spans="1:9" x14ac:dyDescent="0.35">
      <c r="A157" t="s">
        <v>169</v>
      </c>
      <c r="B157" s="4" t="s">
        <v>185</v>
      </c>
      <c r="C157" s="4"/>
      <c r="D157" s="4">
        <v>4</v>
      </c>
      <c r="E157" s="4" t="s">
        <v>150</v>
      </c>
      <c r="F157" s="4">
        <v>7500</v>
      </c>
      <c r="G157" s="4">
        <f t="shared" ref="G157:G162" si="34">F157*D157</f>
        <v>30000</v>
      </c>
      <c r="H157" s="4">
        <f t="shared" ref="H157:H164" si="35">16%*G157</f>
        <v>4800</v>
      </c>
      <c r="I157" s="4">
        <f t="shared" ref="I157:I162" si="36">H157+G157</f>
        <v>34800</v>
      </c>
    </row>
    <row r="158" spans="1:9" x14ac:dyDescent="0.35">
      <c r="A158" t="s">
        <v>177</v>
      </c>
      <c r="B158" s="4" t="s">
        <v>178</v>
      </c>
      <c r="C158" s="4"/>
      <c r="D158" s="4">
        <v>1</v>
      </c>
      <c r="E158" s="4" t="s">
        <v>183</v>
      </c>
      <c r="F158" s="4">
        <v>6500</v>
      </c>
      <c r="G158" s="4">
        <f t="shared" si="34"/>
        <v>6500</v>
      </c>
      <c r="H158" s="4">
        <f t="shared" si="35"/>
        <v>1040</v>
      </c>
      <c r="I158" s="4">
        <f t="shared" si="36"/>
        <v>7540</v>
      </c>
    </row>
    <row r="159" spans="1:9" x14ac:dyDescent="0.35">
      <c r="B159" s="4" t="s">
        <v>179</v>
      </c>
      <c r="C159" s="4"/>
      <c r="D159" s="4">
        <v>3</v>
      </c>
      <c r="E159" s="4" t="s">
        <v>150</v>
      </c>
      <c r="F159" s="4">
        <v>4500</v>
      </c>
      <c r="G159" s="4">
        <f t="shared" si="34"/>
        <v>13500</v>
      </c>
      <c r="H159" s="4">
        <f t="shared" si="35"/>
        <v>2160</v>
      </c>
      <c r="I159" s="4">
        <f t="shared" si="36"/>
        <v>15660</v>
      </c>
    </row>
    <row r="160" spans="1:9" x14ac:dyDescent="0.35">
      <c r="B160" s="4" t="s">
        <v>180</v>
      </c>
      <c r="C160" s="4"/>
      <c r="D160" s="4">
        <v>1</v>
      </c>
      <c r="E160" s="4" t="s">
        <v>150</v>
      </c>
      <c r="F160" s="4">
        <v>1500</v>
      </c>
      <c r="G160" s="4">
        <f t="shared" si="34"/>
        <v>1500</v>
      </c>
      <c r="H160" s="4">
        <f t="shared" si="35"/>
        <v>240</v>
      </c>
      <c r="I160" s="4">
        <f t="shared" si="36"/>
        <v>1740</v>
      </c>
    </row>
    <row r="161" spans="1:9" x14ac:dyDescent="0.35">
      <c r="B161" s="4" t="s">
        <v>181</v>
      </c>
      <c r="C161" s="4"/>
      <c r="D161" s="4">
        <v>1</v>
      </c>
      <c r="E161" s="4" t="s">
        <v>150</v>
      </c>
      <c r="F161" s="4">
        <v>6500</v>
      </c>
      <c r="G161" s="4">
        <f t="shared" si="34"/>
        <v>6500</v>
      </c>
      <c r="H161" s="4">
        <f t="shared" si="35"/>
        <v>1040</v>
      </c>
      <c r="I161" s="4">
        <f t="shared" si="36"/>
        <v>7540</v>
      </c>
    </row>
    <row r="162" spans="1:9" x14ac:dyDescent="0.35">
      <c r="B162" s="4" t="s">
        <v>182</v>
      </c>
      <c r="C162" s="4"/>
      <c r="D162" s="4">
        <v>1</v>
      </c>
      <c r="E162" s="4" t="s">
        <v>150</v>
      </c>
      <c r="F162" s="4">
        <v>1000</v>
      </c>
      <c r="G162" s="4">
        <f t="shared" si="34"/>
        <v>1000</v>
      </c>
      <c r="H162" s="4">
        <f t="shared" si="35"/>
        <v>160</v>
      </c>
      <c r="I162" s="4">
        <f t="shared" si="36"/>
        <v>1160</v>
      </c>
    </row>
    <row r="163" spans="1:9" ht="15" thickBot="1" x14ac:dyDescent="0.4">
      <c r="B163" s="52" t="s">
        <v>184</v>
      </c>
      <c r="C163" s="4"/>
      <c r="D163" s="4">
        <v>1</v>
      </c>
      <c r="E163" s="4"/>
      <c r="F163" s="4">
        <v>2500</v>
      </c>
      <c r="G163" s="4">
        <f t="shared" ref="G163:G164" si="37">F163*D163</f>
        <v>2500</v>
      </c>
      <c r="H163" s="4">
        <f t="shared" si="35"/>
        <v>400</v>
      </c>
      <c r="I163" s="4">
        <f t="shared" ref="I163:I164" si="38">H163+G163</f>
        <v>2900</v>
      </c>
    </row>
    <row r="164" spans="1:9" x14ac:dyDescent="0.35">
      <c r="B164" s="4" t="s">
        <v>175</v>
      </c>
      <c r="C164" s="4"/>
      <c r="D164" s="4">
        <v>1</v>
      </c>
      <c r="E164" s="4"/>
      <c r="F164" s="4">
        <v>12000</v>
      </c>
      <c r="G164" s="4">
        <f t="shared" si="37"/>
        <v>12000</v>
      </c>
      <c r="H164" s="4">
        <f t="shared" si="35"/>
        <v>1920</v>
      </c>
      <c r="I164" s="4">
        <f t="shared" si="38"/>
        <v>13920</v>
      </c>
    </row>
    <row r="165" spans="1:9" x14ac:dyDescent="0.35">
      <c r="B165" s="108" t="s">
        <v>109</v>
      </c>
      <c r="C165" s="108"/>
      <c r="D165" s="108"/>
      <c r="E165" s="108"/>
      <c r="F165" s="108"/>
      <c r="G165" s="108"/>
      <c r="H165" s="108"/>
      <c r="I165" s="40">
        <f>SUM(I157:I164)</f>
        <v>85260</v>
      </c>
    </row>
    <row r="168" spans="1:9" ht="29" x14ac:dyDescent="0.35">
      <c r="B168" s="22" t="s">
        <v>48</v>
      </c>
      <c r="C168" s="22" t="s">
        <v>49</v>
      </c>
      <c r="D168" s="22" t="s">
        <v>50</v>
      </c>
      <c r="E168" s="22" t="s">
        <v>0</v>
      </c>
      <c r="F168" s="26" t="s">
        <v>96</v>
      </c>
      <c r="G168" s="19" t="s">
        <v>77</v>
      </c>
    </row>
    <row r="169" spans="1:9" x14ac:dyDescent="0.35">
      <c r="A169" t="s">
        <v>187</v>
      </c>
      <c r="B169" s="4" t="s">
        <v>186</v>
      </c>
      <c r="C169" s="4"/>
      <c r="D169" s="4">
        <v>4</v>
      </c>
      <c r="E169" s="4" t="s">
        <v>150</v>
      </c>
      <c r="F169" s="4">
        <v>5500</v>
      </c>
      <c r="G169" s="4">
        <f>D169*F169</f>
        <v>22000</v>
      </c>
    </row>
    <row r="170" spans="1:9" x14ac:dyDescent="0.35">
      <c r="A170" t="s">
        <v>188</v>
      </c>
      <c r="B170" s="108" t="s">
        <v>109</v>
      </c>
      <c r="C170" s="108"/>
      <c r="D170" s="108"/>
      <c r="E170" s="108"/>
      <c r="F170" s="108"/>
      <c r="G170" s="33">
        <f>SUM(G169)</f>
        <v>22000</v>
      </c>
    </row>
    <row r="172" spans="1:9" ht="29" x14ac:dyDescent="0.35">
      <c r="B172" s="22" t="s">
        <v>48</v>
      </c>
      <c r="C172" s="22" t="s">
        <v>49</v>
      </c>
      <c r="D172" s="22" t="s">
        <v>50</v>
      </c>
      <c r="E172" s="22" t="s">
        <v>0</v>
      </c>
      <c r="F172" s="26" t="s">
        <v>96</v>
      </c>
      <c r="G172" s="19" t="s">
        <v>77</v>
      </c>
    </row>
    <row r="173" spans="1:9" x14ac:dyDescent="0.35">
      <c r="A173" t="s">
        <v>189</v>
      </c>
      <c r="B173" s="4" t="s">
        <v>191</v>
      </c>
      <c r="C173" s="4" t="s">
        <v>192</v>
      </c>
      <c r="D173" s="4">
        <v>4</v>
      </c>
      <c r="E173" s="4" t="s">
        <v>150</v>
      </c>
      <c r="F173" s="4">
        <v>5500</v>
      </c>
      <c r="G173" s="4">
        <f>F173*D173</f>
        <v>22000</v>
      </c>
    </row>
    <row r="174" spans="1:9" x14ac:dyDescent="0.35">
      <c r="A174" t="s">
        <v>190</v>
      </c>
      <c r="B174" s="108" t="s">
        <v>109</v>
      </c>
      <c r="C174" s="108"/>
      <c r="D174" s="108"/>
      <c r="E174" s="108"/>
      <c r="F174" s="108"/>
      <c r="G174" s="33">
        <f>SUM(G173)</f>
        <v>22000</v>
      </c>
    </row>
    <row r="176" spans="1:9" x14ac:dyDescent="0.35">
      <c r="B176" s="22" t="s">
        <v>48</v>
      </c>
      <c r="C176" s="22" t="s">
        <v>49</v>
      </c>
      <c r="D176" s="22" t="s">
        <v>50</v>
      </c>
      <c r="E176" s="22" t="s">
        <v>0</v>
      </c>
    </row>
    <row r="177" spans="1:9" x14ac:dyDescent="0.35">
      <c r="A177" t="s">
        <v>193</v>
      </c>
      <c r="B177" s="4" t="s">
        <v>212</v>
      </c>
      <c r="C177" s="4" t="s">
        <v>213</v>
      </c>
      <c r="D177" s="4">
        <v>500</v>
      </c>
      <c r="E177" s="4" t="s">
        <v>150</v>
      </c>
    </row>
    <row r="178" spans="1:9" x14ac:dyDescent="0.35">
      <c r="A178" t="s">
        <v>194</v>
      </c>
      <c r="B178" s="4" t="s">
        <v>59</v>
      </c>
      <c r="C178" s="4"/>
      <c r="D178" s="4">
        <v>3</v>
      </c>
      <c r="E178" s="4" t="s">
        <v>52</v>
      </c>
    </row>
    <row r="179" spans="1:9" x14ac:dyDescent="0.35">
      <c r="B179" s="4" t="s">
        <v>60</v>
      </c>
      <c r="C179" s="4"/>
      <c r="D179" s="4">
        <v>3</v>
      </c>
      <c r="E179" s="4" t="s">
        <v>52</v>
      </c>
    </row>
    <row r="180" spans="1:9" x14ac:dyDescent="0.35">
      <c r="B180" s="4" t="s">
        <v>195</v>
      </c>
      <c r="C180" s="4"/>
      <c r="D180" s="4">
        <v>3</v>
      </c>
      <c r="E180" s="4" t="s">
        <v>57</v>
      </c>
    </row>
    <row r="181" spans="1:9" x14ac:dyDescent="0.35">
      <c r="B181" s="29" t="s">
        <v>214</v>
      </c>
      <c r="C181" s="4" t="s">
        <v>215</v>
      </c>
      <c r="D181" s="4">
        <v>1</v>
      </c>
      <c r="E181" s="4" t="s">
        <v>73</v>
      </c>
    </row>
    <row r="183" spans="1:9" ht="29" x14ac:dyDescent="0.35">
      <c r="A183" t="s">
        <v>89</v>
      </c>
      <c r="B183" s="44" t="s">
        <v>48</v>
      </c>
      <c r="C183" s="44" t="s">
        <v>49</v>
      </c>
      <c r="D183" s="44" t="s">
        <v>197</v>
      </c>
      <c r="E183" s="44" t="s">
        <v>0</v>
      </c>
      <c r="F183" s="26" t="s">
        <v>96</v>
      </c>
      <c r="G183" s="19" t="s">
        <v>77</v>
      </c>
    </row>
    <row r="184" spans="1:9" x14ac:dyDescent="0.35">
      <c r="A184" t="s">
        <v>203</v>
      </c>
      <c r="B184" s="4" t="s">
        <v>198</v>
      </c>
      <c r="C184" s="4" t="s">
        <v>199</v>
      </c>
      <c r="D184" s="4">
        <v>1</v>
      </c>
      <c r="E184" s="4" t="s">
        <v>150</v>
      </c>
      <c r="F184" s="4">
        <v>18000</v>
      </c>
      <c r="G184" s="4">
        <f>F184*D184</f>
        <v>18000</v>
      </c>
    </row>
    <row r="185" spans="1:9" x14ac:dyDescent="0.35">
      <c r="B185" s="51" t="s">
        <v>109</v>
      </c>
      <c r="C185" s="42"/>
      <c r="D185" s="42"/>
      <c r="E185" s="42"/>
      <c r="F185" s="42"/>
      <c r="G185" s="33">
        <f>SUM(G184)</f>
        <v>18000</v>
      </c>
    </row>
    <row r="187" spans="1:9" ht="29" x14ac:dyDescent="0.35">
      <c r="A187" t="s">
        <v>202</v>
      </c>
      <c r="B187" s="44" t="s">
        <v>196</v>
      </c>
      <c r="C187" s="44" t="s">
        <v>49</v>
      </c>
      <c r="D187" s="44" t="s">
        <v>197</v>
      </c>
      <c r="E187" s="44" t="s">
        <v>0</v>
      </c>
      <c r="F187" s="26" t="s">
        <v>96</v>
      </c>
      <c r="G187" s="19" t="s">
        <v>77</v>
      </c>
    </row>
    <row r="188" spans="1:9" x14ac:dyDescent="0.35">
      <c r="A188" t="s">
        <v>204</v>
      </c>
      <c r="B188" s="4" t="s">
        <v>200</v>
      </c>
      <c r="C188" s="4" t="s">
        <v>201</v>
      </c>
      <c r="D188" s="4">
        <v>1</v>
      </c>
      <c r="E188" s="4" t="s">
        <v>73</v>
      </c>
      <c r="F188" s="4">
        <v>1500</v>
      </c>
      <c r="G188" s="4">
        <f>F188*D188</f>
        <v>1500</v>
      </c>
    </row>
    <row r="189" spans="1:9" x14ac:dyDescent="0.35">
      <c r="B189" s="51" t="s">
        <v>109</v>
      </c>
      <c r="C189" s="51"/>
      <c r="D189" s="51"/>
      <c r="E189" s="51"/>
      <c r="F189" s="51"/>
      <c r="G189" s="33">
        <f>SUM(G188)</f>
        <v>1500</v>
      </c>
    </row>
    <row r="191" spans="1:9" x14ac:dyDescent="0.35">
      <c r="A191" t="s">
        <v>205</v>
      </c>
      <c r="B191" s="44" t="s">
        <v>48</v>
      </c>
      <c r="C191" s="44" t="s">
        <v>49</v>
      </c>
      <c r="D191" s="44" t="s">
        <v>50</v>
      </c>
      <c r="E191" s="45" t="s">
        <v>0</v>
      </c>
      <c r="F191" s="44" t="s">
        <v>74</v>
      </c>
      <c r="G191" s="44" t="s">
        <v>156</v>
      </c>
      <c r="H191" s="44" t="s">
        <v>76</v>
      </c>
      <c r="I191" s="44" t="s">
        <v>77</v>
      </c>
    </row>
    <row r="192" spans="1:9" x14ac:dyDescent="0.35">
      <c r="A192" t="s">
        <v>206</v>
      </c>
      <c r="B192" s="4" t="s">
        <v>207</v>
      </c>
      <c r="C192" s="4"/>
      <c r="D192" s="4">
        <v>1</v>
      </c>
      <c r="E192" s="4" t="s">
        <v>150</v>
      </c>
      <c r="F192" s="37">
        <v>6500</v>
      </c>
      <c r="G192" s="4">
        <f t="shared" ref="G192" si="39">F192*D192</f>
        <v>6500</v>
      </c>
      <c r="H192" s="4">
        <f t="shared" ref="H192" si="40">16%*G192</f>
        <v>1040</v>
      </c>
      <c r="I192" s="4">
        <f t="shared" ref="I192" si="41">H192+G192</f>
        <v>7540</v>
      </c>
    </row>
    <row r="193" spans="1:9" x14ac:dyDescent="0.35">
      <c r="B193" s="51" t="s">
        <v>109</v>
      </c>
      <c r="C193" s="51"/>
      <c r="D193" s="51"/>
      <c r="E193" s="51"/>
      <c r="F193" s="51"/>
      <c r="G193" s="51"/>
      <c r="H193" s="51"/>
      <c r="I193" s="33">
        <f>SUM(I192)</f>
        <v>7540</v>
      </c>
    </row>
    <row r="196" spans="1:9" x14ac:dyDescent="0.35">
      <c r="A196" t="s">
        <v>205</v>
      </c>
      <c r="B196" s="44" t="s">
        <v>48</v>
      </c>
      <c r="C196" s="44" t="s">
        <v>49</v>
      </c>
      <c r="D196" s="44" t="s">
        <v>50</v>
      </c>
      <c r="E196" s="45" t="s">
        <v>0</v>
      </c>
      <c r="F196" s="44" t="s">
        <v>74</v>
      </c>
      <c r="G196" s="44" t="s">
        <v>156</v>
      </c>
      <c r="H196" s="44" t="s">
        <v>76</v>
      </c>
      <c r="I196" s="44" t="s">
        <v>77</v>
      </c>
    </row>
    <row r="197" spans="1:9" x14ac:dyDescent="0.35">
      <c r="A197" t="s">
        <v>208</v>
      </c>
      <c r="B197" s="4" t="s">
        <v>207</v>
      </c>
      <c r="C197" s="4" t="s">
        <v>209</v>
      </c>
      <c r="D197" s="4">
        <v>1</v>
      </c>
      <c r="E197" s="4" t="s">
        <v>211</v>
      </c>
      <c r="F197" s="37">
        <v>6500</v>
      </c>
      <c r="G197" s="4">
        <f t="shared" ref="G197:G198" si="42">F197*D197</f>
        <v>6500</v>
      </c>
      <c r="H197" s="4">
        <f t="shared" ref="H197:H198" si="43">16%*G197</f>
        <v>1040</v>
      </c>
      <c r="I197" s="4">
        <f t="shared" ref="I197:I198" si="44">H197+G197</f>
        <v>7540</v>
      </c>
    </row>
    <row r="198" spans="1:9" x14ac:dyDescent="0.35">
      <c r="B198" s="4" t="s">
        <v>210</v>
      </c>
      <c r="C198" s="4" t="s">
        <v>209</v>
      </c>
      <c r="D198" s="4">
        <v>2</v>
      </c>
      <c r="E198" s="4" t="s">
        <v>211</v>
      </c>
      <c r="F198" s="4">
        <v>500</v>
      </c>
      <c r="G198" s="4">
        <f t="shared" si="42"/>
        <v>1000</v>
      </c>
      <c r="H198" s="4">
        <f t="shared" si="43"/>
        <v>160</v>
      </c>
      <c r="I198" s="4">
        <f t="shared" si="44"/>
        <v>1160</v>
      </c>
    </row>
    <row r="199" spans="1:9" x14ac:dyDescent="0.35">
      <c r="B199" s="51" t="s">
        <v>109</v>
      </c>
      <c r="C199" s="51"/>
      <c r="D199" s="51"/>
      <c r="E199" s="51"/>
      <c r="F199" s="51"/>
      <c r="G199" s="51"/>
      <c r="H199" s="51"/>
      <c r="I199" s="33">
        <f>SUM(I197:I198)</f>
        <v>8700</v>
      </c>
    </row>
    <row r="201" spans="1:9" x14ac:dyDescent="0.35">
      <c r="B201" s="44" t="s">
        <v>48</v>
      </c>
      <c r="C201" s="44" t="s">
        <v>49</v>
      </c>
      <c r="D201" s="44" t="s">
        <v>50</v>
      </c>
      <c r="E201" s="45" t="s">
        <v>0</v>
      </c>
      <c r="F201" s="44" t="s">
        <v>74</v>
      </c>
      <c r="G201" s="44" t="s">
        <v>156</v>
      </c>
      <c r="H201" s="44" t="s">
        <v>76</v>
      </c>
      <c r="I201" s="44" t="s">
        <v>77</v>
      </c>
    </row>
    <row r="202" spans="1:9" x14ac:dyDescent="0.35">
      <c r="B202" s="4" t="s">
        <v>216</v>
      </c>
      <c r="C202" s="4" t="s">
        <v>217</v>
      </c>
      <c r="D202" s="4">
        <v>1</v>
      </c>
      <c r="E202" s="4" t="s">
        <v>150</v>
      </c>
      <c r="F202" s="37">
        <v>1500</v>
      </c>
      <c r="G202" s="4">
        <f t="shared" ref="G202" si="45">F202*D202</f>
        <v>1500</v>
      </c>
      <c r="H202" s="4">
        <f t="shared" ref="H202" si="46">16%*G202</f>
        <v>240</v>
      </c>
      <c r="I202" s="4">
        <f t="shared" ref="I202" si="47">H202+G202</f>
        <v>1740</v>
      </c>
    </row>
    <row r="203" spans="1:9" x14ac:dyDescent="0.35">
      <c r="B203" s="4"/>
      <c r="C203" s="4"/>
      <c r="D203" s="4"/>
      <c r="E203" s="4"/>
      <c r="F203" s="4"/>
      <c r="G203" s="4"/>
      <c r="H203" s="4"/>
      <c r="I203" s="33">
        <f>SUM(I202)</f>
        <v>1740</v>
      </c>
    </row>
    <row r="205" spans="1:9" x14ac:dyDescent="0.35">
      <c r="B205" s="44" t="s">
        <v>196</v>
      </c>
      <c r="C205" s="44" t="s">
        <v>49</v>
      </c>
      <c r="D205" s="44" t="s">
        <v>197</v>
      </c>
      <c r="E205" s="44" t="s">
        <v>0</v>
      </c>
    </row>
    <row r="206" spans="1:9" x14ac:dyDescent="0.35">
      <c r="A206" t="s">
        <v>193</v>
      </c>
      <c r="B206" s="4" t="s">
        <v>218</v>
      </c>
      <c r="C206" s="4"/>
      <c r="D206" s="4">
        <v>5</v>
      </c>
      <c r="E206" s="4" t="s">
        <v>57</v>
      </c>
    </row>
    <row r="207" spans="1:9" x14ac:dyDescent="0.35">
      <c r="A207" t="s">
        <v>221</v>
      </c>
      <c r="B207" s="4" t="s">
        <v>219</v>
      </c>
      <c r="C207" s="4" t="s">
        <v>220</v>
      </c>
      <c r="D207" s="4">
        <v>2</v>
      </c>
      <c r="E207" s="4" t="s">
        <v>106</v>
      </c>
    </row>
    <row r="209" spans="1:9" x14ac:dyDescent="0.35">
      <c r="B209" s="44" t="s">
        <v>48</v>
      </c>
      <c r="C209" s="44" t="s">
        <v>49</v>
      </c>
      <c r="D209" s="44" t="s">
        <v>50</v>
      </c>
      <c r="E209" s="45" t="s">
        <v>0</v>
      </c>
      <c r="F209" s="44" t="s">
        <v>74</v>
      </c>
      <c r="G209" s="44" t="s">
        <v>156</v>
      </c>
      <c r="H209" s="44" t="s">
        <v>76</v>
      </c>
      <c r="I209" s="44" t="s">
        <v>77</v>
      </c>
    </row>
    <row r="210" spans="1:9" x14ac:dyDescent="0.35">
      <c r="A210" t="s">
        <v>222</v>
      </c>
      <c r="B210" s="4" t="s">
        <v>223</v>
      </c>
      <c r="C210" s="4" t="s">
        <v>224</v>
      </c>
      <c r="D210" s="4">
        <v>1</v>
      </c>
      <c r="E210" s="4" t="s">
        <v>183</v>
      </c>
      <c r="F210" s="4">
        <v>2950</v>
      </c>
      <c r="G210" s="4">
        <f t="shared" ref="G210:G212" si="48">F210*D210</f>
        <v>2950</v>
      </c>
      <c r="H210" s="4">
        <f t="shared" ref="H210:H212" si="49">16%*G210</f>
        <v>472</v>
      </c>
      <c r="I210" s="4">
        <f t="shared" ref="I210:I212" si="50">H210+G210</f>
        <v>3422</v>
      </c>
    </row>
    <row r="211" spans="1:9" x14ac:dyDescent="0.35">
      <c r="A211" t="s">
        <v>168</v>
      </c>
      <c r="B211" s="4" t="s">
        <v>223</v>
      </c>
      <c r="C211" s="4" t="s">
        <v>225</v>
      </c>
      <c r="D211" s="4">
        <v>1</v>
      </c>
      <c r="E211" s="4"/>
      <c r="F211" s="4">
        <v>1950</v>
      </c>
      <c r="G211" s="4">
        <f t="shared" si="48"/>
        <v>1950</v>
      </c>
      <c r="H211" s="4">
        <f t="shared" si="49"/>
        <v>312</v>
      </c>
      <c r="I211" s="4">
        <f t="shared" si="50"/>
        <v>2262</v>
      </c>
    </row>
    <row r="212" spans="1:9" x14ac:dyDescent="0.35">
      <c r="B212" s="4" t="s">
        <v>223</v>
      </c>
      <c r="C212" s="4" t="s">
        <v>226</v>
      </c>
      <c r="D212" s="4">
        <v>1</v>
      </c>
      <c r="E212" s="4"/>
      <c r="F212" s="4">
        <v>2000</v>
      </c>
      <c r="G212" s="4">
        <f t="shared" si="48"/>
        <v>2000</v>
      </c>
      <c r="H212" s="4">
        <f t="shared" si="49"/>
        <v>320</v>
      </c>
      <c r="I212" s="4">
        <f t="shared" si="50"/>
        <v>2320</v>
      </c>
    </row>
    <row r="213" spans="1:9" x14ac:dyDescent="0.35">
      <c r="B213" s="108" t="s">
        <v>109</v>
      </c>
      <c r="C213" s="108"/>
      <c r="D213" s="108"/>
      <c r="E213" s="108"/>
      <c r="F213" s="108"/>
      <c r="G213" s="108"/>
      <c r="H213" s="108"/>
      <c r="I213" s="33">
        <f>SUM(I210:I212)</f>
        <v>8004</v>
      </c>
    </row>
    <row r="215" spans="1:9" x14ac:dyDescent="0.35">
      <c r="B215" s="44" t="s">
        <v>48</v>
      </c>
      <c r="C215" s="44" t="s">
        <v>49</v>
      </c>
      <c r="D215" s="44" t="s">
        <v>50</v>
      </c>
      <c r="E215" s="45" t="s">
        <v>0</v>
      </c>
      <c r="F215" s="44" t="s">
        <v>74</v>
      </c>
      <c r="G215" s="44" t="s">
        <v>156</v>
      </c>
      <c r="H215" s="44" t="s">
        <v>76</v>
      </c>
      <c r="I215" s="44" t="s">
        <v>77</v>
      </c>
    </row>
    <row r="216" spans="1:9" x14ac:dyDescent="0.35">
      <c r="A216" t="s">
        <v>102</v>
      </c>
      <c r="B216" s="4" t="s">
        <v>228</v>
      </c>
      <c r="C216" s="4" t="s">
        <v>229</v>
      </c>
      <c r="D216" s="4">
        <v>2</v>
      </c>
      <c r="E216" s="4" t="s">
        <v>150</v>
      </c>
      <c r="F216" s="4">
        <v>11500</v>
      </c>
      <c r="G216" s="4">
        <f>D216*F216</f>
        <v>23000</v>
      </c>
      <c r="H216" s="4">
        <f>16%*G216</f>
        <v>3680</v>
      </c>
      <c r="I216" s="4">
        <f>G216+H216</f>
        <v>26680</v>
      </c>
    </row>
    <row r="217" spans="1:9" x14ac:dyDescent="0.35">
      <c r="A217" t="s">
        <v>227</v>
      </c>
      <c r="B217" s="109" t="s">
        <v>109</v>
      </c>
      <c r="C217" s="110"/>
      <c r="D217" s="110"/>
      <c r="E217" s="110"/>
      <c r="F217" s="110"/>
      <c r="G217" s="110"/>
      <c r="H217" s="111"/>
      <c r="I217" s="33">
        <f>SUM(I216)</f>
        <v>26680</v>
      </c>
    </row>
    <row r="219" spans="1:9" x14ac:dyDescent="0.35">
      <c r="B219" s="44" t="s">
        <v>230</v>
      </c>
      <c r="C219" s="44" t="s">
        <v>49</v>
      </c>
      <c r="D219" s="44" t="s">
        <v>50</v>
      </c>
      <c r="E219" s="45" t="s">
        <v>0</v>
      </c>
      <c r="F219" s="44" t="s">
        <v>74</v>
      </c>
      <c r="G219" s="44" t="s">
        <v>156</v>
      </c>
      <c r="H219" s="44" t="s">
        <v>76</v>
      </c>
      <c r="I219" s="44" t="s">
        <v>77</v>
      </c>
    </row>
    <row r="220" spans="1:9" x14ac:dyDescent="0.35">
      <c r="A220" t="s">
        <v>231</v>
      </c>
      <c r="B220" s="4" t="s">
        <v>232</v>
      </c>
      <c r="C220" s="4" t="s">
        <v>233</v>
      </c>
      <c r="D220" s="4">
        <v>1</v>
      </c>
      <c r="E220" s="4" t="s">
        <v>150</v>
      </c>
      <c r="F220" s="4">
        <v>98800</v>
      </c>
      <c r="G220" s="4">
        <f>D220*F220</f>
        <v>98800</v>
      </c>
      <c r="H220" s="4">
        <f>16%*G220</f>
        <v>15808</v>
      </c>
      <c r="I220" s="4">
        <f>G220+H220</f>
        <v>114608</v>
      </c>
    </row>
    <row r="221" spans="1:9" x14ac:dyDescent="0.35">
      <c r="A221" t="s">
        <v>237</v>
      </c>
      <c r="B221" s="108" t="s">
        <v>109</v>
      </c>
      <c r="C221" s="108"/>
      <c r="D221" s="108"/>
      <c r="E221" s="108"/>
      <c r="F221" s="108"/>
      <c r="G221" s="108"/>
      <c r="H221" s="108"/>
      <c r="I221" s="33">
        <f>SUM(I220)</f>
        <v>114608</v>
      </c>
    </row>
    <row r="223" spans="1:9" x14ac:dyDescent="0.35">
      <c r="B223" s="44" t="s">
        <v>48</v>
      </c>
      <c r="C223" s="44" t="s">
        <v>49</v>
      </c>
      <c r="D223" s="44" t="s">
        <v>50</v>
      </c>
      <c r="E223" s="45" t="s">
        <v>0</v>
      </c>
      <c r="F223" s="44" t="s">
        <v>74</v>
      </c>
      <c r="G223" s="44" t="s">
        <v>156</v>
      </c>
      <c r="H223" s="44" t="s">
        <v>76</v>
      </c>
      <c r="I223" s="44" t="s">
        <v>77</v>
      </c>
    </row>
    <row r="224" spans="1:9" x14ac:dyDescent="0.35">
      <c r="A224" t="s">
        <v>236</v>
      </c>
      <c r="B224" s="4" t="s">
        <v>234</v>
      </c>
      <c r="C224" s="4"/>
      <c r="D224" s="4">
        <v>1</v>
      </c>
      <c r="E224" s="4" t="s">
        <v>235</v>
      </c>
      <c r="F224" s="53">
        <v>86206.9</v>
      </c>
      <c r="G224" s="4">
        <f>D224*F224</f>
        <v>86206.9</v>
      </c>
      <c r="H224" s="4">
        <f>G224*16%</f>
        <v>13793.103999999999</v>
      </c>
      <c r="I224" s="4">
        <f>G224+H224</f>
        <v>100000.00399999999</v>
      </c>
    </row>
    <row r="225" spans="1:9" x14ac:dyDescent="0.35">
      <c r="A225" t="s">
        <v>238</v>
      </c>
      <c r="B225" s="108" t="s">
        <v>109</v>
      </c>
      <c r="C225" s="108"/>
      <c r="D225" s="108"/>
      <c r="E225" s="108"/>
      <c r="F225" s="108"/>
      <c r="G225" s="108"/>
      <c r="H225" s="108"/>
      <c r="I225" s="33">
        <f>SUM(I224)</f>
        <v>100000.00399999999</v>
      </c>
    </row>
    <row r="227" spans="1:9" ht="29" x14ac:dyDescent="0.35">
      <c r="B227" s="22" t="s">
        <v>48</v>
      </c>
      <c r="C227" s="22" t="s">
        <v>49</v>
      </c>
      <c r="D227" s="22" t="s">
        <v>50</v>
      </c>
      <c r="E227" s="22" t="s">
        <v>0</v>
      </c>
      <c r="F227" s="26" t="s">
        <v>85</v>
      </c>
      <c r="G227" s="19" t="s">
        <v>75</v>
      </c>
      <c r="H227" s="19" t="s">
        <v>76</v>
      </c>
      <c r="I227" s="19" t="s">
        <v>77</v>
      </c>
    </row>
    <row r="228" spans="1:9" ht="15.5" x14ac:dyDescent="0.35">
      <c r="B228" s="54" t="s">
        <v>258</v>
      </c>
      <c r="C228" s="4"/>
      <c r="D228" s="54">
        <v>35</v>
      </c>
      <c r="E228" s="54" t="s">
        <v>57</v>
      </c>
      <c r="F228" s="4">
        <v>16</v>
      </c>
      <c r="G228" s="4">
        <f>D228*F228</f>
        <v>560</v>
      </c>
      <c r="H228" s="4">
        <f>0%*G228</f>
        <v>0</v>
      </c>
      <c r="I228" s="4">
        <f>G228+H228</f>
        <v>560</v>
      </c>
    </row>
    <row r="229" spans="1:9" ht="15.5" x14ac:dyDescent="0.35">
      <c r="A229" t="s">
        <v>263</v>
      </c>
      <c r="B229" s="54" t="s">
        <v>239</v>
      </c>
      <c r="C229" s="4"/>
      <c r="D229" s="54">
        <v>36</v>
      </c>
      <c r="E229" s="54" t="s">
        <v>52</v>
      </c>
      <c r="F229" s="4">
        <v>14</v>
      </c>
      <c r="G229" s="4">
        <f t="shared" ref="G229:G252" si="51">D229*F229</f>
        <v>504</v>
      </c>
      <c r="H229" s="4">
        <f t="shared" ref="H229:H252" si="52">0%*G229</f>
        <v>0</v>
      </c>
      <c r="I229" s="4">
        <f t="shared" ref="I229:I252" si="53">G229+H229</f>
        <v>504</v>
      </c>
    </row>
    <row r="230" spans="1:9" ht="15.5" x14ac:dyDescent="0.35">
      <c r="A230" t="s">
        <v>238</v>
      </c>
      <c r="B230" s="54" t="s">
        <v>257</v>
      </c>
      <c r="C230" s="4"/>
      <c r="D230" s="54">
        <v>45</v>
      </c>
      <c r="E230" s="54" t="s">
        <v>57</v>
      </c>
      <c r="F230" s="4">
        <v>5.5</v>
      </c>
      <c r="G230" s="4">
        <f t="shared" si="51"/>
        <v>247.5</v>
      </c>
      <c r="H230" s="4">
        <f t="shared" si="52"/>
        <v>0</v>
      </c>
      <c r="I230" s="4">
        <f t="shared" si="53"/>
        <v>247.5</v>
      </c>
    </row>
    <row r="231" spans="1:9" ht="15.5" x14ac:dyDescent="0.35">
      <c r="B231" s="54" t="s">
        <v>256</v>
      </c>
      <c r="C231" s="4"/>
      <c r="D231" s="54">
        <v>50</v>
      </c>
      <c r="E231" s="54" t="s">
        <v>57</v>
      </c>
      <c r="F231" s="4">
        <v>14</v>
      </c>
      <c r="G231" s="4">
        <f t="shared" si="51"/>
        <v>700</v>
      </c>
      <c r="H231" s="4">
        <f t="shared" si="52"/>
        <v>0</v>
      </c>
      <c r="I231" s="4">
        <f t="shared" si="53"/>
        <v>700</v>
      </c>
    </row>
    <row r="232" spans="1:9" ht="15.5" x14ac:dyDescent="0.35">
      <c r="B232" s="54" t="s">
        <v>262</v>
      </c>
      <c r="C232" s="4"/>
      <c r="D232" s="54">
        <v>25</v>
      </c>
      <c r="E232" s="54" t="s">
        <v>57</v>
      </c>
      <c r="F232" s="4">
        <v>28</v>
      </c>
      <c r="G232" s="4">
        <f t="shared" si="51"/>
        <v>700</v>
      </c>
      <c r="H232" s="4">
        <f t="shared" si="52"/>
        <v>0</v>
      </c>
      <c r="I232" s="4">
        <f t="shared" si="53"/>
        <v>700</v>
      </c>
    </row>
    <row r="233" spans="1:9" ht="15.5" x14ac:dyDescent="0.35">
      <c r="B233" s="54" t="s">
        <v>240</v>
      </c>
      <c r="C233" s="4"/>
      <c r="D233" s="54">
        <v>50</v>
      </c>
      <c r="E233" s="54" t="s">
        <v>57</v>
      </c>
      <c r="F233" s="4">
        <v>3.2</v>
      </c>
      <c r="G233" s="4">
        <f t="shared" si="51"/>
        <v>160</v>
      </c>
      <c r="H233" s="4">
        <f t="shared" si="52"/>
        <v>0</v>
      </c>
      <c r="I233" s="4">
        <f t="shared" si="53"/>
        <v>160</v>
      </c>
    </row>
    <row r="234" spans="1:9" ht="15.5" x14ac:dyDescent="0.35">
      <c r="B234" s="54" t="s">
        <v>259</v>
      </c>
      <c r="C234" s="4"/>
      <c r="D234" s="54">
        <v>10</v>
      </c>
      <c r="E234" s="54" t="s">
        <v>52</v>
      </c>
      <c r="F234" s="4">
        <v>35</v>
      </c>
      <c r="G234" s="4">
        <f t="shared" si="51"/>
        <v>350</v>
      </c>
      <c r="H234" s="4">
        <f t="shared" si="52"/>
        <v>0</v>
      </c>
      <c r="I234" s="4">
        <f t="shared" si="53"/>
        <v>350</v>
      </c>
    </row>
    <row r="235" spans="1:9" ht="15.5" x14ac:dyDescent="0.35">
      <c r="B235" s="54" t="s">
        <v>241</v>
      </c>
      <c r="C235" s="4"/>
      <c r="D235" s="54">
        <v>6</v>
      </c>
      <c r="E235" s="54" t="s">
        <v>52</v>
      </c>
      <c r="F235" s="4">
        <v>45</v>
      </c>
      <c r="G235" s="4">
        <f t="shared" si="51"/>
        <v>270</v>
      </c>
      <c r="H235" s="4">
        <f t="shared" si="52"/>
        <v>0</v>
      </c>
      <c r="I235" s="4">
        <f t="shared" si="53"/>
        <v>270</v>
      </c>
    </row>
    <row r="236" spans="1:9" ht="15.5" x14ac:dyDescent="0.35">
      <c r="B236" s="54" t="s">
        <v>242</v>
      </c>
      <c r="C236" s="4"/>
      <c r="D236" s="54">
        <v>7</v>
      </c>
      <c r="E236" s="54" t="s">
        <v>57</v>
      </c>
      <c r="F236" s="4">
        <v>50</v>
      </c>
      <c r="G236" s="4">
        <f t="shared" si="51"/>
        <v>350</v>
      </c>
      <c r="H236" s="4">
        <f t="shared" si="52"/>
        <v>0</v>
      </c>
      <c r="I236" s="4">
        <f t="shared" si="53"/>
        <v>350</v>
      </c>
    </row>
    <row r="237" spans="1:9" ht="15.5" x14ac:dyDescent="0.35">
      <c r="B237" s="54" t="s">
        <v>243</v>
      </c>
      <c r="C237" s="4"/>
      <c r="D237" s="54">
        <v>4</v>
      </c>
      <c r="E237" s="54" t="s">
        <v>57</v>
      </c>
      <c r="F237" s="4">
        <v>30</v>
      </c>
      <c r="G237" s="4">
        <f t="shared" si="51"/>
        <v>120</v>
      </c>
      <c r="H237" s="4">
        <f t="shared" si="52"/>
        <v>0</v>
      </c>
      <c r="I237" s="4">
        <f t="shared" si="53"/>
        <v>120</v>
      </c>
    </row>
    <row r="238" spans="1:9" ht="15.5" x14ac:dyDescent="0.35">
      <c r="B238" s="54" t="s">
        <v>244</v>
      </c>
      <c r="C238" s="4"/>
      <c r="D238" s="54">
        <v>3</v>
      </c>
      <c r="E238" s="54" t="s">
        <v>57</v>
      </c>
      <c r="F238" s="4">
        <v>28</v>
      </c>
      <c r="G238" s="4">
        <f t="shared" si="51"/>
        <v>84</v>
      </c>
      <c r="H238" s="4">
        <f t="shared" si="52"/>
        <v>0</v>
      </c>
      <c r="I238" s="4">
        <f t="shared" si="53"/>
        <v>84</v>
      </c>
    </row>
    <row r="239" spans="1:9" ht="15.5" x14ac:dyDescent="0.35">
      <c r="B239" s="54" t="s">
        <v>245</v>
      </c>
      <c r="C239" s="4"/>
      <c r="D239" s="54">
        <v>12</v>
      </c>
      <c r="E239" s="54" t="s">
        <v>57</v>
      </c>
      <c r="F239" s="4">
        <v>50</v>
      </c>
      <c r="G239" s="4">
        <f t="shared" si="51"/>
        <v>600</v>
      </c>
      <c r="H239" s="4">
        <f t="shared" si="52"/>
        <v>0</v>
      </c>
      <c r="I239" s="4">
        <f t="shared" si="53"/>
        <v>600</v>
      </c>
    </row>
    <row r="240" spans="1:9" ht="15.5" x14ac:dyDescent="0.35">
      <c r="B240" s="54" t="s">
        <v>246</v>
      </c>
      <c r="C240" s="4"/>
      <c r="D240" s="54">
        <v>8</v>
      </c>
      <c r="E240" s="54" t="s">
        <v>52</v>
      </c>
      <c r="F240" s="4">
        <v>180</v>
      </c>
      <c r="G240" s="4">
        <f t="shared" si="51"/>
        <v>1440</v>
      </c>
      <c r="H240" s="4">
        <f>0%*G240</f>
        <v>0</v>
      </c>
      <c r="I240" s="4">
        <f t="shared" si="53"/>
        <v>1440</v>
      </c>
    </row>
    <row r="241" spans="2:9" ht="15.5" x14ac:dyDescent="0.35">
      <c r="B241" s="54" t="s">
        <v>247</v>
      </c>
      <c r="C241" s="4"/>
      <c r="D241" s="54">
        <v>10</v>
      </c>
      <c r="E241" s="54" t="s">
        <v>52</v>
      </c>
      <c r="F241" s="4">
        <v>18</v>
      </c>
      <c r="G241" s="4">
        <f t="shared" si="51"/>
        <v>180</v>
      </c>
      <c r="H241" s="4">
        <f t="shared" si="52"/>
        <v>0</v>
      </c>
      <c r="I241" s="4">
        <f t="shared" si="53"/>
        <v>180</v>
      </c>
    </row>
    <row r="242" spans="2:9" ht="15.5" x14ac:dyDescent="0.35">
      <c r="B242" s="54" t="s">
        <v>260</v>
      </c>
      <c r="C242" s="4"/>
      <c r="D242" s="54">
        <v>5</v>
      </c>
      <c r="E242" s="54" t="s">
        <v>57</v>
      </c>
      <c r="F242" s="4">
        <v>50</v>
      </c>
      <c r="G242" s="4">
        <f t="shared" si="51"/>
        <v>250</v>
      </c>
      <c r="H242" s="4">
        <f t="shared" si="52"/>
        <v>0</v>
      </c>
      <c r="I242" s="4">
        <f t="shared" si="53"/>
        <v>250</v>
      </c>
    </row>
    <row r="243" spans="2:9" ht="15.5" x14ac:dyDescent="0.35">
      <c r="B243" s="54" t="s">
        <v>248</v>
      </c>
      <c r="C243" s="4"/>
      <c r="D243" s="54">
        <v>6</v>
      </c>
      <c r="E243" s="54" t="s">
        <v>57</v>
      </c>
      <c r="F243" s="4">
        <v>45</v>
      </c>
      <c r="G243" s="4">
        <f t="shared" si="51"/>
        <v>270</v>
      </c>
      <c r="H243" s="4">
        <f t="shared" si="52"/>
        <v>0</v>
      </c>
      <c r="I243" s="4">
        <f t="shared" si="53"/>
        <v>270</v>
      </c>
    </row>
    <row r="244" spans="2:9" ht="15.5" x14ac:dyDescent="0.35">
      <c r="B244" s="54" t="s">
        <v>249</v>
      </c>
      <c r="C244" s="4"/>
      <c r="D244" s="54">
        <v>5</v>
      </c>
      <c r="E244" s="54" t="s">
        <v>57</v>
      </c>
      <c r="F244" s="4">
        <v>360</v>
      </c>
      <c r="G244" s="4">
        <f t="shared" si="51"/>
        <v>1800</v>
      </c>
      <c r="H244" s="4">
        <f t="shared" si="52"/>
        <v>0</v>
      </c>
      <c r="I244" s="4">
        <f t="shared" si="53"/>
        <v>1800</v>
      </c>
    </row>
    <row r="245" spans="2:9" ht="15.5" x14ac:dyDescent="0.35">
      <c r="B245" s="54" t="s">
        <v>317</v>
      </c>
      <c r="C245" s="4"/>
      <c r="D245" s="54">
        <v>3</v>
      </c>
      <c r="E245" s="54" t="s">
        <v>106</v>
      </c>
      <c r="F245" s="4">
        <v>30</v>
      </c>
      <c r="G245" s="4">
        <f t="shared" si="51"/>
        <v>90</v>
      </c>
      <c r="H245" s="4">
        <f>16%*G245</f>
        <v>14.4</v>
      </c>
      <c r="I245" s="4">
        <f t="shared" si="53"/>
        <v>104.4</v>
      </c>
    </row>
    <row r="246" spans="2:9" ht="15.5" x14ac:dyDescent="0.35">
      <c r="B246" s="54" t="s">
        <v>253</v>
      </c>
      <c r="C246" s="4"/>
      <c r="D246" s="54">
        <v>100</v>
      </c>
      <c r="E246" s="54" t="s">
        <v>52</v>
      </c>
      <c r="F246" s="4">
        <v>11</v>
      </c>
      <c r="G246" s="4">
        <f t="shared" si="51"/>
        <v>1100</v>
      </c>
      <c r="H246" s="4">
        <f t="shared" si="52"/>
        <v>0</v>
      </c>
      <c r="I246" s="4">
        <f t="shared" si="53"/>
        <v>1100</v>
      </c>
    </row>
    <row r="247" spans="2:9" ht="15.5" x14ac:dyDescent="0.35">
      <c r="B247" s="54" t="s">
        <v>261</v>
      </c>
      <c r="C247" s="4"/>
      <c r="D247" s="54">
        <v>100</v>
      </c>
      <c r="E247" s="54" t="s">
        <v>52</v>
      </c>
      <c r="F247" s="4">
        <v>21</v>
      </c>
      <c r="G247" s="4">
        <f t="shared" si="51"/>
        <v>2100</v>
      </c>
      <c r="H247" s="4">
        <f t="shared" si="52"/>
        <v>0</v>
      </c>
      <c r="I247" s="4">
        <f t="shared" si="53"/>
        <v>2100</v>
      </c>
    </row>
    <row r="248" spans="2:9" ht="15.5" x14ac:dyDescent="0.35">
      <c r="B248" s="54" t="s">
        <v>250</v>
      </c>
      <c r="C248" s="4"/>
      <c r="D248" s="54">
        <v>60</v>
      </c>
      <c r="E248" s="54" t="s">
        <v>57</v>
      </c>
      <c r="F248" s="4">
        <v>14</v>
      </c>
      <c r="G248" s="4">
        <f t="shared" si="51"/>
        <v>840</v>
      </c>
      <c r="H248" s="4">
        <f t="shared" si="52"/>
        <v>0</v>
      </c>
      <c r="I248" s="4">
        <f t="shared" si="53"/>
        <v>840</v>
      </c>
    </row>
    <row r="249" spans="2:9" ht="15.5" x14ac:dyDescent="0.35">
      <c r="B249" s="54" t="s">
        <v>254</v>
      </c>
      <c r="C249" s="4"/>
      <c r="D249" s="54">
        <v>15</v>
      </c>
      <c r="E249" s="54" t="s">
        <v>52</v>
      </c>
      <c r="F249" s="4">
        <v>33</v>
      </c>
      <c r="G249" s="4">
        <f t="shared" si="51"/>
        <v>495</v>
      </c>
      <c r="H249" s="4">
        <f t="shared" si="52"/>
        <v>0</v>
      </c>
      <c r="I249" s="4">
        <f t="shared" si="53"/>
        <v>495</v>
      </c>
    </row>
    <row r="250" spans="2:9" ht="15.5" x14ac:dyDescent="0.35">
      <c r="B250" s="54" t="s">
        <v>251</v>
      </c>
      <c r="C250" s="4"/>
      <c r="D250" s="54">
        <v>3</v>
      </c>
      <c r="E250" s="54" t="s">
        <v>57</v>
      </c>
      <c r="F250" s="4">
        <v>80</v>
      </c>
      <c r="G250" s="4">
        <f t="shared" si="51"/>
        <v>240</v>
      </c>
      <c r="H250" s="4">
        <f>0%*G250</f>
        <v>0</v>
      </c>
      <c r="I250" s="4">
        <f t="shared" si="53"/>
        <v>240</v>
      </c>
    </row>
    <row r="251" spans="2:9" ht="15.5" x14ac:dyDescent="0.35">
      <c r="B251" s="54" t="s">
        <v>252</v>
      </c>
      <c r="C251" s="4"/>
      <c r="D251" s="54">
        <v>1</v>
      </c>
      <c r="E251" s="54" t="s">
        <v>69</v>
      </c>
      <c r="F251" s="4">
        <v>14.5</v>
      </c>
      <c r="G251" s="4">
        <f t="shared" si="51"/>
        <v>14.5</v>
      </c>
      <c r="H251" s="4">
        <f>16%*G251</f>
        <v>2.3199999999999998</v>
      </c>
      <c r="I251" s="4">
        <f t="shared" si="53"/>
        <v>16.82</v>
      </c>
    </row>
    <row r="252" spans="2:9" ht="15.5" x14ac:dyDescent="0.35">
      <c r="B252" s="54" t="s">
        <v>255</v>
      </c>
      <c r="C252" s="4"/>
      <c r="D252" s="4">
        <v>1000</v>
      </c>
      <c r="E252" s="54" t="s">
        <v>62</v>
      </c>
      <c r="F252" s="4">
        <v>0.38</v>
      </c>
      <c r="G252" s="4">
        <f t="shared" si="51"/>
        <v>380</v>
      </c>
      <c r="H252" s="4">
        <f t="shared" si="52"/>
        <v>0</v>
      </c>
      <c r="I252" s="4">
        <f t="shared" si="53"/>
        <v>380</v>
      </c>
    </row>
    <row r="253" spans="2:9" x14ac:dyDescent="0.35">
      <c r="B253" s="108" t="s">
        <v>109</v>
      </c>
      <c r="C253" s="108"/>
      <c r="D253" s="108"/>
      <c r="E253" s="108"/>
      <c r="F253" s="108"/>
      <c r="G253" s="108"/>
      <c r="H253" s="108"/>
      <c r="I253" s="55">
        <f>SUM(I228:I252)</f>
        <v>13861.72</v>
      </c>
    </row>
    <row r="256" spans="2:9" ht="29" x14ac:dyDescent="0.35">
      <c r="B256" s="22" t="s">
        <v>48</v>
      </c>
      <c r="C256" s="22" t="s">
        <v>49</v>
      </c>
      <c r="D256" s="22" t="s">
        <v>50</v>
      </c>
      <c r="E256" s="22" t="s">
        <v>0</v>
      </c>
      <c r="F256" s="26" t="s">
        <v>85</v>
      </c>
      <c r="G256" s="19" t="s">
        <v>75</v>
      </c>
      <c r="H256" s="19" t="s">
        <v>76</v>
      </c>
      <c r="I256" s="19" t="s">
        <v>77</v>
      </c>
    </row>
    <row r="257" spans="1:9" x14ac:dyDescent="0.35">
      <c r="A257" t="s">
        <v>236</v>
      </c>
      <c r="B257" s="56" t="s">
        <v>291</v>
      </c>
      <c r="C257" s="57" t="s">
        <v>292</v>
      </c>
      <c r="D257" s="56">
        <v>3</v>
      </c>
      <c r="E257" s="58" t="s">
        <v>283</v>
      </c>
      <c r="F257" s="59">
        <v>30000</v>
      </c>
      <c r="G257" s="4">
        <f>D257*F257</f>
        <v>90000</v>
      </c>
      <c r="H257" s="4">
        <f>16%*G257</f>
        <v>14400</v>
      </c>
      <c r="I257" s="4">
        <f>G257+H257</f>
        <v>104400</v>
      </c>
    </row>
    <row r="258" spans="1:9" x14ac:dyDescent="0.35">
      <c r="A258" t="s">
        <v>293</v>
      </c>
      <c r="B258" s="56" t="s">
        <v>289</v>
      </c>
      <c r="C258" s="57" t="s">
        <v>290</v>
      </c>
      <c r="D258" s="56">
        <v>3</v>
      </c>
      <c r="E258" s="58" t="s">
        <v>284</v>
      </c>
      <c r="F258" s="59">
        <v>25000</v>
      </c>
      <c r="G258" s="4">
        <f t="shared" ref="G258:G261" si="54">D258*F258</f>
        <v>75000</v>
      </c>
      <c r="H258" s="4">
        <f t="shared" ref="H258:H261" si="55">16%*G258</f>
        <v>12000</v>
      </c>
      <c r="I258" s="4">
        <f t="shared" ref="I258:I261" si="56">G258+H258</f>
        <v>87000</v>
      </c>
    </row>
    <row r="259" spans="1:9" x14ac:dyDescent="0.35">
      <c r="B259" s="56" t="s">
        <v>281</v>
      </c>
      <c r="C259" s="57"/>
      <c r="D259" s="56">
        <v>1</v>
      </c>
      <c r="E259" s="58" t="s">
        <v>283</v>
      </c>
      <c r="F259" s="59">
        <v>85000</v>
      </c>
      <c r="G259" s="4">
        <f t="shared" si="54"/>
        <v>85000</v>
      </c>
      <c r="H259" s="4">
        <f t="shared" si="55"/>
        <v>13600</v>
      </c>
      <c r="I259" s="4">
        <f t="shared" si="56"/>
        <v>98600</v>
      </c>
    </row>
    <row r="260" spans="1:9" x14ac:dyDescent="0.35">
      <c r="B260" s="56" t="s">
        <v>287</v>
      </c>
      <c r="C260" s="57" t="s">
        <v>288</v>
      </c>
      <c r="D260" s="56">
        <v>300</v>
      </c>
      <c r="E260" s="58" t="s">
        <v>285</v>
      </c>
      <c r="F260" s="60">
        <v>70</v>
      </c>
      <c r="G260" s="4">
        <f t="shared" si="54"/>
        <v>21000</v>
      </c>
      <c r="H260" s="4">
        <f t="shared" si="55"/>
        <v>3360</v>
      </c>
      <c r="I260" s="4">
        <f t="shared" si="56"/>
        <v>24360</v>
      </c>
    </row>
    <row r="261" spans="1:9" x14ac:dyDescent="0.35">
      <c r="B261" s="56" t="s">
        <v>282</v>
      </c>
      <c r="C261" s="57"/>
      <c r="D261" s="56">
        <v>1</v>
      </c>
      <c r="E261" s="58" t="s">
        <v>286</v>
      </c>
      <c r="F261" s="59">
        <v>42000</v>
      </c>
      <c r="G261" s="4">
        <f t="shared" si="54"/>
        <v>42000</v>
      </c>
      <c r="H261" s="4">
        <f t="shared" si="55"/>
        <v>6720</v>
      </c>
      <c r="I261" s="4">
        <f t="shared" si="56"/>
        <v>48720</v>
      </c>
    </row>
    <row r="262" spans="1:9" x14ac:dyDescent="0.35">
      <c r="B262" s="112" t="s">
        <v>109</v>
      </c>
      <c r="C262" s="112"/>
      <c r="D262" s="112"/>
      <c r="E262" s="112"/>
      <c r="F262" s="112"/>
      <c r="G262" s="112"/>
      <c r="H262" s="112"/>
      <c r="I262" s="40">
        <f>SUM(I257:I261)</f>
        <v>363080</v>
      </c>
    </row>
    <row r="265" spans="1:9" ht="29" x14ac:dyDescent="0.35">
      <c r="B265" s="22" t="s">
        <v>48</v>
      </c>
      <c r="C265" s="22" t="s">
        <v>49</v>
      </c>
      <c r="D265" s="22" t="s">
        <v>50</v>
      </c>
      <c r="E265" s="22" t="s">
        <v>0</v>
      </c>
      <c r="F265" s="26" t="s">
        <v>85</v>
      </c>
      <c r="G265" s="19" t="s">
        <v>75</v>
      </c>
      <c r="H265" s="19" t="s">
        <v>76</v>
      </c>
      <c r="I265" s="19" t="s">
        <v>77</v>
      </c>
    </row>
    <row r="266" spans="1:9" x14ac:dyDescent="0.35">
      <c r="A266" t="s">
        <v>222</v>
      </c>
      <c r="B266" s="4" t="s">
        <v>268</v>
      </c>
      <c r="C266" s="4" t="s">
        <v>273</v>
      </c>
      <c r="D266" s="4">
        <v>10</v>
      </c>
      <c r="E266" s="4" t="s">
        <v>150</v>
      </c>
      <c r="F266" s="42">
        <v>555</v>
      </c>
      <c r="G266" s="4">
        <f t="shared" ref="G266" si="57">D266*F266</f>
        <v>5550</v>
      </c>
      <c r="H266" s="4">
        <f>16%*G266</f>
        <v>888</v>
      </c>
      <c r="I266" s="4">
        <f t="shared" ref="I266:I270" si="58">G266+H266</f>
        <v>6438</v>
      </c>
    </row>
    <row r="267" spans="1:9" x14ac:dyDescent="0.35">
      <c r="A267" t="s">
        <v>300</v>
      </c>
      <c r="B267" s="4" t="s">
        <v>269</v>
      </c>
      <c r="C267" s="4"/>
      <c r="D267" s="4">
        <v>2</v>
      </c>
      <c r="E267" s="4" t="s">
        <v>276</v>
      </c>
      <c r="F267" s="61">
        <v>450</v>
      </c>
      <c r="G267" s="4">
        <f>D267*F267</f>
        <v>900</v>
      </c>
      <c r="H267" s="4">
        <f t="shared" ref="H267:H270" si="59">16%*G267</f>
        <v>144</v>
      </c>
      <c r="I267" s="4">
        <f t="shared" si="58"/>
        <v>1044</v>
      </c>
    </row>
    <row r="268" spans="1:9" x14ac:dyDescent="0.35">
      <c r="B268" s="4" t="s">
        <v>270</v>
      </c>
      <c r="C268" s="4" t="s">
        <v>274</v>
      </c>
      <c r="D268" s="4">
        <v>1</v>
      </c>
      <c r="E268" s="4" t="s">
        <v>275</v>
      </c>
      <c r="F268" s="61">
        <v>660</v>
      </c>
      <c r="G268" s="4">
        <f t="shared" ref="G268:G270" si="60">D268*F268</f>
        <v>660</v>
      </c>
      <c r="H268" s="4">
        <f t="shared" si="59"/>
        <v>105.60000000000001</v>
      </c>
      <c r="I268" s="4">
        <f t="shared" si="58"/>
        <v>765.6</v>
      </c>
    </row>
    <row r="269" spans="1:9" x14ac:dyDescent="0.35">
      <c r="B269" s="4" t="s">
        <v>271</v>
      </c>
      <c r="C269" s="4"/>
      <c r="D269" s="4">
        <v>50</v>
      </c>
      <c r="E269" s="4" t="s">
        <v>150</v>
      </c>
      <c r="F269" s="61">
        <v>3.5</v>
      </c>
      <c r="G269" s="4">
        <f t="shared" si="60"/>
        <v>175</v>
      </c>
      <c r="H269" s="4">
        <f t="shared" si="59"/>
        <v>28</v>
      </c>
      <c r="I269" s="4">
        <f t="shared" si="58"/>
        <v>203</v>
      </c>
    </row>
    <row r="270" spans="1:9" x14ac:dyDescent="0.35">
      <c r="B270" s="4" t="s">
        <v>272</v>
      </c>
      <c r="C270" s="4"/>
      <c r="D270" s="4">
        <v>25</v>
      </c>
      <c r="E270" s="4" t="s">
        <v>150</v>
      </c>
      <c r="F270" s="61">
        <v>2.5</v>
      </c>
      <c r="G270" s="4">
        <f t="shared" si="60"/>
        <v>62.5</v>
      </c>
      <c r="H270" s="4">
        <f t="shared" si="59"/>
        <v>10</v>
      </c>
      <c r="I270" s="4">
        <f t="shared" si="58"/>
        <v>72.5</v>
      </c>
    </row>
    <row r="271" spans="1:9" x14ac:dyDescent="0.35">
      <c r="B271" s="109" t="s">
        <v>299</v>
      </c>
      <c r="C271" s="110"/>
      <c r="D271" s="110"/>
      <c r="E271" s="110"/>
      <c r="F271" s="110"/>
      <c r="G271" s="110"/>
      <c r="H271" s="111"/>
      <c r="I271" s="33">
        <f>SUM(I266:I270)</f>
        <v>8523.1</v>
      </c>
    </row>
    <row r="273" spans="1:7" x14ac:dyDescent="0.35">
      <c r="B273" s="22" t="s">
        <v>48</v>
      </c>
      <c r="C273" s="22" t="s">
        <v>49</v>
      </c>
      <c r="D273" s="22" t="s">
        <v>50</v>
      </c>
      <c r="E273" s="22" t="s">
        <v>0</v>
      </c>
      <c r="F273" s="19" t="s">
        <v>77</v>
      </c>
    </row>
    <row r="274" spans="1:7" x14ac:dyDescent="0.35">
      <c r="A274" t="s">
        <v>89</v>
      </c>
      <c r="B274" s="29" t="s">
        <v>277</v>
      </c>
      <c r="C274" s="4"/>
      <c r="D274" s="29">
        <v>5</v>
      </c>
      <c r="E274" s="29" t="s">
        <v>278</v>
      </c>
      <c r="F274" s="4">
        <v>1000</v>
      </c>
    </row>
    <row r="275" spans="1:7" x14ac:dyDescent="0.35">
      <c r="A275" t="s">
        <v>301</v>
      </c>
      <c r="B275" s="108" t="s">
        <v>109</v>
      </c>
      <c r="C275" s="108"/>
      <c r="D275" s="108"/>
      <c r="E275" s="108"/>
      <c r="F275" s="62">
        <f>SUM(F274)</f>
        <v>1000</v>
      </c>
    </row>
    <row r="277" spans="1:7" x14ac:dyDescent="0.35">
      <c r="B277" s="22" t="s">
        <v>48</v>
      </c>
      <c r="C277" s="22" t="s">
        <v>49</v>
      </c>
      <c r="D277" s="22" t="s">
        <v>50</v>
      </c>
      <c r="E277" s="22" t="s">
        <v>0</v>
      </c>
      <c r="F277" s="19" t="s">
        <v>77</v>
      </c>
    </row>
    <row r="278" spans="1:7" x14ac:dyDescent="0.35">
      <c r="A278" t="s">
        <v>296</v>
      </c>
      <c r="B278" s="29" t="s">
        <v>294</v>
      </c>
      <c r="C278" s="4" t="s">
        <v>295</v>
      </c>
      <c r="D278" s="4">
        <v>1</v>
      </c>
      <c r="E278" s="4" t="s">
        <v>150</v>
      </c>
      <c r="F278" s="4">
        <v>12000</v>
      </c>
    </row>
    <row r="279" spans="1:7" x14ac:dyDescent="0.35">
      <c r="A279" t="s">
        <v>302</v>
      </c>
      <c r="B279" s="109" t="s">
        <v>109</v>
      </c>
      <c r="C279" s="110"/>
      <c r="D279" s="110"/>
      <c r="E279" s="111"/>
      <c r="F279" s="33">
        <v>12000</v>
      </c>
    </row>
    <row r="281" spans="1:7" ht="29" x14ac:dyDescent="0.35">
      <c r="B281" s="22" t="s">
        <v>48</v>
      </c>
      <c r="C281" s="22" t="s">
        <v>49</v>
      </c>
      <c r="D281" s="22" t="s">
        <v>50</v>
      </c>
      <c r="E281" s="22" t="s">
        <v>0</v>
      </c>
      <c r="F281" s="26" t="s">
        <v>96</v>
      </c>
      <c r="G281" s="19" t="s">
        <v>77</v>
      </c>
    </row>
    <row r="282" spans="1:7" x14ac:dyDescent="0.35">
      <c r="A282" t="s">
        <v>297</v>
      </c>
      <c r="B282" s="4" t="s">
        <v>279</v>
      </c>
      <c r="C282" s="4" t="s">
        <v>264</v>
      </c>
      <c r="D282" s="4">
        <v>2</v>
      </c>
      <c r="E282" s="4" t="s">
        <v>150</v>
      </c>
      <c r="F282" s="4">
        <v>660</v>
      </c>
      <c r="G282" s="4">
        <f>F282*D282</f>
        <v>1320</v>
      </c>
    </row>
    <row r="283" spans="1:7" x14ac:dyDescent="0.35">
      <c r="A283" t="s">
        <v>303</v>
      </c>
      <c r="B283" s="4" t="s">
        <v>280</v>
      </c>
      <c r="C283" s="4" t="s">
        <v>265</v>
      </c>
      <c r="D283" s="4">
        <v>4</v>
      </c>
      <c r="E283" s="4" t="s">
        <v>150</v>
      </c>
      <c r="F283" s="4">
        <v>380</v>
      </c>
      <c r="G283" s="4">
        <f t="shared" ref="G283:G286" si="61">F283*D283</f>
        <v>1520</v>
      </c>
    </row>
    <row r="284" spans="1:7" x14ac:dyDescent="0.35">
      <c r="B284" s="4" t="s">
        <v>280</v>
      </c>
      <c r="C284" s="4" t="s">
        <v>298</v>
      </c>
      <c r="D284" s="4">
        <v>2</v>
      </c>
      <c r="E284" s="4" t="s">
        <v>150</v>
      </c>
      <c r="F284" s="4">
        <v>220</v>
      </c>
      <c r="G284" s="4">
        <f t="shared" si="61"/>
        <v>440</v>
      </c>
    </row>
    <row r="285" spans="1:7" x14ac:dyDescent="0.35">
      <c r="B285" s="4" t="s">
        <v>280</v>
      </c>
      <c r="C285" s="4" t="s">
        <v>266</v>
      </c>
      <c r="D285" s="4">
        <v>4</v>
      </c>
      <c r="E285" s="4" t="s">
        <v>150</v>
      </c>
      <c r="F285" s="4">
        <v>180</v>
      </c>
      <c r="G285" s="4">
        <f t="shared" si="61"/>
        <v>720</v>
      </c>
    </row>
    <row r="286" spans="1:7" x14ac:dyDescent="0.35">
      <c r="B286" s="4" t="s">
        <v>280</v>
      </c>
      <c r="C286" s="4" t="s">
        <v>267</v>
      </c>
      <c r="D286" s="4">
        <v>4</v>
      </c>
      <c r="E286" s="4" t="s">
        <v>150</v>
      </c>
      <c r="F286" s="4">
        <v>105</v>
      </c>
      <c r="G286" s="4">
        <f t="shared" si="61"/>
        <v>420</v>
      </c>
    </row>
    <row r="287" spans="1:7" x14ac:dyDescent="0.35">
      <c r="B287" s="108" t="s">
        <v>109</v>
      </c>
      <c r="C287" s="108"/>
      <c r="D287" s="108"/>
      <c r="E287" s="108"/>
      <c r="F287" s="108"/>
      <c r="G287" s="33">
        <f>SUM(G282:G286)</f>
        <v>4420</v>
      </c>
    </row>
    <row r="289" spans="1:9" x14ac:dyDescent="0.35">
      <c r="B289" s="22" t="s">
        <v>48</v>
      </c>
      <c r="C289" s="22" t="s">
        <v>49</v>
      </c>
      <c r="D289" s="22" t="s">
        <v>50</v>
      </c>
      <c r="E289" s="22" t="s">
        <v>0</v>
      </c>
      <c r="F289" s="19" t="s">
        <v>77</v>
      </c>
    </row>
    <row r="290" spans="1:9" x14ac:dyDescent="0.35">
      <c r="A290" t="s">
        <v>305</v>
      </c>
      <c r="B290" s="29" t="s">
        <v>294</v>
      </c>
      <c r="C290" s="4" t="s">
        <v>304</v>
      </c>
      <c r="D290" s="4">
        <v>1</v>
      </c>
      <c r="E290" s="4" t="s">
        <v>150</v>
      </c>
      <c r="F290" s="37">
        <v>19300</v>
      </c>
    </row>
    <row r="291" spans="1:9" x14ac:dyDescent="0.35">
      <c r="A291" t="s">
        <v>306</v>
      </c>
      <c r="B291" s="108" t="s">
        <v>109</v>
      </c>
      <c r="C291" s="108"/>
      <c r="D291" s="108"/>
      <c r="E291" s="108"/>
      <c r="F291" s="33">
        <f>SUM(F290)</f>
        <v>19300</v>
      </c>
    </row>
    <row r="292" spans="1:9" x14ac:dyDescent="0.35">
      <c r="F292" s="63"/>
    </row>
    <row r="294" spans="1:9" ht="29" x14ac:dyDescent="0.35">
      <c r="B294" s="22" t="s">
        <v>312</v>
      </c>
      <c r="C294" s="22" t="s">
        <v>49</v>
      </c>
      <c r="D294" s="22" t="s">
        <v>50</v>
      </c>
      <c r="E294" s="22" t="s">
        <v>0</v>
      </c>
      <c r="F294" s="26" t="s">
        <v>85</v>
      </c>
      <c r="G294" s="19" t="s">
        <v>75</v>
      </c>
      <c r="H294" s="19" t="s">
        <v>76</v>
      </c>
      <c r="I294" s="19" t="s">
        <v>77</v>
      </c>
    </row>
    <row r="295" spans="1:9" x14ac:dyDescent="0.35">
      <c r="A295" t="s">
        <v>315</v>
      </c>
      <c r="B295" s="4">
        <v>139155</v>
      </c>
      <c r="C295" s="4" t="s">
        <v>313</v>
      </c>
      <c r="D295" s="4">
        <v>200</v>
      </c>
      <c r="E295" s="4" t="s">
        <v>314</v>
      </c>
      <c r="F295" s="4">
        <v>450</v>
      </c>
      <c r="G295" s="4">
        <f>D295*F295</f>
        <v>90000</v>
      </c>
      <c r="H295" s="4">
        <f>16%*G295</f>
        <v>14400</v>
      </c>
      <c r="I295" s="4">
        <f>G295+H295</f>
        <v>104400</v>
      </c>
    </row>
    <row r="296" spans="1:9" x14ac:dyDescent="0.35">
      <c r="A296" t="s">
        <v>316</v>
      </c>
      <c r="B296" s="108" t="s">
        <v>109</v>
      </c>
      <c r="C296" s="108"/>
      <c r="D296" s="108"/>
      <c r="E296" s="108"/>
      <c r="F296" s="108"/>
      <c r="G296" s="108"/>
      <c r="H296" s="108"/>
      <c r="I296" s="33">
        <f>SUM(I295)</f>
        <v>104400</v>
      </c>
    </row>
    <row r="299" spans="1:9" x14ac:dyDescent="0.35">
      <c r="B299" s="22" t="s">
        <v>48</v>
      </c>
      <c r="C299" s="22" t="s">
        <v>49</v>
      </c>
      <c r="D299" s="22" t="s">
        <v>50</v>
      </c>
      <c r="E299" s="22" t="s">
        <v>0</v>
      </c>
    </row>
    <row r="300" spans="1:9" x14ac:dyDescent="0.35">
      <c r="A300" t="s">
        <v>193</v>
      </c>
      <c r="B300" s="4" t="s">
        <v>308</v>
      </c>
      <c r="C300" s="4" t="s">
        <v>307</v>
      </c>
      <c r="D300" s="4">
        <v>6</v>
      </c>
      <c r="E300" s="4" t="s">
        <v>150</v>
      </c>
    </row>
    <row r="301" spans="1:9" x14ac:dyDescent="0.35">
      <c r="A301" t="s">
        <v>320</v>
      </c>
      <c r="B301" s="4" t="s">
        <v>309</v>
      </c>
      <c r="C301" s="4" t="s">
        <v>307</v>
      </c>
      <c r="D301" s="4">
        <v>4</v>
      </c>
      <c r="E301" s="4" t="s">
        <v>150</v>
      </c>
    </row>
    <row r="302" spans="1:9" x14ac:dyDescent="0.35">
      <c r="B302" s="4" t="s">
        <v>310</v>
      </c>
      <c r="C302" s="4"/>
      <c r="D302" s="4">
        <v>2000</v>
      </c>
      <c r="E302" s="4" t="s">
        <v>57</v>
      </c>
    </row>
    <row r="303" spans="1:9" x14ac:dyDescent="0.35">
      <c r="B303" s="4" t="s">
        <v>311</v>
      </c>
      <c r="C303" s="4"/>
      <c r="D303" s="4">
        <v>250</v>
      </c>
      <c r="E303" s="4" t="s">
        <v>57</v>
      </c>
    </row>
    <row r="304" spans="1:9" ht="15.5" x14ac:dyDescent="0.35">
      <c r="B304" s="66" t="s">
        <v>318</v>
      </c>
      <c r="C304" s="49"/>
      <c r="D304" s="49">
        <v>100</v>
      </c>
      <c r="E304" s="49" t="s">
        <v>150</v>
      </c>
    </row>
    <row r="305" spans="1:9" ht="15.5" x14ac:dyDescent="0.35">
      <c r="B305" s="66" t="s">
        <v>319</v>
      </c>
      <c r="C305" s="49"/>
      <c r="D305" s="49">
        <v>100</v>
      </c>
      <c r="E305" s="49" t="s">
        <v>150</v>
      </c>
    </row>
    <row r="307" spans="1:9" ht="29" x14ac:dyDescent="0.35">
      <c r="B307" s="65" t="s">
        <v>48</v>
      </c>
      <c r="C307" s="65" t="s">
        <v>49</v>
      </c>
      <c r="D307" s="65" t="s">
        <v>50</v>
      </c>
      <c r="E307" s="65" t="s">
        <v>0</v>
      </c>
      <c r="F307" s="26" t="s">
        <v>85</v>
      </c>
      <c r="G307" s="19" t="s">
        <v>322</v>
      </c>
      <c r="H307" s="19" t="s">
        <v>76</v>
      </c>
      <c r="I307" s="19" t="s">
        <v>77</v>
      </c>
    </row>
    <row r="308" spans="1:9" x14ac:dyDescent="0.35">
      <c r="A308" t="s">
        <v>323</v>
      </c>
      <c r="B308" s="23" t="s">
        <v>308</v>
      </c>
      <c r="C308" s="23" t="s">
        <v>307</v>
      </c>
      <c r="D308" s="24">
        <v>6</v>
      </c>
      <c r="E308" s="23" t="s">
        <v>150</v>
      </c>
      <c r="F308" s="21">
        <v>80</v>
      </c>
      <c r="G308" s="4">
        <f>F308*D308</f>
        <v>480</v>
      </c>
      <c r="H308" s="4">
        <f>16%*G308</f>
        <v>76.8</v>
      </c>
      <c r="I308" s="4">
        <f>G308+H308</f>
        <v>556.79999999999995</v>
      </c>
    </row>
    <row r="309" spans="1:9" x14ac:dyDescent="0.35">
      <c r="A309" t="s">
        <v>321</v>
      </c>
      <c r="B309" s="23" t="s">
        <v>309</v>
      </c>
      <c r="C309" s="23" t="s">
        <v>307</v>
      </c>
      <c r="D309" s="24">
        <v>4</v>
      </c>
      <c r="E309" s="23" t="s">
        <v>150</v>
      </c>
      <c r="F309" s="64">
        <v>570</v>
      </c>
      <c r="G309" s="4">
        <f>F309*D309</f>
        <v>2280</v>
      </c>
      <c r="H309" s="4">
        <f>16%*G309</f>
        <v>364.8</v>
      </c>
      <c r="I309" s="4">
        <f>G309+H309</f>
        <v>2644.8</v>
      </c>
    </row>
    <row r="310" spans="1:9" x14ac:dyDescent="0.35">
      <c r="B310" s="107" t="s">
        <v>109</v>
      </c>
      <c r="C310" s="107"/>
      <c r="D310" s="107"/>
      <c r="E310" s="107"/>
      <c r="F310" s="108"/>
      <c r="G310" s="108"/>
      <c r="H310" s="108"/>
      <c r="I310" s="33">
        <f>SUM(I308:I309)</f>
        <v>3201.6000000000004</v>
      </c>
    </row>
    <row r="312" spans="1:9" x14ac:dyDescent="0.35">
      <c r="A312" t="s">
        <v>231</v>
      </c>
      <c r="B312" s="22" t="s">
        <v>48</v>
      </c>
      <c r="C312" s="22" t="s">
        <v>410</v>
      </c>
      <c r="D312" s="22" t="s">
        <v>50</v>
      </c>
      <c r="E312" s="22" t="s">
        <v>0</v>
      </c>
      <c r="F312" s="124" t="s">
        <v>74</v>
      </c>
      <c r="G312" s="124" t="s">
        <v>322</v>
      </c>
      <c r="H312" s="124" t="s">
        <v>76</v>
      </c>
      <c r="I312" s="124" t="s">
        <v>77</v>
      </c>
    </row>
    <row r="313" spans="1:9" x14ac:dyDescent="0.35">
      <c r="A313" t="s">
        <v>409</v>
      </c>
      <c r="B313" s="23" t="s">
        <v>411</v>
      </c>
      <c r="C313" s="23" t="s">
        <v>412</v>
      </c>
      <c r="D313" s="24">
        <v>1</v>
      </c>
      <c r="E313" s="23"/>
      <c r="F313" s="121">
        <v>46500</v>
      </c>
      <c r="G313" s="24">
        <v>46500</v>
      </c>
      <c r="H313" s="24">
        <v>7440</v>
      </c>
      <c r="I313" s="24">
        <v>53940</v>
      </c>
    </row>
    <row r="314" spans="1:9" x14ac:dyDescent="0.35">
      <c r="B314" s="122" t="s">
        <v>109</v>
      </c>
      <c r="C314" s="122"/>
      <c r="D314" s="122"/>
      <c r="E314" s="122"/>
      <c r="F314" s="122"/>
      <c r="G314" s="122"/>
      <c r="H314" s="122"/>
      <c r="I314" s="123">
        <v>53940</v>
      </c>
    </row>
    <row r="317" spans="1:9" x14ac:dyDescent="0.35">
      <c r="A317" t="s">
        <v>193</v>
      </c>
      <c r="B317" s="22" t="s">
        <v>48</v>
      </c>
      <c r="C317" s="22" t="s">
        <v>410</v>
      </c>
      <c r="D317" s="22" t="s">
        <v>50</v>
      </c>
      <c r="E317" s="22" t="s">
        <v>0</v>
      </c>
    </row>
    <row r="318" spans="1:9" x14ac:dyDescent="0.35">
      <c r="A318" t="s">
        <v>413</v>
      </c>
      <c r="B318" s="4" t="s">
        <v>218</v>
      </c>
      <c r="C318" s="4"/>
      <c r="D318" s="4">
        <v>5</v>
      </c>
      <c r="E318" s="4" t="s">
        <v>57</v>
      </c>
    </row>
  </sheetData>
  <mergeCells count="28">
    <mergeCell ref="B314:H314"/>
    <mergeCell ref="B119:H119"/>
    <mergeCell ref="B89:H89"/>
    <mergeCell ref="B141:H141"/>
    <mergeCell ref="B271:H271"/>
    <mergeCell ref="B291:E291"/>
    <mergeCell ref="B225:H225"/>
    <mergeCell ref="B170:F170"/>
    <mergeCell ref="B174:F174"/>
    <mergeCell ref="B253:H253"/>
    <mergeCell ref="B154:H154"/>
    <mergeCell ref="B124:H124"/>
    <mergeCell ref="B165:H165"/>
    <mergeCell ref="B213:H213"/>
    <mergeCell ref="B217:H217"/>
    <mergeCell ref="B221:H221"/>
    <mergeCell ref="B145:H145"/>
    <mergeCell ref="A34:H35"/>
    <mergeCell ref="B54:H54"/>
    <mergeCell ref="B97:H97"/>
    <mergeCell ref="B69:F69"/>
    <mergeCell ref="B79:F79"/>
    <mergeCell ref="B310:H310"/>
    <mergeCell ref="B275:E275"/>
    <mergeCell ref="B279:E279"/>
    <mergeCell ref="B287:F287"/>
    <mergeCell ref="B262:H262"/>
    <mergeCell ref="B296:H29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478D-AAFF-41EB-89B9-AEB80B7EEF61}">
  <sheetPr>
    <tabColor rgb="FF002060"/>
  </sheetPr>
  <dimension ref="A1:H116"/>
  <sheetViews>
    <sheetView topLeftCell="A22" workbookViewId="0">
      <selection activeCell="E35" sqref="E35"/>
    </sheetView>
  </sheetViews>
  <sheetFormatPr defaultRowHeight="14.5" x14ac:dyDescent="0.35"/>
  <cols>
    <col min="1" max="1" width="18.54296875" bestFit="1" customWidth="1"/>
    <col min="2" max="2" width="10.81640625" bestFit="1" customWidth="1"/>
    <col min="3" max="3" width="4.81640625" bestFit="1" customWidth="1"/>
    <col min="4" max="4" width="5.26953125" bestFit="1" customWidth="1"/>
    <col min="5" max="5" width="16.1796875" bestFit="1" customWidth="1"/>
    <col min="6" max="6" width="8.1796875" bestFit="1" customWidth="1"/>
    <col min="7" max="7" width="11" bestFit="1" customWidth="1"/>
    <col min="8" max="8" width="13.08984375" bestFit="1" customWidth="1"/>
    <col min="9" max="9" width="17.453125" bestFit="1" customWidth="1"/>
    <col min="10" max="10" width="4.1796875" bestFit="1" customWidth="1"/>
    <col min="11" max="11" width="8.1796875" bestFit="1" customWidth="1"/>
    <col min="12" max="12" width="7.54296875" bestFit="1" customWidth="1"/>
    <col min="13" max="13" width="8.1796875" bestFit="1" customWidth="1"/>
    <col min="14" max="15" width="11" bestFit="1" customWidth="1"/>
  </cols>
  <sheetData>
    <row r="1" spans="1:8" x14ac:dyDescent="0.35">
      <c r="A1" s="119" t="s">
        <v>324</v>
      </c>
      <c r="B1" s="119"/>
      <c r="C1" s="119"/>
      <c r="D1" s="119"/>
      <c r="E1" s="119"/>
      <c r="F1" s="119"/>
      <c r="G1" s="119"/>
      <c r="H1" s="119"/>
    </row>
    <row r="2" spans="1:8" x14ac:dyDescent="0.35">
      <c r="A2" s="120">
        <v>45992</v>
      </c>
      <c r="B2" s="120"/>
      <c r="C2" s="120"/>
      <c r="D2" s="120"/>
      <c r="E2" s="120"/>
      <c r="F2" s="120"/>
      <c r="G2" s="120"/>
      <c r="H2" s="120"/>
    </row>
    <row r="3" spans="1:8" x14ac:dyDescent="0.35">
      <c r="A3" s="22" t="s">
        <v>48</v>
      </c>
      <c r="B3" s="22" t="s">
        <v>49</v>
      </c>
      <c r="C3" s="22" t="s">
        <v>50</v>
      </c>
      <c r="D3" s="22" t="s">
        <v>0</v>
      </c>
      <c r="E3" s="26" t="s">
        <v>85</v>
      </c>
      <c r="F3" s="19" t="s">
        <v>75</v>
      </c>
      <c r="G3" s="19" t="s">
        <v>76</v>
      </c>
      <c r="H3" s="19" t="s">
        <v>77</v>
      </c>
    </row>
    <row r="4" spans="1:8" ht="15.5" x14ac:dyDescent="0.35">
      <c r="A4" s="54" t="s">
        <v>258</v>
      </c>
      <c r="B4" s="4"/>
      <c r="C4" s="54">
        <v>35</v>
      </c>
      <c r="D4" s="54" t="s">
        <v>57</v>
      </c>
      <c r="E4" s="4">
        <v>16</v>
      </c>
      <c r="F4" s="4">
        <f t="shared" ref="F4:F28" si="0">C4*E4</f>
        <v>560</v>
      </c>
      <c r="G4" s="4">
        <f t="shared" ref="G4:G20" si="1">0%*F4</f>
        <v>0</v>
      </c>
      <c r="H4" s="4">
        <f t="shared" ref="H4:H28" si="2">F4+G4</f>
        <v>560</v>
      </c>
    </row>
    <row r="5" spans="1:8" ht="15.5" x14ac:dyDescent="0.35">
      <c r="A5" s="54" t="s">
        <v>239</v>
      </c>
      <c r="B5" s="4"/>
      <c r="C5" s="54">
        <v>36</v>
      </c>
      <c r="D5" s="54" t="s">
        <v>52</v>
      </c>
      <c r="E5" s="4">
        <v>14</v>
      </c>
      <c r="F5" s="4">
        <f t="shared" si="0"/>
        <v>504</v>
      </c>
      <c r="G5" s="4">
        <f t="shared" si="1"/>
        <v>0</v>
      </c>
      <c r="H5" s="4">
        <f t="shared" si="2"/>
        <v>504</v>
      </c>
    </row>
    <row r="6" spans="1:8" ht="15.5" x14ac:dyDescent="0.35">
      <c r="A6" s="54" t="s">
        <v>257</v>
      </c>
      <c r="B6" s="4"/>
      <c r="C6" s="54">
        <v>45</v>
      </c>
      <c r="D6" s="54" t="s">
        <v>57</v>
      </c>
      <c r="E6" s="4">
        <v>5.5</v>
      </c>
      <c r="F6" s="4">
        <f t="shared" si="0"/>
        <v>247.5</v>
      </c>
      <c r="G6" s="4">
        <f t="shared" si="1"/>
        <v>0</v>
      </c>
      <c r="H6" s="4">
        <f t="shared" si="2"/>
        <v>247.5</v>
      </c>
    </row>
    <row r="7" spans="1:8" ht="15.5" x14ac:dyDescent="0.35">
      <c r="A7" s="54" t="s">
        <v>256</v>
      </c>
      <c r="B7" s="4"/>
      <c r="C7" s="54">
        <v>50</v>
      </c>
      <c r="D7" s="54" t="s">
        <v>57</v>
      </c>
      <c r="E7" s="4">
        <v>14</v>
      </c>
      <c r="F7" s="4">
        <f t="shared" si="0"/>
        <v>700</v>
      </c>
      <c r="G7" s="4">
        <f t="shared" si="1"/>
        <v>0</v>
      </c>
      <c r="H7" s="4">
        <f t="shared" si="2"/>
        <v>700</v>
      </c>
    </row>
    <row r="8" spans="1:8" ht="15.5" x14ac:dyDescent="0.35">
      <c r="A8" s="54" t="s">
        <v>262</v>
      </c>
      <c r="B8" s="4"/>
      <c r="C8" s="54">
        <v>25</v>
      </c>
      <c r="D8" s="54" t="s">
        <v>57</v>
      </c>
      <c r="E8" s="4">
        <v>28</v>
      </c>
      <c r="F8" s="4">
        <f t="shared" si="0"/>
        <v>700</v>
      </c>
      <c r="G8" s="4">
        <f t="shared" si="1"/>
        <v>0</v>
      </c>
      <c r="H8" s="4">
        <f t="shared" si="2"/>
        <v>700</v>
      </c>
    </row>
    <row r="9" spans="1:8" ht="15.5" x14ac:dyDescent="0.35">
      <c r="A9" s="54" t="s">
        <v>240</v>
      </c>
      <c r="B9" s="4"/>
      <c r="C9" s="54">
        <v>50</v>
      </c>
      <c r="D9" s="54" t="s">
        <v>57</v>
      </c>
      <c r="E9" s="4">
        <v>3.2</v>
      </c>
      <c r="F9" s="4">
        <f t="shared" si="0"/>
        <v>160</v>
      </c>
      <c r="G9" s="4">
        <f t="shared" si="1"/>
        <v>0</v>
      </c>
      <c r="H9" s="4">
        <f t="shared" si="2"/>
        <v>160</v>
      </c>
    </row>
    <row r="10" spans="1:8" ht="15.5" x14ac:dyDescent="0.35">
      <c r="A10" s="54" t="s">
        <v>259</v>
      </c>
      <c r="B10" s="4"/>
      <c r="C10" s="54">
        <v>10</v>
      </c>
      <c r="D10" s="54" t="s">
        <v>52</v>
      </c>
      <c r="E10" s="4">
        <v>35</v>
      </c>
      <c r="F10" s="4">
        <f t="shared" si="0"/>
        <v>350</v>
      </c>
      <c r="G10" s="4">
        <f t="shared" si="1"/>
        <v>0</v>
      </c>
      <c r="H10" s="4">
        <f t="shared" si="2"/>
        <v>350</v>
      </c>
    </row>
    <row r="11" spans="1:8" ht="15.5" x14ac:dyDescent="0.35">
      <c r="A11" s="54" t="s">
        <v>241</v>
      </c>
      <c r="B11" s="4"/>
      <c r="C11" s="54">
        <v>6</v>
      </c>
      <c r="D11" s="54" t="s">
        <v>52</v>
      </c>
      <c r="E11" s="4">
        <v>45</v>
      </c>
      <c r="F11" s="4">
        <f t="shared" si="0"/>
        <v>270</v>
      </c>
      <c r="G11" s="4">
        <f t="shared" si="1"/>
        <v>0</v>
      </c>
      <c r="H11" s="4">
        <f t="shared" si="2"/>
        <v>270</v>
      </c>
    </row>
    <row r="12" spans="1:8" ht="15.5" x14ac:dyDescent="0.35">
      <c r="A12" s="54" t="s">
        <v>242</v>
      </c>
      <c r="B12" s="4"/>
      <c r="C12" s="54">
        <v>7</v>
      </c>
      <c r="D12" s="54" t="s">
        <v>57</v>
      </c>
      <c r="E12" s="4">
        <v>50</v>
      </c>
      <c r="F12" s="4">
        <f t="shared" si="0"/>
        <v>350</v>
      </c>
      <c r="G12" s="4">
        <f t="shared" si="1"/>
        <v>0</v>
      </c>
      <c r="H12" s="4">
        <f t="shared" si="2"/>
        <v>350</v>
      </c>
    </row>
    <row r="13" spans="1:8" ht="15.5" x14ac:dyDescent="0.35">
      <c r="A13" s="54" t="s">
        <v>243</v>
      </c>
      <c r="B13" s="4"/>
      <c r="C13" s="54">
        <v>4</v>
      </c>
      <c r="D13" s="54" t="s">
        <v>57</v>
      </c>
      <c r="E13" s="4">
        <v>30</v>
      </c>
      <c r="F13" s="4">
        <f t="shared" si="0"/>
        <v>120</v>
      </c>
      <c r="G13" s="4">
        <f t="shared" si="1"/>
        <v>0</v>
      </c>
      <c r="H13" s="4">
        <f t="shared" si="2"/>
        <v>120</v>
      </c>
    </row>
    <row r="14" spans="1:8" ht="15.5" x14ac:dyDescent="0.35">
      <c r="A14" s="54" t="s">
        <v>244</v>
      </c>
      <c r="B14" s="4"/>
      <c r="C14" s="54">
        <v>3</v>
      </c>
      <c r="D14" s="54" t="s">
        <v>57</v>
      </c>
      <c r="E14" s="4">
        <v>28</v>
      </c>
      <c r="F14" s="4">
        <f t="shared" si="0"/>
        <v>84</v>
      </c>
      <c r="G14" s="4">
        <f t="shared" si="1"/>
        <v>0</v>
      </c>
      <c r="H14" s="4">
        <f t="shared" si="2"/>
        <v>84</v>
      </c>
    </row>
    <row r="15" spans="1:8" ht="15.5" x14ac:dyDescent="0.35">
      <c r="A15" s="54" t="s">
        <v>245</v>
      </c>
      <c r="B15" s="4"/>
      <c r="C15" s="54">
        <v>12</v>
      </c>
      <c r="D15" s="54" t="s">
        <v>57</v>
      </c>
      <c r="E15" s="4">
        <v>50</v>
      </c>
      <c r="F15" s="4">
        <f t="shared" si="0"/>
        <v>600</v>
      </c>
      <c r="G15" s="4">
        <f t="shared" si="1"/>
        <v>0</v>
      </c>
      <c r="H15" s="4">
        <f t="shared" si="2"/>
        <v>600</v>
      </c>
    </row>
    <row r="16" spans="1:8" ht="13" customHeight="1" x14ac:dyDescent="0.35">
      <c r="A16" s="54" t="s">
        <v>246</v>
      </c>
      <c r="B16" s="4"/>
      <c r="C16" s="54">
        <v>8</v>
      </c>
      <c r="D16" s="54" t="s">
        <v>52</v>
      </c>
      <c r="E16" s="4">
        <v>180</v>
      </c>
      <c r="F16" s="4">
        <f t="shared" si="0"/>
        <v>1440</v>
      </c>
      <c r="G16" s="4">
        <f t="shared" si="1"/>
        <v>0</v>
      </c>
      <c r="H16" s="4">
        <f t="shared" si="2"/>
        <v>1440</v>
      </c>
    </row>
    <row r="17" spans="1:8" ht="15.5" x14ac:dyDescent="0.35">
      <c r="A17" s="54" t="s">
        <v>247</v>
      </c>
      <c r="B17" s="4"/>
      <c r="C17" s="54">
        <v>10</v>
      </c>
      <c r="D17" s="54" t="s">
        <v>52</v>
      </c>
      <c r="E17" s="4">
        <v>18</v>
      </c>
      <c r="F17" s="4">
        <f t="shared" si="0"/>
        <v>180</v>
      </c>
      <c r="G17" s="4">
        <f t="shared" si="1"/>
        <v>0</v>
      </c>
      <c r="H17" s="4">
        <f t="shared" si="2"/>
        <v>180</v>
      </c>
    </row>
    <row r="18" spans="1:8" ht="15.5" x14ac:dyDescent="0.35">
      <c r="A18" s="54" t="s">
        <v>260</v>
      </c>
      <c r="B18" s="4"/>
      <c r="C18" s="54">
        <v>5</v>
      </c>
      <c r="D18" s="54" t="s">
        <v>57</v>
      </c>
      <c r="E18" s="4">
        <v>50</v>
      </c>
      <c r="F18" s="4">
        <f t="shared" si="0"/>
        <v>250</v>
      </c>
      <c r="G18" s="4">
        <f t="shared" si="1"/>
        <v>0</v>
      </c>
      <c r="H18" s="4">
        <f t="shared" si="2"/>
        <v>250</v>
      </c>
    </row>
    <row r="19" spans="1:8" ht="15.5" x14ac:dyDescent="0.35">
      <c r="A19" s="54" t="s">
        <v>248</v>
      </c>
      <c r="B19" s="4"/>
      <c r="C19" s="54">
        <v>6</v>
      </c>
      <c r="D19" s="54" t="s">
        <v>57</v>
      </c>
      <c r="E19" s="4">
        <v>45</v>
      </c>
      <c r="F19" s="4">
        <f t="shared" si="0"/>
        <v>270</v>
      </c>
      <c r="G19" s="4">
        <f t="shared" si="1"/>
        <v>0</v>
      </c>
      <c r="H19" s="4">
        <f t="shared" si="2"/>
        <v>270</v>
      </c>
    </row>
    <row r="20" spans="1:8" ht="15.5" x14ac:dyDescent="0.35">
      <c r="A20" s="54" t="s">
        <v>249</v>
      </c>
      <c r="B20" s="4"/>
      <c r="C20" s="54">
        <v>5</v>
      </c>
      <c r="D20" s="54" t="s">
        <v>57</v>
      </c>
      <c r="E20" s="4">
        <v>360</v>
      </c>
      <c r="F20" s="4">
        <f t="shared" si="0"/>
        <v>1800</v>
      </c>
      <c r="G20" s="4">
        <f t="shared" si="1"/>
        <v>0</v>
      </c>
      <c r="H20" s="4">
        <f t="shared" si="2"/>
        <v>1800</v>
      </c>
    </row>
    <row r="21" spans="1:8" ht="15.5" x14ac:dyDescent="0.35">
      <c r="A21" s="54" t="s">
        <v>317</v>
      </c>
      <c r="B21" s="4" t="s">
        <v>405</v>
      </c>
      <c r="C21" s="54">
        <v>3</v>
      </c>
      <c r="D21" s="54" t="s">
        <v>106</v>
      </c>
      <c r="E21" s="4">
        <v>30</v>
      </c>
      <c r="F21" s="4">
        <f t="shared" si="0"/>
        <v>90</v>
      </c>
      <c r="G21" s="4">
        <f>16%*F21</f>
        <v>14.4</v>
      </c>
      <c r="H21" s="4">
        <f t="shared" si="2"/>
        <v>104.4</v>
      </c>
    </row>
    <row r="22" spans="1:8" ht="15.5" x14ac:dyDescent="0.35">
      <c r="A22" s="54" t="s">
        <v>253</v>
      </c>
      <c r="B22" s="4"/>
      <c r="C22" s="54">
        <v>100</v>
      </c>
      <c r="D22" s="54" t="s">
        <v>52</v>
      </c>
      <c r="E22" s="4">
        <v>11</v>
      </c>
      <c r="F22" s="4">
        <f t="shared" si="0"/>
        <v>1100</v>
      </c>
      <c r="G22" s="4">
        <f>0%*F22</f>
        <v>0</v>
      </c>
      <c r="H22" s="4">
        <f t="shared" si="2"/>
        <v>1100</v>
      </c>
    </row>
    <row r="23" spans="1:8" ht="15.5" x14ac:dyDescent="0.35">
      <c r="A23" s="54" t="s">
        <v>261</v>
      </c>
      <c r="B23" s="4"/>
      <c r="C23" s="54">
        <v>100</v>
      </c>
      <c r="D23" s="54" t="s">
        <v>52</v>
      </c>
      <c r="E23" s="4">
        <v>21</v>
      </c>
      <c r="F23" s="4">
        <f t="shared" si="0"/>
        <v>2100</v>
      </c>
      <c r="G23" s="4">
        <f>0%*F23</f>
        <v>0</v>
      </c>
      <c r="H23" s="4">
        <f t="shared" si="2"/>
        <v>2100</v>
      </c>
    </row>
    <row r="24" spans="1:8" ht="15.5" x14ac:dyDescent="0.35">
      <c r="A24" s="54" t="s">
        <v>250</v>
      </c>
      <c r="B24" s="4"/>
      <c r="C24" s="54">
        <v>60</v>
      </c>
      <c r="D24" s="54" t="s">
        <v>57</v>
      </c>
      <c r="E24" s="4">
        <v>14</v>
      </c>
      <c r="F24" s="4">
        <f t="shared" si="0"/>
        <v>840</v>
      </c>
      <c r="G24" s="4">
        <f>0%*F24</f>
        <v>0</v>
      </c>
      <c r="H24" s="4">
        <f t="shared" si="2"/>
        <v>840</v>
      </c>
    </row>
    <row r="25" spans="1:8" ht="15.5" x14ac:dyDescent="0.35">
      <c r="A25" s="54" t="s">
        <v>254</v>
      </c>
      <c r="B25" s="4"/>
      <c r="C25" s="54">
        <v>15</v>
      </c>
      <c r="D25" s="54" t="s">
        <v>52</v>
      </c>
      <c r="E25" s="4">
        <v>33</v>
      </c>
      <c r="F25" s="4">
        <f t="shared" si="0"/>
        <v>495</v>
      </c>
      <c r="G25" s="4">
        <f>0%*F25</f>
        <v>0</v>
      </c>
      <c r="H25" s="4">
        <f t="shared" si="2"/>
        <v>495</v>
      </c>
    </row>
    <row r="26" spans="1:8" ht="15.5" x14ac:dyDescent="0.35">
      <c r="A26" s="54" t="s">
        <v>251</v>
      </c>
      <c r="B26" s="4"/>
      <c r="C26" s="54">
        <v>3</v>
      </c>
      <c r="D26" s="54" t="s">
        <v>57</v>
      </c>
      <c r="E26" s="4">
        <v>80</v>
      </c>
      <c r="F26" s="4">
        <f t="shared" si="0"/>
        <v>240</v>
      </c>
      <c r="G26" s="4">
        <f>0%*F26</f>
        <v>0</v>
      </c>
      <c r="H26" s="4">
        <f t="shared" si="2"/>
        <v>240</v>
      </c>
    </row>
    <row r="27" spans="1:8" ht="15.5" x14ac:dyDescent="0.35">
      <c r="A27" s="54" t="s">
        <v>252</v>
      </c>
      <c r="B27" s="4"/>
      <c r="C27" s="54">
        <v>1</v>
      </c>
      <c r="D27" s="54" t="s">
        <v>69</v>
      </c>
      <c r="E27" s="4">
        <v>14.5</v>
      </c>
      <c r="F27" s="4">
        <f t="shared" si="0"/>
        <v>14.5</v>
      </c>
      <c r="G27" s="4">
        <f>16%*F27</f>
        <v>2.3199999999999998</v>
      </c>
      <c r="H27" s="4">
        <f t="shared" si="2"/>
        <v>16.82</v>
      </c>
    </row>
    <row r="28" spans="1:8" ht="15.5" x14ac:dyDescent="0.35">
      <c r="A28" s="54" t="s">
        <v>255</v>
      </c>
      <c r="B28" s="4"/>
      <c r="C28" s="4">
        <v>1000</v>
      </c>
      <c r="D28" s="54" t="s">
        <v>62</v>
      </c>
      <c r="E28" s="4">
        <v>0.38</v>
      </c>
      <c r="F28" s="4">
        <f t="shared" si="0"/>
        <v>380</v>
      </c>
      <c r="G28" s="4">
        <f>0%*F28</f>
        <v>0</v>
      </c>
      <c r="H28" s="4">
        <f t="shared" si="2"/>
        <v>380</v>
      </c>
    </row>
    <row r="29" spans="1:8" x14ac:dyDescent="0.35">
      <c r="A29" s="91" t="s">
        <v>310</v>
      </c>
      <c r="B29" s="91"/>
      <c r="C29" s="91">
        <v>2000</v>
      </c>
      <c r="D29" s="91" t="s">
        <v>57</v>
      </c>
      <c r="E29" s="91"/>
      <c r="F29" s="91"/>
      <c r="G29" s="91"/>
      <c r="H29" s="91"/>
    </row>
    <row r="30" spans="1:8" x14ac:dyDescent="0.35">
      <c r="A30" s="91" t="s">
        <v>311</v>
      </c>
      <c r="B30" s="91"/>
      <c r="C30" s="91">
        <v>250</v>
      </c>
      <c r="D30" s="91" t="s">
        <v>57</v>
      </c>
      <c r="E30" s="91"/>
      <c r="F30" s="91"/>
      <c r="G30" s="91"/>
      <c r="H30" s="91"/>
    </row>
    <row r="31" spans="1:8" ht="15.5" x14ac:dyDescent="0.35">
      <c r="A31" s="100" t="s">
        <v>318</v>
      </c>
      <c r="B31" s="91"/>
      <c r="C31" s="91">
        <v>100</v>
      </c>
      <c r="D31" s="91" t="s">
        <v>150</v>
      </c>
      <c r="E31" s="91"/>
      <c r="F31" s="91"/>
      <c r="G31" s="91"/>
      <c r="H31" s="91"/>
    </row>
    <row r="32" spans="1:8" ht="15.5" x14ac:dyDescent="0.35">
      <c r="A32" s="100" t="s">
        <v>319</v>
      </c>
      <c r="B32" s="91"/>
      <c r="C32" s="91">
        <v>100</v>
      </c>
      <c r="D32" s="91" t="s">
        <v>150</v>
      </c>
      <c r="E32" s="91"/>
      <c r="F32" s="91"/>
      <c r="G32" s="91"/>
      <c r="H32" s="91"/>
    </row>
    <row r="33" spans="1:8" x14ac:dyDescent="0.35">
      <c r="A33" s="91" t="s">
        <v>218</v>
      </c>
      <c r="B33" s="91"/>
      <c r="C33" s="91">
        <v>5</v>
      </c>
      <c r="D33" s="91" t="s">
        <v>57</v>
      </c>
      <c r="E33" s="91"/>
      <c r="F33" s="91"/>
      <c r="G33" s="91"/>
      <c r="H33" s="91"/>
    </row>
    <row r="34" spans="1:8" x14ac:dyDescent="0.35">
      <c r="A34" s="108" t="s">
        <v>109</v>
      </c>
      <c r="B34" s="108"/>
      <c r="C34" s="108"/>
      <c r="D34" s="108"/>
      <c r="E34" s="108"/>
      <c r="F34" s="108"/>
      <c r="G34" s="108"/>
      <c r="H34" s="39">
        <f>SUM(H4:H32)</f>
        <v>13861.72</v>
      </c>
    </row>
    <row r="57" ht="13.5" customHeight="1" x14ac:dyDescent="0.35"/>
    <row r="58" ht="16.5" customHeight="1" x14ac:dyDescent="0.35"/>
    <row r="61" ht="26.5" customHeight="1" x14ac:dyDescent="0.35"/>
    <row r="87" spans="1:6" x14ac:dyDescent="0.35">
      <c r="A87" s="10"/>
      <c r="B87" s="10"/>
      <c r="C87" s="10"/>
      <c r="D87" s="10"/>
      <c r="E87" s="10"/>
      <c r="F87" s="10"/>
    </row>
    <row r="116" spans="1:6" x14ac:dyDescent="0.35">
      <c r="A116" s="10"/>
      <c r="B116" s="10"/>
      <c r="C116" s="10"/>
      <c r="D116" s="10"/>
      <c r="E116" s="10"/>
      <c r="F116" s="10"/>
    </row>
  </sheetData>
  <mergeCells count="3">
    <mergeCell ref="A1:H1"/>
    <mergeCell ref="A2:H2"/>
    <mergeCell ref="A34:G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7305-E24F-4D8C-A4BA-9576A1AC4E92}">
  <sheetPr>
    <tabColor rgb="FF00B0F0"/>
  </sheetPr>
  <dimension ref="A1:F52"/>
  <sheetViews>
    <sheetView topLeftCell="A34" workbookViewId="0">
      <selection activeCell="B55" sqref="B55"/>
    </sheetView>
  </sheetViews>
  <sheetFormatPr defaultRowHeight="14.5" x14ac:dyDescent="0.35"/>
  <cols>
    <col min="1" max="1" width="23.1796875" bestFit="1" customWidth="1"/>
    <col min="2" max="2" width="62.26953125" bestFit="1" customWidth="1"/>
    <col min="3" max="3" width="6.26953125" bestFit="1" customWidth="1"/>
    <col min="4" max="4" width="5.1796875" bestFit="1" customWidth="1"/>
    <col min="5" max="5" width="4.90625" bestFit="1" customWidth="1"/>
    <col min="6" max="6" width="13.08984375" bestFit="1" customWidth="1"/>
  </cols>
  <sheetData>
    <row r="1" spans="1:6" ht="29" x14ac:dyDescent="0.35">
      <c r="A1" s="67" t="s">
        <v>48</v>
      </c>
      <c r="B1" s="67" t="s">
        <v>49</v>
      </c>
      <c r="C1" s="44" t="s">
        <v>50</v>
      </c>
      <c r="D1" s="45" t="s">
        <v>0</v>
      </c>
      <c r="E1" s="68" t="s">
        <v>74</v>
      </c>
      <c r="F1" s="22" t="s">
        <v>77</v>
      </c>
    </row>
    <row r="2" spans="1:6" ht="15.5" x14ac:dyDescent="0.35">
      <c r="A2" s="69" t="s">
        <v>239</v>
      </c>
      <c r="B2" s="70" t="s">
        <v>325</v>
      </c>
      <c r="C2" s="54">
        <v>36</v>
      </c>
      <c r="D2" s="54" t="s">
        <v>52</v>
      </c>
      <c r="E2" s="4">
        <v>14</v>
      </c>
      <c r="F2" s="4">
        <f t="shared" ref="F2:F23" si="0">E2*C2</f>
        <v>504</v>
      </c>
    </row>
    <row r="3" spans="1:6" ht="15.5" x14ac:dyDescent="0.35">
      <c r="A3" s="69" t="s">
        <v>326</v>
      </c>
      <c r="B3" s="70" t="s">
        <v>327</v>
      </c>
      <c r="C3" s="54">
        <v>4</v>
      </c>
      <c r="D3" s="54" t="s">
        <v>57</v>
      </c>
      <c r="E3" s="54">
        <v>88</v>
      </c>
      <c r="F3" s="4">
        <f t="shared" si="0"/>
        <v>352</v>
      </c>
    </row>
    <row r="4" spans="1:6" ht="15.5" x14ac:dyDescent="0.35">
      <c r="A4" s="69" t="s">
        <v>257</v>
      </c>
      <c r="B4" s="70" t="s">
        <v>328</v>
      </c>
      <c r="C4" s="54">
        <v>30</v>
      </c>
      <c r="D4" s="54" t="s">
        <v>57</v>
      </c>
      <c r="E4" s="54">
        <v>5.5</v>
      </c>
      <c r="F4" s="4">
        <f t="shared" si="0"/>
        <v>165</v>
      </c>
    </row>
    <row r="5" spans="1:6" ht="15.5" x14ac:dyDescent="0.35">
      <c r="A5" s="69" t="s">
        <v>256</v>
      </c>
      <c r="B5" s="70" t="s">
        <v>329</v>
      </c>
      <c r="C5" s="54">
        <v>30</v>
      </c>
      <c r="D5" s="54" t="s">
        <v>57</v>
      </c>
      <c r="E5" s="54">
        <v>14</v>
      </c>
      <c r="F5" s="4">
        <f t="shared" si="0"/>
        <v>420</v>
      </c>
    </row>
    <row r="6" spans="1:6" ht="15.5" x14ac:dyDescent="0.35">
      <c r="A6" s="69" t="s">
        <v>330</v>
      </c>
      <c r="B6" s="70" t="s">
        <v>331</v>
      </c>
      <c r="C6" s="54">
        <v>6</v>
      </c>
      <c r="D6" s="54" t="s">
        <v>57</v>
      </c>
      <c r="E6" s="54">
        <v>50</v>
      </c>
      <c r="F6" s="4">
        <f t="shared" si="0"/>
        <v>300</v>
      </c>
    </row>
    <row r="7" spans="1:6" ht="15.5" x14ac:dyDescent="0.35">
      <c r="A7" s="69" t="s">
        <v>332</v>
      </c>
      <c r="B7" s="70" t="s">
        <v>333</v>
      </c>
      <c r="C7" s="54">
        <v>4</v>
      </c>
      <c r="D7" s="54" t="s">
        <v>52</v>
      </c>
      <c r="E7" s="54">
        <v>50</v>
      </c>
      <c r="F7" s="4">
        <f t="shared" si="0"/>
        <v>200</v>
      </c>
    </row>
    <row r="8" spans="1:6" ht="15.5" x14ac:dyDescent="0.35">
      <c r="A8" s="69" t="s">
        <v>44</v>
      </c>
      <c r="B8" s="70" t="s">
        <v>334</v>
      </c>
      <c r="C8" s="54">
        <v>2</v>
      </c>
      <c r="D8" s="54" t="s">
        <v>52</v>
      </c>
      <c r="E8" s="54">
        <v>165</v>
      </c>
      <c r="F8" s="4">
        <f t="shared" si="0"/>
        <v>330</v>
      </c>
    </row>
    <row r="9" spans="1:6" ht="15.5" x14ac:dyDescent="0.35">
      <c r="A9" s="71" t="s">
        <v>335</v>
      </c>
      <c r="B9" s="72" t="s">
        <v>336</v>
      </c>
      <c r="C9" s="66">
        <v>12</v>
      </c>
      <c r="D9" s="66" t="s">
        <v>52</v>
      </c>
      <c r="E9" s="49">
        <v>15</v>
      </c>
      <c r="F9" s="49">
        <f t="shared" si="0"/>
        <v>180</v>
      </c>
    </row>
    <row r="10" spans="1:6" ht="15.5" x14ac:dyDescent="0.35">
      <c r="A10" s="71" t="s">
        <v>337</v>
      </c>
      <c r="B10" s="72" t="s">
        <v>338</v>
      </c>
      <c r="C10" s="66">
        <v>10</v>
      </c>
      <c r="D10" s="66" t="s">
        <v>52</v>
      </c>
      <c r="E10" s="66">
        <v>35</v>
      </c>
      <c r="F10" s="49">
        <f t="shared" si="0"/>
        <v>350</v>
      </c>
    </row>
    <row r="11" spans="1:6" ht="15.5" x14ac:dyDescent="0.35">
      <c r="A11" s="69" t="s">
        <v>339</v>
      </c>
      <c r="B11" s="70" t="s">
        <v>340</v>
      </c>
      <c r="C11" s="54">
        <v>25</v>
      </c>
      <c r="D11" s="54" t="s">
        <v>57</v>
      </c>
      <c r="E11" s="54">
        <v>3.2</v>
      </c>
      <c r="F11" s="4">
        <f t="shared" si="0"/>
        <v>80</v>
      </c>
    </row>
    <row r="12" spans="1:6" ht="15.5" x14ac:dyDescent="0.35">
      <c r="A12" s="69" t="s">
        <v>341</v>
      </c>
      <c r="B12" s="70" t="s">
        <v>342</v>
      </c>
      <c r="C12" s="54">
        <v>10</v>
      </c>
      <c r="D12" s="54" t="s">
        <v>57</v>
      </c>
      <c r="E12" s="54">
        <v>24</v>
      </c>
      <c r="F12" s="4">
        <f t="shared" si="0"/>
        <v>240</v>
      </c>
    </row>
    <row r="13" spans="1:6" ht="15.5" x14ac:dyDescent="0.35">
      <c r="A13" s="71" t="s">
        <v>343</v>
      </c>
      <c r="B13" s="72" t="s">
        <v>342</v>
      </c>
      <c r="C13" s="66">
        <v>10</v>
      </c>
      <c r="D13" s="66" t="s">
        <v>52</v>
      </c>
      <c r="E13" s="66">
        <v>30</v>
      </c>
      <c r="F13" s="49">
        <f t="shared" si="0"/>
        <v>300</v>
      </c>
    </row>
    <row r="14" spans="1:6" ht="15.5" x14ac:dyDescent="0.35">
      <c r="A14" s="71" t="s">
        <v>344</v>
      </c>
      <c r="B14" s="72" t="s">
        <v>345</v>
      </c>
      <c r="C14" s="66">
        <v>3</v>
      </c>
      <c r="D14" s="66" t="s">
        <v>57</v>
      </c>
      <c r="E14" s="66">
        <v>105</v>
      </c>
      <c r="F14" s="49">
        <f t="shared" si="0"/>
        <v>315</v>
      </c>
    </row>
    <row r="15" spans="1:6" ht="15.5" x14ac:dyDescent="0.35">
      <c r="A15" s="69" t="s">
        <v>241</v>
      </c>
      <c r="B15" s="70" t="s">
        <v>346</v>
      </c>
      <c r="C15" s="54">
        <v>1</v>
      </c>
      <c r="D15" s="54" t="s">
        <v>52</v>
      </c>
      <c r="E15" s="54">
        <v>60</v>
      </c>
      <c r="F15" s="4">
        <f t="shared" si="0"/>
        <v>60</v>
      </c>
    </row>
    <row r="16" spans="1:6" ht="15.5" x14ac:dyDescent="0.35">
      <c r="A16" s="69" t="s">
        <v>30</v>
      </c>
      <c r="B16" s="70" t="s">
        <v>347</v>
      </c>
      <c r="C16" s="54">
        <v>5</v>
      </c>
      <c r="D16" s="54" t="s">
        <v>57</v>
      </c>
      <c r="E16" s="73">
        <v>50</v>
      </c>
      <c r="F16" s="4">
        <f t="shared" si="0"/>
        <v>250</v>
      </c>
    </row>
    <row r="17" spans="1:6" ht="15.5" x14ac:dyDescent="0.35">
      <c r="A17" s="71" t="s">
        <v>348</v>
      </c>
      <c r="B17" s="74" t="s">
        <v>349</v>
      </c>
      <c r="C17" s="66">
        <v>7</v>
      </c>
      <c r="D17" s="66" t="s">
        <v>57</v>
      </c>
      <c r="E17" s="66">
        <v>30</v>
      </c>
      <c r="F17" s="49">
        <f t="shared" si="0"/>
        <v>210</v>
      </c>
    </row>
    <row r="18" spans="1:6" ht="15.5" x14ac:dyDescent="0.35">
      <c r="A18" s="71" t="s">
        <v>350</v>
      </c>
      <c r="B18" s="75" t="s">
        <v>351</v>
      </c>
      <c r="C18" s="54">
        <v>2</v>
      </c>
      <c r="D18" s="54" t="s">
        <v>57</v>
      </c>
      <c r="E18" s="54">
        <v>28</v>
      </c>
      <c r="F18" s="4">
        <f t="shared" si="0"/>
        <v>56</v>
      </c>
    </row>
    <row r="19" spans="1:6" ht="15.5" x14ac:dyDescent="0.35">
      <c r="A19" s="69" t="s">
        <v>352</v>
      </c>
      <c r="B19" s="75" t="s">
        <v>353</v>
      </c>
      <c r="C19" s="54">
        <v>6</v>
      </c>
      <c r="D19" s="54" t="s">
        <v>57</v>
      </c>
      <c r="E19" s="54">
        <v>50</v>
      </c>
      <c r="F19" s="4">
        <f t="shared" si="0"/>
        <v>300</v>
      </c>
    </row>
    <row r="20" spans="1:6" ht="15.5" x14ac:dyDescent="0.35">
      <c r="A20" s="71" t="s">
        <v>354</v>
      </c>
      <c r="B20" s="76" t="s">
        <v>355</v>
      </c>
      <c r="C20" s="66">
        <v>3</v>
      </c>
      <c r="D20" s="66" t="s">
        <v>52</v>
      </c>
      <c r="E20" s="66">
        <v>210</v>
      </c>
      <c r="F20" s="49">
        <f t="shared" si="0"/>
        <v>630</v>
      </c>
    </row>
    <row r="21" spans="1:6" ht="15.5" x14ac:dyDescent="0.35">
      <c r="A21" s="71" t="s">
        <v>249</v>
      </c>
      <c r="B21" s="76" t="s">
        <v>356</v>
      </c>
      <c r="C21" s="66">
        <v>3</v>
      </c>
      <c r="D21" s="66" t="s">
        <v>57</v>
      </c>
      <c r="E21" s="66">
        <v>360</v>
      </c>
      <c r="F21" s="49">
        <f t="shared" si="0"/>
        <v>1080</v>
      </c>
    </row>
    <row r="22" spans="1:6" ht="14.5" customHeight="1" x14ac:dyDescent="0.35">
      <c r="A22" s="71" t="s">
        <v>357</v>
      </c>
      <c r="B22" s="77" t="s">
        <v>358</v>
      </c>
      <c r="C22" s="66">
        <v>3</v>
      </c>
      <c r="D22" s="66" t="s">
        <v>62</v>
      </c>
      <c r="E22" s="66">
        <v>40</v>
      </c>
      <c r="F22" s="49">
        <f t="shared" si="0"/>
        <v>120</v>
      </c>
    </row>
    <row r="23" spans="1:6" ht="15" customHeight="1" x14ac:dyDescent="0.35">
      <c r="A23" s="69" t="s">
        <v>359</v>
      </c>
      <c r="B23" s="78" t="s">
        <v>360</v>
      </c>
      <c r="C23" s="54">
        <v>2</v>
      </c>
      <c r="D23" s="54" t="s">
        <v>52</v>
      </c>
      <c r="E23" s="54">
        <v>180</v>
      </c>
      <c r="F23" s="4">
        <f t="shared" si="0"/>
        <v>360</v>
      </c>
    </row>
    <row r="24" spans="1:6" ht="15.5" x14ac:dyDescent="0.35">
      <c r="A24" s="99" t="s">
        <v>404</v>
      </c>
      <c r="B24" s="91"/>
      <c r="C24" s="100">
        <v>100</v>
      </c>
      <c r="D24" s="100" t="s">
        <v>52</v>
      </c>
      <c r="E24" s="91"/>
      <c r="F24" s="91"/>
    </row>
    <row r="25" spans="1:6" ht="15.5" x14ac:dyDescent="0.35">
      <c r="A25" s="69" t="s">
        <v>361</v>
      </c>
      <c r="B25" s="69" t="s">
        <v>362</v>
      </c>
      <c r="C25" s="54">
        <v>100</v>
      </c>
      <c r="D25" s="79" t="s">
        <v>150</v>
      </c>
      <c r="E25" s="4">
        <v>1</v>
      </c>
      <c r="F25" s="4">
        <f t="shared" ref="F25:F36" si="1">E25*C25</f>
        <v>100</v>
      </c>
    </row>
    <row r="26" spans="1:6" ht="15.5" x14ac:dyDescent="0.35">
      <c r="A26" s="69" t="s">
        <v>363</v>
      </c>
      <c r="B26" s="75" t="s">
        <v>364</v>
      </c>
      <c r="C26" s="54">
        <v>2</v>
      </c>
      <c r="D26" s="54" t="s">
        <v>52</v>
      </c>
      <c r="E26" s="73">
        <v>18</v>
      </c>
      <c r="F26" s="4">
        <f t="shared" si="1"/>
        <v>36</v>
      </c>
    </row>
    <row r="27" spans="1:6" ht="26" customHeight="1" x14ac:dyDescent="0.35">
      <c r="A27" s="69" t="s">
        <v>365</v>
      </c>
      <c r="B27" s="80" t="s">
        <v>366</v>
      </c>
      <c r="C27" s="54">
        <v>3</v>
      </c>
      <c r="D27" s="54" t="s">
        <v>150</v>
      </c>
      <c r="E27" s="73">
        <v>30</v>
      </c>
      <c r="F27" s="4">
        <f t="shared" si="1"/>
        <v>90</v>
      </c>
    </row>
    <row r="28" spans="1:6" ht="15.5" x14ac:dyDescent="0.35">
      <c r="A28" s="69" t="s">
        <v>367</v>
      </c>
      <c r="B28" s="75" t="s">
        <v>368</v>
      </c>
      <c r="C28" s="54">
        <v>100</v>
      </c>
      <c r="D28" s="54" t="s">
        <v>52</v>
      </c>
      <c r="E28" s="54">
        <v>11</v>
      </c>
      <c r="F28" s="4">
        <f t="shared" si="1"/>
        <v>1100</v>
      </c>
    </row>
    <row r="29" spans="1:6" ht="15.5" x14ac:dyDescent="0.35">
      <c r="A29" s="71" t="s">
        <v>261</v>
      </c>
      <c r="B29" s="72" t="s">
        <v>369</v>
      </c>
      <c r="C29" s="66">
        <v>60</v>
      </c>
      <c r="D29" s="66" t="s">
        <v>52</v>
      </c>
      <c r="E29" s="66">
        <v>21</v>
      </c>
      <c r="F29" s="49">
        <f t="shared" si="1"/>
        <v>1260</v>
      </c>
    </row>
    <row r="30" spans="1:6" ht="15.5" x14ac:dyDescent="0.35">
      <c r="A30" s="69" t="s">
        <v>370</v>
      </c>
      <c r="B30" s="75" t="s">
        <v>371</v>
      </c>
      <c r="C30" s="54">
        <v>10</v>
      </c>
      <c r="D30" s="54" t="s">
        <v>52</v>
      </c>
      <c r="E30" s="54">
        <v>33</v>
      </c>
      <c r="F30" s="4">
        <f t="shared" si="1"/>
        <v>330</v>
      </c>
    </row>
    <row r="31" spans="1:6" ht="15.5" x14ac:dyDescent="0.35">
      <c r="A31" s="69" t="s">
        <v>372</v>
      </c>
      <c r="B31" s="75" t="s">
        <v>373</v>
      </c>
      <c r="C31" s="54">
        <v>5</v>
      </c>
      <c r="D31" s="54" t="s">
        <v>52</v>
      </c>
      <c r="E31" s="54">
        <v>33</v>
      </c>
      <c r="F31" s="4">
        <f t="shared" si="1"/>
        <v>165</v>
      </c>
    </row>
    <row r="32" spans="1:6" ht="15.5" x14ac:dyDescent="0.35">
      <c r="A32" s="69" t="s">
        <v>251</v>
      </c>
      <c r="B32" s="75" t="s">
        <v>374</v>
      </c>
      <c r="C32" s="54">
        <v>1</v>
      </c>
      <c r="D32" s="54" t="s">
        <v>57</v>
      </c>
      <c r="E32" s="54">
        <v>80</v>
      </c>
      <c r="F32" s="4">
        <f t="shared" si="1"/>
        <v>80</v>
      </c>
    </row>
    <row r="33" spans="1:6" ht="15.5" x14ac:dyDescent="0.35">
      <c r="A33" s="69" t="s">
        <v>375</v>
      </c>
      <c r="B33" s="75" t="s">
        <v>376</v>
      </c>
      <c r="C33" s="54">
        <v>3</v>
      </c>
      <c r="D33" s="69" t="s">
        <v>52</v>
      </c>
      <c r="E33" s="69">
        <v>50</v>
      </c>
      <c r="F33" s="4">
        <f t="shared" si="1"/>
        <v>150</v>
      </c>
    </row>
    <row r="34" spans="1:6" ht="15.5" x14ac:dyDescent="0.35">
      <c r="A34" s="69" t="s">
        <v>377</v>
      </c>
      <c r="B34" s="69" t="s">
        <v>378</v>
      </c>
      <c r="C34" s="54">
        <v>20</v>
      </c>
      <c r="D34" s="54" t="s">
        <v>52</v>
      </c>
      <c r="E34" s="54">
        <v>40</v>
      </c>
      <c r="F34" s="4">
        <f t="shared" si="1"/>
        <v>800</v>
      </c>
    </row>
    <row r="35" spans="1:6" ht="15.5" x14ac:dyDescent="0.35">
      <c r="A35" s="69" t="s">
        <v>250</v>
      </c>
      <c r="B35" s="69" t="s">
        <v>379</v>
      </c>
      <c r="C35" s="54">
        <v>20</v>
      </c>
      <c r="D35" s="54" t="s">
        <v>57</v>
      </c>
      <c r="E35" s="54">
        <v>14</v>
      </c>
      <c r="F35" s="4">
        <f t="shared" si="1"/>
        <v>280</v>
      </c>
    </row>
    <row r="36" spans="1:6" ht="14" customHeight="1" x14ac:dyDescent="0.35">
      <c r="A36" s="69" t="s">
        <v>380</v>
      </c>
      <c r="B36" s="78" t="s">
        <v>381</v>
      </c>
      <c r="C36" s="54">
        <v>3</v>
      </c>
      <c r="D36" s="54" t="s">
        <v>52</v>
      </c>
      <c r="E36" s="54">
        <v>370</v>
      </c>
      <c r="F36" s="4">
        <f t="shared" si="1"/>
        <v>1110</v>
      </c>
    </row>
    <row r="37" spans="1:6" x14ac:dyDescent="0.35">
      <c r="A37" s="101" t="s">
        <v>387</v>
      </c>
      <c r="B37" s="102"/>
      <c r="C37" s="101">
        <v>25</v>
      </c>
      <c r="D37" s="91" t="s">
        <v>57</v>
      </c>
      <c r="E37" s="103"/>
      <c r="F37" s="104"/>
    </row>
    <row r="38" spans="1:6" x14ac:dyDescent="0.35">
      <c r="A38" s="101" t="s">
        <v>388</v>
      </c>
      <c r="B38" s="102"/>
      <c r="C38" s="101">
        <v>45</v>
      </c>
      <c r="D38" s="91" t="s">
        <v>57</v>
      </c>
      <c r="E38" s="91"/>
      <c r="F38" s="91"/>
    </row>
    <row r="39" spans="1:6" x14ac:dyDescent="0.35">
      <c r="A39" s="79" t="s">
        <v>255</v>
      </c>
      <c r="B39" s="82"/>
      <c r="C39" s="83">
        <v>2000</v>
      </c>
      <c r="D39" s="4" t="s">
        <v>57</v>
      </c>
      <c r="E39" s="4">
        <v>0.38</v>
      </c>
      <c r="F39" s="4">
        <f t="shared" ref="F39:F49" si="2">C39*E39</f>
        <v>760</v>
      </c>
    </row>
    <row r="40" spans="1:6" x14ac:dyDescent="0.35">
      <c r="A40" s="106" t="s">
        <v>382</v>
      </c>
      <c r="B40" s="91"/>
      <c r="C40" s="106">
        <v>20</v>
      </c>
      <c r="D40" s="91" t="s">
        <v>52</v>
      </c>
      <c r="E40" s="91"/>
      <c r="F40" s="91">
        <f t="shared" si="2"/>
        <v>0</v>
      </c>
    </row>
    <row r="41" spans="1:6" x14ac:dyDescent="0.35">
      <c r="A41" s="84" t="s">
        <v>383</v>
      </c>
      <c r="B41" s="4"/>
      <c r="C41" s="85">
        <v>13</v>
      </c>
      <c r="D41" s="4" t="s">
        <v>150</v>
      </c>
      <c r="E41" s="4">
        <v>23</v>
      </c>
      <c r="F41" s="4">
        <f t="shared" si="2"/>
        <v>299</v>
      </c>
    </row>
    <row r="42" spans="1:6" x14ac:dyDescent="0.35">
      <c r="A42" s="99" t="s">
        <v>384</v>
      </c>
      <c r="B42" s="91"/>
      <c r="C42" s="91">
        <v>15</v>
      </c>
      <c r="D42" s="91" t="s">
        <v>386</v>
      </c>
      <c r="E42" s="91"/>
      <c r="F42" s="91">
        <f t="shared" si="2"/>
        <v>0</v>
      </c>
    </row>
    <row r="43" spans="1:6" x14ac:dyDescent="0.35">
      <c r="A43" s="99" t="s">
        <v>385</v>
      </c>
      <c r="B43" s="91"/>
      <c r="C43" s="91">
        <v>12</v>
      </c>
      <c r="D43" s="91" t="s">
        <v>150</v>
      </c>
      <c r="E43" s="91"/>
      <c r="F43" s="91">
        <f t="shared" si="2"/>
        <v>0</v>
      </c>
    </row>
    <row r="44" spans="1:6" x14ac:dyDescent="0.35">
      <c r="A44" s="81" t="s">
        <v>350</v>
      </c>
      <c r="B44" s="4"/>
      <c r="C44" s="4">
        <v>5</v>
      </c>
      <c r="D44" s="4" t="s">
        <v>57</v>
      </c>
      <c r="E44" s="4">
        <v>28</v>
      </c>
      <c r="F44" s="4">
        <f t="shared" si="2"/>
        <v>140</v>
      </c>
    </row>
    <row r="45" spans="1:6" x14ac:dyDescent="0.35">
      <c r="A45" s="91" t="s">
        <v>212</v>
      </c>
      <c r="B45" s="91" t="s">
        <v>213</v>
      </c>
      <c r="C45" s="91">
        <v>500</v>
      </c>
      <c r="D45" s="91" t="s">
        <v>150</v>
      </c>
      <c r="E45" s="91"/>
      <c r="F45" s="91">
        <f t="shared" si="2"/>
        <v>0</v>
      </c>
    </row>
    <row r="46" spans="1:6" x14ac:dyDescent="0.35">
      <c r="A46" s="4" t="s">
        <v>59</v>
      </c>
      <c r="B46" s="4"/>
      <c r="C46" s="4">
        <v>3</v>
      </c>
      <c r="D46" s="4" t="s">
        <v>52</v>
      </c>
      <c r="E46" s="4">
        <v>180</v>
      </c>
      <c r="F46" s="4">
        <f t="shared" si="2"/>
        <v>540</v>
      </c>
    </row>
    <row r="47" spans="1:6" x14ac:dyDescent="0.35">
      <c r="A47" s="4" t="s">
        <v>60</v>
      </c>
      <c r="B47" s="4"/>
      <c r="C47" s="4">
        <v>3</v>
      </c>
      <c r="D47" s="4" t="s">
        <v>52</v>
      </c>
      <c r="E47" s="4">
        <v>30</v>
      </c>
      <c r="F47" s="4">
        <f t="shared" si="2"/>
        <v>90</v>
      </c>
    </row>
    <row r="48" spans="1:6" x14ac:dyDescent="0.35">
      <c r="A48" s="4" t="s">
        <v>195</v>
      </c>
      <c r="B48" s="4"/>
      <c r="C48" s="4">
        <v>3</v>
      </c>
      <c r="D48" s="4" t="s">
        <v>57</v>
      </c>
      <c r="E48" s="4">
        <v>50</v>
      </c>
      <c r="F48" s="4">
        <f t="shared" si="2"/>
        <v>150</v>
      </c>
    </row>
    <row r="49" spans="1:6" x14ac:dyDescent="0.35">
      <c r="A49" s="29" t="s">
        <v>214</v>
      </c>
      <c r="B49" s="4" t="s">
        <v>408</v>
      </c>
      <c r="C49" s="15">
        <v>20128</v>
      </c>
      <c r="D49" s="4" t="s">
        <v>406</v>
      </c>
      <c r="E49" s="4">
        <v>0.68</v>
      </c>
      <c r="F49" s="4">
        <f t="shared" si="2"/>
        <v>13687.04</v>
      </c>
    </row>
    <row r="50" spans="1:6" x14ac:dyDescent="0.35">
      <c r="A50" s="91" t="s">
        <v>218</v>
      </c>
      <c r="B50" s="91"/>
      <c r="C50" s="91">
        <v>5</v>
      </c>
      <c r="D50" s="91" t="s">
        <v>57</v>
      </c>
      <c r="E50" s="105"/>
      <c r="F50" s="91">
        <f t="shared" ref="F50:F51" si="3">C50*E50</f>
        <v>0</v>
      </c>
    </row>
    <row r="51" spans="1:6" x14ac:dyDescent="0.35">
      <c r="A51" s="4" t="s">
        <v>219</v>
      </c>
      <c r="B51" s="4" t="s">
        <v>407</v>
      </c>
      <c r="C51" s="37">
        <v>40256</v>
      </c>
      <c r="D51" s="4" t="s">
        <v>406</v>
      </c>
      <c r="E51" s="4">
        <v>0.68</v>
      </c>
      <c r="F51" s="4">
        <f t="shared" si="3"/>
        <v>27374.080000000002</v>
      </c>
    </row>
    <row r="52" spans="1:6" x14ac:dyDescent="0.35">
      <c r="A52" s="108" t="s">
        <v>109</v>
      </c>
      <c r="B52" s="108"/>
      <c r="C52" s="108"/>
      <c r="D52" s="108"/>
      <c r="E52" s="108"/>
      <c r="F52" s="39">
        <f>SUM(F2:F51)</f>
        <v>55343.12</v>
      </c>
    </row>
  </sheetData>
  <mergeCells count="1">
    <mergeCell ref="A52:E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A152-FA78-4881-A0DB-06D228057F89}">
  <sheetPr>
    <tabColor rgb="FF92D050"/>
  </sheetPr>
  <dimension ref="A1:H29"/>
  <sheetViews>
    <sheetView topLeftCell="A13" workbookViewId="0">
      <selection activeCell="A27" sqref="A27:H28"/>
    </sheetView>
  </sheetViews>
  <sheetFormatPr defaultRowHeight="14.5" x14ac:dyDescent="0.35"/>
  <cols>
    <col min="1" max="1" width="15.81640625" bestFit="1" customWidth="1"/>
    <col min="2" max="2" width="15.1796875" bestFit="1" customWidth="1"/>
    <col min="3" max="3" width="9.08984375" bestFit="1" customWidth="1"/>
    <col min="4" max="4" width="5.08984375" bestFit="1" customWidth="1"/>
    <col min="5" max="5" width="8.90625" bestFit="1" customWidth="1"/>
    <col min="8" max="8" width="12" bestFit="1" customWidth="1"/>
  </cols>
  <sheetData>
    <row r="1" spans="1:8" ht="24.5" customHeight="1" x14ac:dyDescent="0.35">
      <c r="A1" s="67" t="s">
        <v>48</v>
      </c>
      <c r="B1" s="67" t="s">
        <v>49</v>
      </c>
      <c r="C1" s="44" t="s">
        <v>50</v>
      </c>
      <c r="D1" s="45" t="s">
        <v>0</v>
      </c>
      <c r="E1" s="68" t="s">
        <v>74</v>
      </c>
      <c r="F1" s="90" t="s">
        <v>2</v>
      </c>
      <c r="G1" s="90" t="s">
        <v>3</v>
      </c>
      <c r="H1" s="22" t="s">
        <v>77</v>
      </c>
    </row>
    <row r="2" spans="1:8" x14ac:dyDescent="0.35">
      <c r="A2" s="91" t="s">
        <v>389</v>
      </c>
      <c r="B2" s="91"/>
      <c r="C2" s="91">
        <v>1</v>
      </c>
      <c r="D2" s="91" t="s">
        <v>80</v>
      </c>
      <c r="E2" s="91"/>
      <c r="F2" s="91">
        <f>C2*E2</f>
        <v>0</v>
      </c>
      <c r="G2" s="91">
        <f>0%*C2</f>
        <v>0</v>
      </c>
      <c r="H2" s="91">
        <f>G2+F2</f>
        <v>0</v>
      </c>
    </row>
    <row r="3" spans="1:8" x14ac:dyDescent="0.35">
      <c r="A3" s="4" t="s">
        <v>56</v>
      </c>
      <c r="B3" s="4"/>
      <c r="C3" s="4">
        <v>5</v>
      </c>
      <c r="D3" s="4" t="s">
        <v>62</v>
      </c>
      <c r="E3" s="4">
        <v>28</v>
      </c>
      <c r="F3" s="4">
        <f t="shared" ref="F3:F28" si="0">C3*E3</f>
        <v>140</v>
      </c>
      <c r="G3" s="4">
        <f>0%*C3</f>
        <v>0</v>
      </c>
      <c r="H3" s="4">
        <f t="shared" ref="H3:H28" si="1">G3+F3</f>
        <v>140</v>
      </c>
    </row>
    <row r="4" spans="1:8" x14ac:dyDescent="0.35">
      <c r="A4" s="4" t="s">
        <v>390</v>
      </c>
      <c r="B4" s="4"/>
      <c r="C4" s="4">
        <v>200</v>
      </c>
      <c r="D4" s="4" t="s">
        <v>150</v>
      </c>
      <c r="E4" s="4">
        <v>0.45</v>
      </c>
      <c r="F4" s="4">
        <f t="shared" si="0"/>
        <v>90</v>
      </c>
      <c r="G4" s="4">
        <f>16%*F4</f>
        <v>14.4</v>
      </c>
      <c r="H4" s="4">
        <f t="shared" si="1"/>
        <v>104.4</v>
      </c>
    </row>
    <row r="5" spans="1:8" x14ac:dyDescent="0.35">
      <c r="A5" s="4" t="s">
        <v>391</v>
      </c>
      <c r="B5" s="4"/>
      <c r="C5" s="4">
        <v>40</v>
      </c>
      <c r="D5" s="4" t="s">
        <v>52</v>
      </c>
      <c r="E5" s="4">
        <v>11</v>
      </c>
      <c r="F5" s="4">
        <f t="shared" si="0"/>
        <v>440</v>
      </c>
      <c r="G5" s="4">
        <f>0%*C5</f>
        <v>0</v>
      </c>
      <c r="H5" s="4">
        <f t="shared" si="1"/>
        <v>440</v>
      </c>
    </row>
    <row r="6" spans="1:8" x14ac:dyDescent="0.35">
      <c r="A6" s="91" t="s">
        <v>392</v>
      </c>
      <c r="B6" s="91"/>
      <c r="C6" s="91">
        <v>200</v>
      </c>
      <c r="D6" s="91" t="s">
        <v>62</v>
      </c>
      <c r="E6" s="91"/>
      <c r="F6" s="91">
        <f t="shared" si="0"/>
        <v>0</v>
      </c>
      <c r="G6" s="91">
        <f t="shared" ref="G6:G19" si="2">0%*C6</f>
        <v>0</v>
      </c>
      <c r="H6" s="91">
        <f t="shared" si="1"/>
        <v>0</v>
      </c>
    </row>
    <row r="7" spans="1:8" x14ac:dyDescent="0.35">
      <c r="A7" s="91" t="s">
        <v>393</v>
      </c>
      <c r="B7" s="91"/>
      <c r="C7" s="91">
        <v>200</v>
      </c>
      <c r="D7" s="91" t="s">
        <v>62</v>
      </c>
      <c r="E7" s="91"/>
      <c r="F7" s="91">
        <f t="shared" si="0"/>
        <v>0</v>
      </c>
      <c r="G7" s="91">
        <f t="shared" si="2"/>
        <v>0</v>
      </c>
      <c r="H7" s="91">
        <f t="shared" si="1"/>
        <v>0</v>
      </c>
    </row>
    <row r="8" spans="1:8" x14ac:dyDescent="0.35">
      <c r="A8" s="91" t="s">
        <v>394</v>
      </c>
      <c r="B8" s="91" t="s">
        <v>395</v>
      </c>
      <c r="C8" s="91">
        <v>20</v>
      </c>
      <c r="D8" s="91" t="s">
        <v>150</v>
      </c>
      <c r="E8" s="91"/>
      <c r="F8" s="91">
        <f t="shared" si="0"/>
        <v>0</v>
      </c>
      <c r="G8" s="91">
        <f t="shared" si="2"/>
        <v>0</v>
      </c>
      <c r="H8" s="91">
        <f t="shared" si="1"/>
        <v>0</v>
      </c>
    </row>
    <row r="9" spans="1:8" x14ac:dyDescent="0.35">
      <c r="A9" s="4" t="s">
        <v>56</v>
      </c>
      <c r="B9" s="4"/>
      <c r="C9" s="4">
        <v>5</v>
      </c>
      <c r="D9" s="4" t="s">
        <v>62</v>
      </c>
      <c r="E9" s="4">
        <v>28</v>
      </c>
      <c r="F9" s="4">
        <f t="shared" si="0"/>
        <v>140</v>
      </c>
      <c r="G9" s="4">
        <f t="shared" si="2"/>
        <v>0</v>
      </c>
      <c r="H9" s="4">
        <f t="shared" si="1"/>
        <v>140</v>
      </c>
    </row>
    <row r="10" spans="1:8" x14ac:dyDescent="0.35">
      <c r="A10" s="86" t="s">
        <v>255</v>
      </c>
      <c r="B10" s="4"/>
      <c r="C10" s="87">
        <v>4000</v>
      </c>
      <c r="D10" s="4" t="s">
        <v>57</v>
      </c>
      <c r="E10" s="4">
        <v>0.38</v>
      </c>
      <c r="F10" s="4">
        <f t="shared" si="0"/>
        <v>1520</v>
      </c>
      <c r="G10" s="4">
        <f t="shared" si="2"/>
        <v>0</v>
      </c>
      <c r="H10" s="4">
        <f t="shared" si="1"/>
        <v>1520</v>
      </c>
    </row>
    <row r="11" spans="1:8" x14ac:dyDescent="0.35">
      <c r="A11" s="92" t="s">
        <v>392</v>
      </c>
      <c r="B11" s="91"/>
      <c r="C11" s="93">
        <v>200</v>
      </c>
      <c r="D11" s="91" t="s">
        <v>57</v>
      </c>
      <c r="E11" s="91"/>
      <c r="F11" s="91">
        <f t="shared" si="0"/>
        <v>0</v>
      </c>
      <c r="G11" s="91">
        <f t="shared" si="2"/>
        <v>0</v>
      </c>
      <c r="H11" s="91">
        <f t="shared" si="1"/>
        <v>0</v>
      </c>
    </row>
    <row r="12" spans="1:8" x14ac:dyDescent="0.35">
      <c r="A12" s="92" t="s">
        <v>393</v>
      </c>
      <c r="B12" s="91"/>
      <c r="C12" s="93">
        <v>200</v>
      </c>
      <c r="D12" s="91" t="s">
        <v>57</v>
      </c>
      <c r="E12" s="91"/>
      <c r="F12" s="91">
        <f t="shared" si="0"/>
        <v>0</v>
      </c>
      <c r="G12" s="91">
        <f t="shared" si="2"/>
        <v>0</v>
      </c>
      <c r="H12" s="91">
        <f t="shared" si="1"/>
        <v>0</v>
      </c>
    </row>
    <row r="13" spans="1:8" x14ac:dyDescent="0.35">
      <c r="A13" s="92" t="s">
        <v>396</v>
      </c>
      <c r="B13" s="91"/>
      <c r="C13" s="93">
        <v>2000</v>
      </c>
      <c r="D13" s="91" t="s">
        <v>57</v>
      </c>
      <c r="E13" s="91"/>
      <c r="F13" s="91">
        <f t="shared" si="0"/>
        <v>0</v>
      </c>
      <c r="G13" s="91">
        <f t="shared" si="2"/>
        <v>0</v>
      </c>
      <c r="H13" s="91">
        <f t="shared" si="1"/>
        <v>0</v>
      </c>
    </row>
    <row r="14" spans="1:8" x14ac:dyDescent="0.35">
      <c r="A14" s="88" t="s">
        <v>354</v>
      </c>
      <c r="B14" s="4"/>
      <c r="C14" s="87">
        <v>5</v>
      </c>
      <c r="D14" s="4" t="s">
        <v>52</v>
      </c>
      <c r="E14" s="4">
        <v>210</v>
      </c>
      <c r="F14" s="4">
        <f t="shared" si="0"/>
        <v>1050</v>
      </c>
      <c r="G14" s="4">
        <f t="shared" si="2"/>
        <v>0</v>
      </c>
      <c r="H14" s="4">
        <f t="shared" si="1"/>
        <v>1050</v>
      </c>
    </row>
    <row r="15" spans="1:8" x14ac:dyDescent="0.35">
      <c r="A15" s="88" t="s">
        <v>249</v>
      </c>
      <c r="B15" s="4"/>
      <c r="C15" s="87">
        <v>2</v>
      </c>
      <c r="D15" s="4" t="s">
        <v>62</v>
      </c>
      <c r="E15" s="4">
        <v>360</v>
      </c>
      <c r="F15" s="4">
        <f t="shared" si="0"/>
        <v>720</v>
      </c>
      <c r="G15" s="4">
        <f t="shared" si="2"/>
        <v>0</v>
      </c>
      <c r="H15" s="4">
        <f t="shared" si="1"/>
        <v>720</v>
      </c>
    </row>
    <row r="16" spans="1:8" x14ac:dyDescent="0.35">
      <c r="A16" s="88" t="s">
        <v>34</v>
      </c>
      <c r="B16" s="4"/>
      <c r="C16" s="87">
        <v>25</v>
      </c>
      <c r="D16" s="4" t="s">
        <v>62</v>
      </c>
      <c r="E16" s="4">
        <v>16</v>
      </c>
      <c r="F16" s="4">
        <f t="shared" si="0"/>
        <v>400</v>
      </c>
      <c r="G16" s="4">
        <f t="shared" si="2"/>
        <v>0</v>
      </c>
      <c r="H16" s="4">
        <f t="shared" si="1"/>
        <v>400</v>
      </c>
    </row>
    <row r="17" spans="1:8" x14ac:dyDescent="0.35">
      <c r="A17" s="88" t="s">
        <v>44</v>
      </c>
      <c r="B17" s="4"/>
      <c r="C17" s="87">
        <v>5</v>
      </c>
      <c r="D17" s="4" t="s">
        <v>52</v>
      </c>
      <c r="E17" s="4">
        <v>165</v>
      </c>
      <c r="F17" s="4">
        <f t="shared" si="0"/>
        <v>825</v>
      </c>
      <c r="G17" s="4">
        <f t="shared" si="2"/>
        <v>0</v>
      </c>
      <c r="H17" s="4">
        <f t="shared" si="1"/>
        <v>825</v>
      </c>
    </row>
    <row r="18" spans="1:8" x14ac:dyDescent="0.35">
      <c r="A18" s="88" t="s">
        <v>58</v>
      </c>
      <c r="B18" s="4"/>
      <c r="C18" s="87">
        <v>5</v>
      </c>
      <c r="D18" s="4" t="s">
        <v>62</v>
      </c>
      <c r="E18" s="4">
        <v>50</v>
      </c>
      <c r="F18" s="4">
        <f t="shared" si="0"/>
        <v>250</v>
      </c>
      <c r="G18" s="4">
        <f t="shared" si="2"/>
        <v>0</v>
      </c>
      <c r="H18" s="4">
        <f t="shared" si="1"/>
        <v>250</v>
      </c>
    </row>
    <row r="19" spans="1:8" x14ac:dyDescent="0.35">
      <c r="A19" s="88" t="s">
        <v>59</v>
      </c>
      <c r="B19" s="4"/>
      <c r="C19" s="87">
        <v>8</v>
      </c>
      <c r="D19" s="4" t="s">
        <v>52</v>
      </c>
      <c r="E19" s="4">
        <v>180</v>
      </c>
      <c r="F19" s="4">
        <f t="shared" si="0"/>
        <v>1440</v>
      </c>
      <c r="G19" s="4">
        <f t="shared" si="2"/>
        <v>0</v>
      </c>
      <c r="H19" s="4">
        <f t="shared" si="1"/>
        <v>1440</v>
      </c>
    </row>
    <row r="20" spans="1:8" x14ac:dyDescent="0.35">
      <c r="A20" s="88" t="s">
        <v>397</v>
      </c>
      <c r="B20" s="4"/>
      <c r="C20" s="87">
        <v>24</v>
      </c>
      <c r="D20" s="4" t="s">
        <v>106</v>
      </c>
      <c r="E20" s="4">
        <v>405</v>
      </c>
      <c r="F20" s="4">
        <f t="shared" si="0"/>
        <v>9720</v>
      </c>
      <c r="G20" s="4">
        <f>16%*F20</f>
        <v>1555.2</v>
      </c>
      <c r="H20" s="4">
        <f t="shared" si="1"/>
        <v>11275.2</v>
      </c>
    </row>
    <row r="21" spans="1:8" x14ac:dyDescent="0.35">
      <c r="A21" s="88" t="s">
        <v>398</v>
      </c>
      <c r="B21" s="4" t="s">
        <v>403</v>
      </c>
      <c r="C21" s="87">
        <v>3</v>
      </c>
      <c r="D21" s="4" t="s">
        <v>106</v>
      </c>
      <c r="E21" s="4">
        <v>30</v>
      </c>
      <c r="F21" s="4">
        <f t="shared" si="0"/>
        <v>90</v>
      </c>
      <c r="G21" s="4">
        <f t="shared" ref="G21:G22" si="3">16%*F21</f>
        <v>14.4</v>
      </c>
      <c r="H21" s="4">
        <f t="shared" si="1"/>
        <v>104.4</v>
      </c>
    </row>
    <row r="22" spans="1:8" x14ac:dyDescent="0.35">
      <c r="A22" s="88" t="s">
        <v>399</v>
      </c>
      <c r="B22" s="4" t="s">
        <v>403</v>
      </c>
      <c r="C22" s="87">
        <v>3</v>
      </c>
      <c r="D22" s="4" t="s">
        <v>106</v>
      </c>
      <c r="E22" s="4">
        <v>30</v>
      </c>
      <c r="F22" s="4">
        <f t="shared" si="0"/>
        <v>90</v>
      </c>
      <c r="G22" s="4">
        <f t="shared" si="3"/>
        <v>14.4</v>
      </c>
      <c r="H22" s="4">
        <f t="shared" si="1"/>
        <v>104.4</v>
      </c>
    </row>
    <row r="23" spans="1:8" x14ac:dyDescent="0.35">
      <c r="A23" s="94" t="s">
        <v>400</v>
      </c>
      <c r="B23" s="91"/>
      <c r="C23" s="93">
        <v>10</v>
      </c>
      <c r="D23" s="91" t="s">
        <v>52</v>
      </c>
      <c r="E23" s="91"/>
      <c r="F23" s="91">
        <f t="shared" si="0"/>
        <v>0</v>
      </c>
      <c r="G23" s="91">
        <f t="shared" ref="G23:G27" si="4">0%*C23</f>
        <v>0</v>
      </c>
      <c r="H23" s="91">
        <f t="shared" si="1"/>
        <v>0</v>
      </c>
    </row>
    <row r="24" spans="1:8" x14ac:dyDescent="0.35">
      <c r="A24" s="88" t="s">
        <v>261</v>
      </c>
      <c r="B24" s="4"/>
      <c r="C24" s="87">
        <v>20</v>
      </c>
      <c r="D24" s="4" t="s">
        <v>52</v>
      </c>
      <c r="E24" s="4">
        <v>21</v>
      </c>
      <c r="F24" s="4">
        <f t="shared" si="0"/>
        <v>420</v>
      </c>
      <c r="G24" s="4">
        <f t="shared" si="4"/>
        <v>0</v>
      </c>
      <c r="H24" s="4">
        <f t="shared" si="1"/>
        <v>420</v>
      </c>
    </row>
    <row r="25" spans="1:8" x14ac:dyDescent="0.35">
      <c r="A25" s="88" t="s">
        <v>256</v>
      </c>
      <c r="B25" s="4"/>
      <c r="C25" s="87">
        <v>25</v>
      </c>
      <c r="D25" s="4" t="s">
        <v>57</v>
      </c>
      <c r="E25" s="4">
        <v>14</v>
      </c>
      <c r="F25" s="4">
        <f t="shared" si="0"/>
        <v>350</v>
      </c>
      <c r="G25" s="4">
        <f t="shared" si="4"/>
        <v>0</v>
      </c>
      <c r="H25" s="4">
        <f t="shared" si="1"/>
        <v>350</v>
      </c>
    </row>
    <row r="26" spans="1:8" x14ac:dyDescent="0.35">
      <c r="A26" s="4" t="s">
        <v>380</v>
      </c>
      <c r="B26" s="4"/>
      <c r="C26" s="4">
        <v>2</v>
      </c>
      <c r="D26" s="4" t="s">
        <v>52</v>
      </c>
      <c r="E26" s="4">
        <v>370</v>
      </c>
      <c r="F26" s="4">
        <f t="shared" si="0"/>
        <v>740</v>
      </c>
      <c r="G26" s="4">
        <f t="shared" si="4"/>
        <v>0</v>
      </c>
      <c r="H26" s="4">
        <f t="shared" si="1"/>
        <v>740</v>
      </c>
    </row>
    <row r="27" spans="1:8" x14ac:dyDescent="0.35">
      <c r="A27" s="91" t="s">
        <v>401</v>
      </c>
      <c r="B27" s="91"/>
      <c r="C27" s="91">
        <v>2</v>
      </c>
      <c r="D27" s="91" t="s">
        <v>57</v>
      </c>
      <c r="E27" s="91"/>
      <c r="F27" s="91">
        <f t="shared" si="0"/>
        <v>0</v>
      </c>
      <c r="G27" s="91">
        <f t="shared" si="4"/>
        <v>0</v>
      </c>
      <c r="H27" s="91">
        <f t="shared" si="1"/>
        <v>0</v>
      </c>
    </row>
    <row r="28" spans="1:8" x14ac:dyDescent="0.35">
      <c r="A28" s="91" t="s">
        <v>402</v>
      </c>
      <c r="B28" s="91"/>
      <c r="C28" s="91">
        <v>5</v>
      </c>
      <c r="D28" s="91" t="s">
        <v>52</v>
      </c>
      <c r="E28" s="91"/>
      <c r="F28" s="91">
        <f t="shared" si="0"/>
        <v>0</v>
      </c>
      <c r="G28" s="91"/>
      <c r="H28" s="91">
        <f t="shared" si="1"/>
        <v>0</v>
      </c>
    </row>
    <row r="29" spans="1:8" x14ac:dyDescent="0.35">
      <c r="A29" s="109" t="s">
        <v>109</v>
      </c>
      <c r="B29" s="110"/>
      <c r="C29" s="110"/>
      <c r="D29" s="110"/>
      <c r="E29" s="110"/>
      <c r="F29" s="110"/>
      <c r="G29" s="111"/>
      <c r="H29" s="39">
        <f>SUM(H2:H28)</f>
        <v>20023.400000000001</v>
      </c>
    </row>
  </sheetData>
  <mergeCells count="1">
    <mergeCell ref="A29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D307-E24E-4A1C-B8E1-EFDE1E23E166}">
  <sheetPr>
    <tabColor rgb="FFFFFF00"/>
  </sheetPr>
  <dimension ref="A1:H26"/>
  <sheetViews>
    <sheetView topLeftCell="A10" workbookViewId="0">
      <selection activeCell="A3" sqref="A3:H4"/>
    </sheetView>
  </sheetViews>
  <sheetFormatPr defaultRowHeight="14.5" x14ac:dyDescent="0.35"/>
  <cols>
    <col min="1" max="1" width="14.7265625" bestFit="1" customWidth="1"/>
    <col min="2" max="2" width="21.36328125" bestFit="1" customWidth="1"/>
    <col min="3" max="3" width="3.81640625" bestFit="1" customWidth="1"/>
    <col min="4" max="4" width="5.1796875" bestFit="1" customWidth="1"/>
    <col min="5" max="5" width="7.6328125" bestFit="1" customWidth="1"/>
    <col min="6" max="6" width="8.1796875" bestFit="1" customWidth="1"/>
    <col min="7" max="7" width="11" bestFit="1" customWidth="1"/>
    <col min="8" max="8" width="9.90625" bestFit="1" customWidth="1"/>
  </cols>
  <sheetData>
    <row r="1" spans="1:8" ht="43.5" x14ac:dyDescent="0.35">
      <c r="A1" s="22" t="s">
        <v>48</v>
      </c>
      <c r="B1" s="22" t="s">
        <v>49</v>
      </c>
      <c r="C1" s="22" t="s">
        <v>50</v>
      </c>
      <c r="D1" s="22" t="s">
        <v>0</v>
      </c>
      <c r="E1" s="26" t="s">
        <v>85</v>
      </c>
      <c r="F1" s="19" t="s">
        <v>75</v>
      </c>
      <c r="G1" s="19" t="s">
        <v>76</v>
      </c>
      <c r="H1" s="19" t="s">
        <v>77</v>
      </c>
    </row>
    <row r="2" spans="1:8" x14ac:dyDescent="0.35">
      <c r="A2" s="23" t="s">
        <v>78</v>
      </c>
      <c r="B2" s="23" t="s">
        <v>79</v>
      </c>
      <c r="C2" s="24">
        <v>1</v>
      </c>
      <c r="D2" s="23" t="s">
        <v>80</v>
      </c>
      <c r="E2" s="21">
        <v>3400</v>
      </c>
      <c r="F2" s="5">
        <f>E2*C2</f>
        <v>3400</v>
      </c>
      <c r="G2" s="5">
        <f>F2*16%</f>
        <v>544</v>
      </c>
      <c r="H2" s="5">
        <f>G2+F2</f>
        <v>3944</v>
      </c>
    </row>
    <row r="3" spans="1:8" x14ac:dyDescent="0.35">
      <c r="A3" s="95" t="s">
        <v>81</v>
      </c>
      <c r="B3" s="95" t="s">
        <v>82</v>
      </c>
      <c r="C3" s="96">
        <v>1</v>
      </c>
      <c r="D3" s="95" t="s">
        <v>83</v>
      </c>
      <c r="E3" s="97"/>
      <c r="F3" s="91"/>
      <c r="G3" s="91"/>
      <c r="H3" s="91"/>
    </row>
    <row r="4" spans="1:8" x14ac:dyDescent="0.35">
      <c r="A4" s="95" t="s">
        <v>84</v>
      </c>
      <c r="B4" s="98"/>
      <c r="C4" s="96">
        <v>3</v>
      </c>
      <c r="D4" s="95" t="s">
        <v>86</v>
      </c>
      <c r="E4" s="97"/>
      <c r="F4" s="91"/>
      <c r="G4" s="91"/>
      <c r="H4" s="91"/>
    </row>
    <row r="5" spans="1:8" x14ac:dyDescent="0.35">
      <c r="A5" s="23" t="s">
        <v>51</v>
      </c>
      <c r="B5" s="23"/>
      <c r="C5" s="24">
        <v>6</v>
      </c>
      <c r="D5" s="23" t="s">
        <v>52</v>
      </c>
      <c r="E5" s="4">
        <v>60</v>
      </c>
      <c r="F5" s="13">
        <f t="shared" ref="F5:F19" si="0">E5*C5</f>
        <v>360</v>
      </c>
      <c r="G5" s="13">
        <v>0</v>
      </c>
      <c r="H5" s="13">
        <f t="shared" ref="H5:H19" si="1">G5+F5</f>
        <v>360</v>
      </c>
    </row>
    <row r="6" spans="1:8" x14ac:dyDescent="0.35">
      <c r="A6" s="23" t="s">
        <v>53</v>
      </c>
      <c r="B6" s="23"/>
      <c r="C6" s="24">
        <v>12</v>
      </c>
      <c r="D6" s="23" t="s">
        <v>52</v>
      </c>
      <c r="E6" s="4">
        <v>50</v>
      </c>
      <c r="F6" s="13">
        <f t="shared" si="0"/>
        <v>600</v>
      </c>
      <c r="G6" s="13">
        <v>0</v>
      </c>
      <c r="H6" s="13">
        <f t="shared" si="1"/>
        <v>600</v>
      </c>
    </row>
    <row r="7" spans="1:8" x14ac:dyDescent="0.35">
      <c r="A7" s="23" t="s">
        <v>54</v>
      </c>
      <c r="B7" s="23"/>
      <c r="C7" s="24">
        <v>12</v>
      </c>
      <c r="D7" s="23" t="s">
        <v>52</v>
      </c>
      <c r="E7" s="4">
        <v>52</v>
      </c>
      <c r="F7" s="13">
        <f t="shared" si="0"/>
        <v>624</v>
      </c>
      <c r="G7" s="13">
        <v>0</v>
      </c>
      <c r="H7" s="13">
        <f t="shared" si="1"/>
        <v>624</v>
      </c>
    </row>
    <row r="8" spans="1:8" x14ac:dyDescent="0.35">
      <c r="A8" s="27" t="s">
        <v>55</v>
      </c>
      <c r="B8" s="27"/>
      <c r="C8" s="28">
        <v>10</v>
      </c>
      <c r="D8" s="27" t="s">
        <v>52</v>
      </c>
      <c r="E8" s="29">
        <v>40</v>
      </c>
      <c r="F8" s="13">
        <f t="shared" si="0"/>
        <v>400</v>
      </c>
      <c r="G8" s="13">
        <f>F8*16%</f>
        <v>64</v>
      </c>
      <c r="H8" s="13">
        <f t="shared" si="1"/>
        <v>464</v>
      </c>
    </row>
    <row r="9" spans="1:8" x14ac:dyDescent="0.35">
      <c r="A9" s="23" t="s">
        <v>56</v>
      </c>
      <c r="B9" s="23"/>
      <c r="C9" s="24">
        <v>6</v>
      </c>
      <c r="D9" s="23" t="s">
        <v>57</v>
      </c>
      <c r="E9" s="4">
        <v>32</v>
      </c>
      <c r="F9" s="13">
        <f t="shared" si="0"/>
        <v>192</v>
      </c>
      <c r="G9" s="13">
        <v>0</v>
      </c>
      <c r="H9" s="13">
        <f t="shared" si="1"/>
        <v>192</v>
      </c>
    </row>
    <row r="10" spans="1:8" x14ac:dyDescent="0.35">
      <c r="A10" s="23" t="s">
        <v>58</v>
      </c>
      <c r="B10" s="23"/>
      <c r="C10" s="24">
        <v>5</v>
      </c>
      <c r="D10" s="23" t="s">
        <v>57</v>
      </c>
      <c r="E10" s="4">
        <v>50</v>
      </c>
      <c r="F10" s="13">
        <f t="shared" si="0"/>
        <v>250</v>
      </c>
      <c r="G10" s="13">
        <v>0</v>
      </c>
      <c r="H10" s="13">
        <f t="shared" si="1"/>
        <v>250</v>
      </c>
    </row>
    <row r="11" spans="1:8" x14ac:dyDescent="0.35">
      <c r="A11" s="23" t="s">
        <v>59</v>
      </c>
      <c r="B11" s="23"/>
      <c r="C11" s="24">
        <v>3</v>
      </c>
      <c r="D11" s="23" t="s">
        <v>57</v>
      </c>
      <c r="E11" s="4">
        <v>180</v>
      </c>
      <c r="F11" s="13">
        <f t="shared" si="0"/>
        <v>540</v>
      </c>
      <c r="G11" s="13">
        <v>0</v>
      </c>
      <c r="H11" s="13">
        <f t="shared" si="1"/>
        <v>540</v>
      </c>
    </row>
    <row r="12" spans="1:8" x14ac:dyDescent="0.35">
      <c r="A12" s="23" t="s">
        <v>60</v>
      </c>
      <c r="B12" s="23"/>
      <c r="C12" s="24">
        <v>10</v>
      </c>
      <c r="D12" s="23" t="s">
        <v>52</v>
      </c>
      <c r="E12" s="4">
        <v>35</v>
      </c>
      <c r="F12" s="13">
        <f t="shared" si="0"/>
        <v>350</v>
      </c>
      <c r="G12" s="13">
        <v>0</v>
      </c>
      <c r="H12" s="13">
        <f t="shared" si="1"/>
        <v>350</v>
      </c>
    </row>
    <row r="13" spans="1:8" x14ac:dyDescent="0.35">
      <c r="A13" s="23" t="s">
        <v>61</v>
      </c>
      <c r="B13" s="23"/>
      <c r="C13" s="24">
        <v>5</v>
      </c>
      <c r="D13" s="23" t="s">
        <v>62</v>
      </c>
      <c r="E13" s="4">
        <v>55</v>
      </c>
      <c r="F13" s="13">
        <f t="shared" si="0"/>
        <v>275</v>
      </c>
      <c r="G13" s="13">
        <v>0</v>
      </c>
      <c r="H13" s="13">
        <f t="shared" si="1"/>
        <v>275</v>
      </c>
    </row>
    <row r="14" spans="1:8" x14ac:dyDescent="0.35">
      <c r="A14" s="23" t="s">
        <v>63</v>
      </c>
      <c r="B14" s="23" t="s">
        <v>64</v>
      </c>
      <c r="C14" s="24">
        <v>2</v>
      </c>
      <c r="D14" s="23" t="s">
        <v>9</v>
      </c>
      <c r="E14" s="4">
        <v>65</v>
      </c>
      <c r="F14" s="13">
        <f t="shared" si="0"/>
        <v>130</v>
      </c>
      <c r="G14" s="13">
        <f t="shared" ref="G14:G25" si="2">F14*16%</f>
        <v>20.8</v>
      </c>
      <c r="H14" s="13">
        <f t="shared" si="1"/>
        <v>150.80000000000001</v>
      </c>
    </row>
    <row r="15" spans="1:8" x14ac:dyDescent="0.35">
      <c r="A15" s="23" t="s">
        <v>65</v>
      </c>
      <c r="B15" s="23" t="s">
        <v>66</v>
      </c>
      <c r="C15" s="24">
        <v>10</v>
      </c>
      <c r="D15" s="23" t="s">
        <v>9</v>
      </c>
      <c r="E15" s="4">
        <v>30</v>
      </c>
      <c r="F15" s="13">
        <f t="shared" si="0"/>
        <v>300</v>
      </c>
      <c r="G15" s="13">
        <f t="shared" si="2"/>
        <v>48</v>
      </c>
      <c r="H15" s="13">
        <f t="shared" si="1"/>
        <v>348</v>
      </c>
    </row>
    <row r="16" spans="1:8" x14ac:dyDescent="0.35">
      <c r="A16" s="23" t="s">
        <v>65</v>
      </c>
      <c r="B16" s="23" t="s">
        <v>67</v>
      </c>
      <c r="C16" s="24">
        <v>10</v>
      </c>
      <c r="D16" s="23" t="s">
        <v>9</v>
      </c>
      <c r="E16" s="4">
        <v>30</v>
      </c>
      <c r="F16" s="13">
        <f t="shared" si="0"/>
        <v>300</v>
      </c>
      <c r="G16" s="13">
        <f t="shared" si="2"/>
        <v>48</v>
      </c>
      <c r="H16" s="13">
        <f t="shared" si="1"/>
        <v>348</v>
      </c>
    </row>
    <row r="17" spans="1:8" x14ac:dyDescent="0.35">
      <c r="A17" s="23" t="s">
        <v>68</v>
      </c>
      <c r="B17" s="23"/>
      <c r="C17" s="24">
        <v>1</v>
      </c>
      <c r="D17" s="23" t="s">
        <v>69</v>
      </c>
      <c r="E17" s="4">
        <v>14.5</v>
      </c>
      <c r="F17" s="13">
        <f t="shared" si="0"/>
        <v>14.5</v>
      </c>
      <c r="G17" s="13">
        <f t="shared" si="2"/>
        <v>2.3199999999999998</v>
      </c>
      <c r="H17" s="13">
        <f t="shared" si="1"/>
        <v>16.82</v>
      </c>
    </row>
    <row r="18" spans="1:8" x14ac:dyDescent="0.35">
      <c r="A18" s="23" t="s">
        <v>70</v>
      </c>
      <c r="B18" s="23"/>
      <c r="C18" s="24">
        <v>1</v>
      </c>
      <c r="D18" s="23" t="s">
        <v>69</v>
      </c>
      <c r="E18" s="4">
        <v>14.5</v>
      </c>
      <c r="F18" s="13">
        <f t="shared" si="0"/>
        <v>14.5</v>
      </c>
      <c r="G18" s="13">
        <f t="shared" si="2"/>
        <v>2.3199999999999998</v>
      </c>
      <c r="H18" s="13">
        <f t="shared" si="1"/>
        <v>16.82</v>
      </c>
    </row>
    <row r="19" spans="1:8" x14ac:dyDescent="0.35">
      <c r="A19" s="27" t="s">
        <v>71</v>
      </c>
      <c r="B19" s="27" t="s">
        <v>72</v>
      </c>
      <c r="C19" s="28">
        <v>1</v>
      </c>
      <c r="D19" s="27" t="s">
        <v>73</v>
      </c>
      <c r="E19" s="29">
        <v>405</v>
      </c>
      <c r="F19" s="13">
        <f t="shared" si="0"/>
        <v>405</v>
      </c>
      <c r="G19" s="13">
        <f t="shared" si="2"/>
        <v>64.8</v>
      </c>
      <c r="H19" s="13">
        <f t="shared" si="1"/>
        <v>469.8</v>
      </c>
    </row>
    <row r="20" spans="1:8" x14ac:dyDescent="0.35">
      <c r="A20" s="4" t="s">
        <v>8</v>
      </c>
      <c r="B20" s="4" t="s">
        <v>10</v>
      </c>
      <c r="C20" s="4">
        <v>19</v>
      </c>
      <c r="D20" s="4" t="s">
        <v>9</v>
      </c>
      <c r="E20" s="5">
        <v>23</v>
      </c>
      <c r="F20" s="5">
        <f t="shared" ref="F20:F25" si="3">C20*E20</f>
        <v>437</v>
      </c>
      <c r="G20" s="5">
        <f t="shared" si="2"/>
        <v>69.92</v>
      </c>
      <c r="H20" s="5">
        <f t="shared" ref="H20:H25" si="4">F20+G20</f>
        <v>506.92</v>
      </c>
    </row>
    <row r="21" spans="1:8" x14ac:dyDescent="0.35">
      <c r="A21" s="4" t="s">
        <v>11</v>
      </c>
      <c r="B21" s="4"/>
      <c r="C21" s="4">
        <v>5</v>
      </c>
      <c r="D21" s="4" t="s">
        <v>9</v>
      </c>
      <c r="E21" s="5">
        <v>2.2999999999999998</v>
      </c>
      <c r="F21" s="5">
        <f t="shared" si="3"/>
        <v>11.5</v>
      </c>
      <c r="G21" s="5">
        <f t="shared" si="2"/>
        <v>1.84</v>
      </c>
      <c r="H21" s="5">
        <f t="shared" si="4"/>
        <v>13.34</v>
      </c>
    </row>
    <row r="22" spans="1:8" x14ac:dyDescent="0.35">
      <c r="A22" s="4" t="s">
        <v>12</v>
      </c>
      <c r="B22" s="4"/>
      <c r="C22" s="4">
        <v>19</v>
      </c>
      <c r="D22" s="4" t="s">
        <v>9</v>
      </c>
      <c r="E22" s="5">
        <v>1.75</v>
      </c>
      <c r="F22" s="5">
        <f t="shared" si="3"/>
        <v>33.25</v>
      </c>
      <c r="G22" s="5">
        <f t="shared" si="2"/>
        <v>5.32</v>
      </c>
      <c r="H22" s="5">
        <f t="shared" si="4"/>
        <v>38.57</v>
      </c>
    </row>
    <row r="23" spans="1:8" x14ac:dyDescent="0.35">
      <c r="A23" s="4" t="s">
        <v>13</v>
      </c>
      <c r="B23" s="4" t="s">
        <v>14</v>
      </c>
      <c r="C23" s="4">
        <v>1</v>
      </c>
      <c r="D23" s="4" t="s">
        <v>15</v>
      </c>
      <c r="E23" s="5">
        <v>14.5</v>
      </c>
      <c r="F23" s="5">
        <f t="shared" si="3"/>
        <v>14.5</v>
      </c>
      <c r="G23" s="5">
        <f t="shared" si="2"/>
        <v>2.3199999999999998</v>
      </c>
      <c r="H23" s="5">
        <f t="shared" si="4"/>
        <v>16.82</v>
      </c>
    </row>
    <row r="24" spans="1:8" x14ac:dyDescent="0.35">
      <c r="A24" s="4" t="s">
        <v>13</v>
      </c>
      <c r="B24" s="4" t="s">
        <v>16</v>
      </c>
      <c r="C24" s="4">
        <v>2</v>
      </c>
      <c r="D24" s="4" t="s">
        <v>17</v>
      </c>
      <c r="E24" s="5">
        <v>14.5</v>
      </c>
      <c r="F24" s="5">
        <f t="shared" si="3"/>
        <v>29</v>
      </c>
      <c r="G24" s="5">
        <f t="shared" si="2"/>
        <v>4.6399999999999997</v>
      </c>
      <c r="H24" s="5">
        <f t="shared" si="4"/>
        <v>33.64</v>
      </c>
    </row>
    <row r="25" spans="1:8" x14ac:dyDescent="0.35">
      <c r="A25" s="4" t="s">
        <v>13</v>
      </c>
      <c r="B25" s="4" t="s">
        <v>18</v>
      </c>
      <c r="C25" s="4">
        <v>2</v>
      </c>
      <c r="D25" s="4" t="s">
        <v>17</v>
      </c>
      <c r="E25" s="5">
        <v>14.5</v>
      </c>
      <c r="F25" s="5">
        <f t="shared" si="3"/>
        <v>29</v>
      </c>
      <c r="G25" s="5">
        <f t="shared" si="2"/>
        <v>4.6399999999999997</v>
      </c>
      <c r="H25" s="5">
        <f t="shared" si="4"/>
        <v>33.64</v>
      </c>
    </row>
    <row r="26" spans="1:8" x14ac:dyDescent="0.35">
      <c r="A26" s="108" t="s">
        <v>109</v>
      </c>
      <c r="B26" s="108"/>
      <c r="C26" s="108"/>
      <c r="D26" s="108"/>
      <c r="E26" s="108"/>
      <c r="F26" s="108"/>
      <c r="G26" s="108"/>
      <c r="H26" s="6">
        <f>SUM(H2:H25)</f>
        <v>9592.1699999999964</v>
      </c>
    </row>
  </sheetData>
  <mergeCells count="1">
    <mergeCell ref="A26:G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C2E1-E45E-4E9B-86B2-204684CCDE5B}">
  <sheetPr>
    <tabColor rgb="FFC00000"/>
  </sheetPr>
  <dimension ref="A1:H16"/>
  <sheetViews>
    <sheetView workbookViewId="0">
      <selection activeCell="F1" sqref="F1:G1"/>
    </sheetView>
  </sheetViews>
  <sheetFormatPr defaultRowHeight="14.5" x14ac:dyDescent="0.35"/>
  <cols>
    <col min="1" max="1" width="23.6328125" bestFit="1" customWidth="1"/>
    <col min="2" max="2" width="10.90625" bestFit="1" customWidth="1"/>
    <col min="3" max="3" width="6.26953125" bestFit="1" customWidth="1"/>
    <col min="4" max="4" width="5.1796875" bestFit="1" customWidth="1"/>
    <col min="5" max="5" width="8.36328125" bestFit="1" customWidth="1"/>
    <col min="6" max="6" width="10.08984375" bestFit="1" customWidth="1"/>
    <col min="7" max="7" width="9.08984375" bestFit="1" customWidth="1"/>
    <col min="8" max="8" width="11" bestFit="1" customWidth="1"/>
  </cols>
  <sheetData>
    <row r="1" spans="1:8" ht="44" thickBot="1" x14ac:dyDescent="0.4">
      <c r="A1" s="17" t="s">
        <v>7</v>
      </c>
      <c r="B1" s="89" t="s">
        <v>6</v>
      </c>
      <c r="C1" s="18" t="s">
        <v>5</v>
      </c>
      <c r="D1" s="18" t="s">
        <v>0</v>
      </c>
      <c r="E1" s="18" t="s">
        <v>1</v>
      </c>
      <c r="F1" s="18" t="s">
        <v>2</v>
      </c>
      <c r="G1" s="18" t="s">
        <v>3</v>
      </c>
      <c r="H1" s="18" t="s">
        <v>4</v>
      </c>
    </row>
    <row r="2" spans="1:8" x14ac:dyDescent="0.35">
      <c r="A2" s="14" t="s">
        <v>39</v>
      </c>
      <c r="B2" s="14" t="s">
        <v>40</v>
      </c>
      <c r="C2" s="15">
        <v>20128</v>
      </c>
      <c r="D2" s="14" t="s">
        <v>41</v>
      </c>
      <c r="E2" s="4">
        <v>0.68</v>
      </c>
      <c r="F2" s="13">
        <f t="shared" ref="F2:F15" si="0">E2*C2</f>
        <v>13687.04</v>
      </c>
      <c r="G2" s="13">
        <f>F2*16%</f>
        <v>2189.9264000000003</v>
      </c>
      <c r="H2" s="13">
        <f t="shared" ref="H2:H15" si="1">G2+F2</f>
        <v>15876.966400000001</v>
      </c>
    </row>
    <row r="3" spans="1:8" x14ac:dyDescent="0.35">
      <c r="A3" s="14" t="s">
        <v>42</v>
      </c>
      <c r="B3" s="14" t="s">
        <v>43</v>
      </c>
      <c r="C3" s="15">
        <v>2064</v>
      </c>
      <c r="D3" s="14" t="s">
        <v>41</v>
      </c>
      <c r="E3" s="4">
        <v>0.68</v>
      </c>
      <c r="F3" s="13">
        <f t="shared" si="0"/>
        <v>1403.5200000000002</v>
      </c>
      <c r="G3" s="13">
        <f>F3*16%</f>
        <v>224.56320000000005</v>
      </c>
      <c r="H3" s="13">
        <f t="shared" si="1"/>
        <v>1628.0832000000003</v>
      </c>
    </row>
    <row r="4" spans="1:8" x14ac:dyDescent="0.35">
      <c r="A4" s="14" t="s">
        <v>44</v>
      </c>
      <c r="B4" s="14"/>
      <c r="C4" s="16">
        <v>5</v>
      </c>
      <c r="D4" s="14" t="s">
        <v>47</v>
      </c>
      <c r="E4" s="4">
        <v>165</v>
      </c>
      <c r="F4" s="5">
        <f t="shared" si="0"/>
        <v>825</v>
      </c>
      <c r="G4" s="5">
        <v>0</v>
      </c>
      <c r="H4" s="5">
        <f t="shared" si="1"/>
        <v>825</v>
      </c>
    </row>
    <row r="5" spans="1:8" x14ac:dyDescent="0.35">
      <c r="A5" s="14" t="s">
        <v>45</v>
      </c>
      <c r="B5" s="14" t="s">
        <v>38</v>
      </c>
      <c r="C5" s="14">
        <v>100</v>
      </c>
      <c r="D5" s="14" t="s">
        <v>9</v>
      </c>
      <c r="E5" s="4">
        <v>0.75</v>
      </c>
      <c r="F5" s="5">
        <f t="shared" si="0"/>
        <v>75</v>
      </c>
      <c r="G5" s="5">
        <f t="shared" ref="G5:G15" si="2">F5*16%</f>
        <v>12</v>
      </c>
      <c r="H5" s="5">
        <f t="shared" si="1"/>
        <v>87</v>
      </c>
    </row>
    <row r="6" spans="1:8" x14ac:dyDescent="0.35">
      <c r="A6" s="4" t="s">
        <v>34</v>
      </c>
      <c r="B6" s="4" t="s">
        <v>35</v>
      </c>
      <c r="C6" s="4">
        <v>30</v>
      </c>
      <c r="D6" s="4" t="s">
        <v>9</v>
      </c>
      <c r="E6" s="4">
        <v>16</v>
      </c>
      <c r="F6" s="5">
        <f t="shared" si="0"/>
        <v>480</v>
      </c>
      <c r="G6" s="5">
        <f t="shared" si="2"/>
        <v>76.8</v>
      </c>
      <c r="H6" s="5">
        <f t="shared" si="1"/>
        <v>556.79999999999995</v>
      </c>
    </row>
    <row r="7" spans="1:8" x14ac:dyDescent="0.35">
      <c r="A7" s="4" t="s">
        <v>36</v>
      </c>
      <c r="B7" s="4" t="s">
        <v>37</v>
      </c>
      <c r="C7" s="4">
        <v>2</v>
      </c>
      <c r="D7" s="4" t="s">
        <v>9</v>
      </c>
      <c r="E7" s="4">
        <v>9.5000000000000001E-2</v>
      </c>
      <c r="F7" s="5">
        <f t="shared" si="0"/>
        <v>0.19</v>
      </c>
      <c r="G7" s="5">
        <f t="shared" si="2"/>
        <v>3.04E-2</v>
      </c>
      <c r="H7" s="5">
        <f t="shared" si="1"/>
        <v>0.22040000000000001</v>
      </c>
    </row>
    <row r="8" spans="1:8" x14ac:dyDescent="0.35">
      <c r="A8" s="4" t="s">
        <v>36</v>
      </c>
      <c r="B8" s="4" t="s">
        <v>38</v>
      </c>
      <c r="C8" s="4">
        <v>2</v>
      </c>
      <c r="D8" s="4" t="s">
        <v>9</v>
      </c>
      <c r="E8" s="4">
        <v>0.09</v>
      </c>
      <c r="F8" s="5">
        <f t="shared" si="0"/>
        <v>0.18</v>
      </c>
      <c r="G8" s="5">
        <f t="shared" si="2"/>
        <v>2.8799999999999999E-2</v>
      </c>
      <c r="H8" s="5">
        <f t="shared" si="1"/>
        <v>0.20879999999999999</v>
      </c>
    </row>
    <row r="9" spans="1:8" x14ac:dyDescent="0.35">
      <c r="A9" s="4" t="s">
        <v>30</v>
      </c>
      <c r="B9" s="4" t="s">
        <v>31</v>
      </c>
      <c r="C9" s="4">
        <v>20</v>
      </c>
      <c r="D9" s="4" t="s">
        <v>9</v>
      </c>
      <c r="E9" s="4">
        <v>50</v>
      </c>
      <c r="F9" s="5">
        <f t="shared" si="0"/>
        <v>1000</v>
      </c>
      <c r="G9" s="5">
        <f t="shared" si="2"/>
        <v>160</v>
      </c>
      <c r="H9" s="5">
        <f t="shared" si="1"/>
        <v>1160</v>
      </c>
    </row>
    <row r="10" spans="1:8" x14ac:dyDescent="0.35">
      <c r="A10" s="4" t="s">
        <v>32</v>
      </c>
      <c r="B10" s="4" t="s">
        <v>33</v>
      </c>
      <c r="C10" s="4">
        <v>20</v>
      </c>
      <c r="D10" s="4" t="s">
        <v>9</v>
      </c>
      <c r="E10" s="4">
        <v>18</v>
      </c>
      <c r="F10" s="5">
        <f t="shared" si="0"/>
        <v>360</v>
      </c>
      <c r="G10" s="5">
        <f t="shared" si="2"/>
        <v>57.6</v>
      </c>
      <c r="H10" s="5">
        <f t="shared" si="1"/>
        <v>417.6</v>
      </c>
    </row>
    <row r="11" spans="1:8" x14ac:dyDescent="0.35">
      <c r="A11" s="4" t="s">
        <v>20</v>
      </c>
      <c r="B11" s="4"/>
      <c r="C11" s="4">
        <v>1000</v>
      </c>
      <c r="D11" s="4" t="s">
        <v>9</v>
      </c>
      <c r="E11" s="5">
        <v>0.45</v>
      </c>
      <c r="F11" s="5">
        <f t="shared" si="0"/>
        <v>450</v>
      </c>
      <c r="G11" s="5">
        <f t="shared" si="2"/>
        <v>72</v>
      </c>
      <c r="H11" s="5">
        <f t="shared" si="1"/>
        <v>522</v>
      </c>
    </row>
    <row r="12" spans="1:8" x14ac:dyDescent="0.35">
      <c r="A12" s="4" t="s">
        <v>21</v>
      </c>
      <c r="B12" s="4" t="s">
        <v>22</v>
      </c>
      <c r="C12" s="4">
        <v>400</v>
      </c>
      <c r="D12" s="4" t="s">
        <v>23</v>
      </c>
      <c r="E12" s="5">
        <v>1.85</v>
      </c>
      <c r="F12" s="5">
        <f t="shared" si="0"/>
        <v>740</v>
      </c>
      <c r="G12" s="5">
        <f t="shared" si="2"/>
        <v>118.4</v>
      </c>
      <c r="H12" s="5">
        <f t="shared" si="1"/>
        <v>858.4</v>
      </c>
    </row>
    <row r="13" spans="1:8" x14ac:dyDescent="0.35">
      <c r="A13" s="4" t="s">
        <v>24</v>
      </c>
      <c r="B13" s="4" t="s">
        <v>25</v>
      </c>
      <c r="C13" s="4">
        <v>1400</v>
      </c>
      <c r="D13" s="4" t="s">
        <v>9</v>
      </c>
      <c r="E13" s="5">
        <v>7.0000000000000007E-2</v>
      </c>
      <c r="F13" s="5">
        <f t="shared" si="0"/>
        <v>98.000000000000014</v>
      </c>
      <c r="G13" s="5">
        <f t="shared" si="2"/>
        <v>15.680000000000003</v>
      </c>
      <c r="H13" s="5">
        <f t="shared" si="1"/>
        <v>113.68000000000002</v>
      </c>
    </row>
    <row r="14" spans="1:8" x14ac:dyDescent="0.35">
      <c r="A14" s="4" t="s">
        <v>26</v>
      </c>
      <c r="B14" s="4" t="s">
        <v>27</v>
      </c>
      <c r="C14" s="4">
        <v>960</v>
      </c>
      <c r="D14" s="4" t="s">
        <v>9</v>
      </c>
      <c r="E14" s="5">
        <v>8.5000000000000006E-2</v>
      </c>
      <c r="F14" s="5">
        <f t="shared" si="0"/>
        <v>81.600000000000009</v>
      </c>
      <c r="G14" s="5">
        <f t="shared" si="2"/>
        <v>13.056000000000001</v>
      </c>
      <c r="H14" s="5">
        <f t="shared" si="1"/>
        <v>94.656000000000006</v>
      </c>
    </row>
    <row r="15" spans="1:8" x14ac:dyDescent="0.35">
      <c r="A15" s="4" t="s">
        <v>28</v>
      </c>
      <c r="B15" s="4" t="s">
        <v>29</v>
      </c>
      <c r="C15" s="4">
        <v>200</v>
      </c>
      <c r="D15" s="4" t="s">
        <v>9</v>
      </c>
      <c r="E15" s="5">
        <v>4.0999999999999996</v>
      </c>
      <c r="F15" s="5">
        <f t="shared" si="0"/>
        <v>819.99999999999989</v>
      </c>
      <c r="G15" s="5">
        <f t="shared" si="2"/>
        <v>131.19999999999999</v>
      </c>
      <c r="H15" s="5">
        <f t="shared" si="1"/>
        <v>951.19999999999982</v>
      </c>
    </row>
    <row r="16" spans="1:8" x14ac:dyDescent="0.35">
      <c r="A16" s="108" t="s">
        <v>109</v>
      </c>
      <c r="B16" s="108"/>
      <c r="C16" s="108"/>
      <c r="D16" s="108"/>
      <c r="E16" s="108"/>
      <c r="F16" s="108"/>
      <c r="G16" s="108"/>
      <c r="H16" s="39">
        <f>SUM(H2:H15)</f>
        <v>23091.8148</v>
      </c>
    </row>
  </sheetData>
  <mergeCells count="1"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LPO's</vt:lpstr>
      <vt:lpstr>Dec 25</vt:lpstr>
      <vt:lpstr>Nov 25</vt:lpstr>
      <vt:lpstr>Oct 25</vt:lpstr>
      <vt:lpstr>Sept 25</vt:lpstr>
      <vt:lpstr>Aug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2025-12-02T09:11:29Z</cp:lastPrinted>
  <dcterms:created xsi:type="dcterms:W3CDTF">2025-09-05T08:17:30Z</dcterms:created>
  <dcterms:modified xsi:type="dcterms:W3CDTF">2025-12-15T07:25:05Z</dcterms:modified>
</cp:coreProperties>
</file>