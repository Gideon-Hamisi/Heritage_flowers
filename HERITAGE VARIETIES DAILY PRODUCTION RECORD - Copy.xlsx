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_BOOTS\OneDrive\Desktop\heritage flowers\"/>
    </mc:Choice>
  </mc:AlternateContent>
  <xr:revisionPtr revIDLastSave="0" documentId="13_ncr:1_{D2D4D29B-FA89-4899-80C4-72254BB6C481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JANUARY 2026" sheetId="4" r:id="rId1"/>
    <sheet name="FEBRUARY 2026" sheetId="6" r:id="rId2"/>
    <sheet name="MARCH 2026" sheetId="8" r:id="rId3"/>
    <sheet name="Sheet1" sheetId="11" r:id="rId4"/>
  </sheets>
  <calcPr calcId="181029"/>
</workbook>
</file>

<file path=xl/calcChain.xml><?xml version="1.0" encoding="utf-8"?>
<calcChain xmlns="http://schemas.openxmlformats.org/spreadsheetml/2006/main">
  <c r="AD36" i="6" l="1"/>
  <c r="AD37" i="6"/>
  <c r="AD38" i="6"/>
  <c r="AD39" i="6"/>
  <c r="J76" i="6"/>
  <c r="AD40" i="6" s="1"/>
  <c r="J35" i="6"/>
  <c r="AD8" i="6" s="1"/>
  <c r="MQ76" i="4"/>
  <c r="AD35" i="6" l="1"/>
  <c r="AD31" i="6"/>
  <c r="AD27" i="6"/>
  <c r="AD23" i="6"/>
  <c r="AD19" i="6"/>
  <c r="AD15" i="6"/>
  <c r="AD11" i="6"/>
  <c r="AD7" i="6"/>
  <c r="AD62" i="6"/>
  <c r="AD46" i="6"/>
  <c r="AD34" i="6"/>
  <c r="AD30" i="6"/>
  <c r="AD26" i="6"/>
  <c r="AD22" i="6"/>
  <c r="AD18" i="6"/>
  <c r="AD14" i="6"/>
  <c r="AD10" i="6"/>
  <c r="AD6" i="6"/>
  <c r="AD4" i="6"/>
  <c r="AD69" i="6"/>
  <c r="AD53" i="6"/>
  <c r="AD33" i="6"/>
  <c r="AD29" i="6"/>
  <c r="AD25" i="6"/>
  <c r="AD21" i="6"/>
  <c r="AD17" i="6"/>
  <c r="AD13" i="6"/>
  <c r="AD9" i="6"/>
  <c r="AD5" i="6"/>
  <c r="AD76" i="6"/>
  <c r="AD60" i="6"/>
  <c r="AD44" i="6"/>
  <c r="AD32" i="6"/>
  <c r="AD28" i="6"/>
  <c r="AD24" i="6"/>
  <c r="AD20" i="6"/>
  <c r="AD16" i="6"/>
  <c r="AD12" i="6"/>
  <c r="J77" i="6"/>
  <c r="MV38" i="4"/>
  <c r="MV39" i="4"/>
  <c r="MV40" i="4"/>
  <c r="MV41" i="4"/>
  <c r="MV42" i="4"/>
  <c r="MV43" i="4"/>
  <c r="MV44" i="4"/>
  <c r="MV45" i="4"/>
  <c r="MV46" i="4"/>
  <c r="MV47" i="4"/>
  <c r="MV48" i="4"/>
  <c r="MV49" i="4"/>
  <c r="MV50" i="4"/>
  <c r="MV51" i="4"/>
  <c r="MV52" i="4"/>
  <c r="MV53" i="4"/>
  <c r="MV54" i="4"/>
  <c r="MV55" i="4"/>
  <c r="MV56" i="4"/>
  <c r="MV57" i="4"/>
  <c r="MV58" i="4"/>
  <c r="MV59" i="4"/>
  <c r="MV60" i="4"/>
  <c r="MV61" i="4"/>
  <c r="MV62" i="4"/>
  <c r="MV63" i="4"/>
  <c r="MV64" i="4"/>
  <c r="MV65" i="4"/>
  <c r="MV66" i="4"/>
  <c r="MV67" i="4"/>
  <c r="MV68" i="4"/>
  <c r="MV69" i="4"/>
  <c r="MV70" i="4"/>
  <c r="MV71" i="4"/>
  <c r="MV72" i="4"/>
  <c r="MV73" i="4"/>
  <c r="MV74" i="4"/>
  <c r="MV37" i="4"/>
  <c r="MV5" i="4"/>
  <c r="MV6" i="4"/>
  <c r="MV7" i="4"/>
  <c r="MV8" i="4"/>
  <c r="MV9" i="4"/>
  <c r="MV10" i="4"/>
  <c r="MV11" i="4"/>
  <c r="MV12" i="4"/>
  <c r="MV13" i="4"/>
  <c r="MV14" i="4"/>
  <c r="MV15" i="4"/>
  <c r="MV16" i="4"/>
  <c r="MV17" i="4"/>
  <c r="MV18" i="4"/>
  <c r="MV19" i="4"/>
  <c r="MV20" i="4"/>
  <c r="MV21" i="4"/>
  <c r="MV22" i="4"/>
  <c r="MV23" i="4"/>
  <c r="MV24" i="4"/>
  <c r="MV25" i="4"/>
  <c r="MV26" i="4"/>
  <c r="MV27" i="4"/>
  <c r="MV28" i="4"/>
  <c r="MV29" i="4"/>
  <c r="MV30" i="4"/>
  <c r="MV31" i="4"/>
  <c r="MV32" i="4"/>
  <c r="MV33" i="4"/>
  <c r="MV34" i="4"/>
  <c r="MV4" i="4"/>
  <c r="LU76" i="4"/>
  <c r="LQ76" i="4"/>
  <c r="MG76" i="4"/>
  <c r="MC76" i="4"/>
  <c r="ME75" i="4"/>
  <c r="ME76" i="4" s="1"/>
  <c r="MF75" i="4"/>
  <c r="MF76" i="4" s="1"/>
  <c r="MD75" i="4"/>
  <c r="MD76" i="4" s="1"/>
  <c r="DO75" i="4"/>
  <c r="AZ75" i="4"/>
  <c r="CK72" i="4"/>
  <c r="CD72" i="4"/>
  <c r="V72" i="4"/>
  <c r="O72" i="4"/>
  <c r="CK71" i="4"/>
  <c r="CD71" i="4"/>
  <c r="V71" i="4"/>
  <c r="O71" i="4"/>
  <c r="CK70" i="4"/>
  <c r="CD70" i="4"/>
  <c r="V70" i="4"/>
  <c r="O70" i="4"/>
  <c r="CK69" i="4"/>
  <c r="CD69" i="4"/>
  <c r="V69" i="4"/>
  <c r="O69" i="4"/>
  <c r="CK67" i="4"/>
  <c r="CD67" i="4"/>
  <c r="V67" i="4"/>
  <c r="O67" i="4"/>
  <c r="CK66" i="4"/>
  <c r="CD66" i="4"/>
  <c r="V66" i="4"/>
  <c r="O66" i="4"/>
  <c r="CK65" i="4"/>
  <c r="CD65" i="4"/>
  <c r="V65" i="4"/>
  <c r="O65" i="4"/>
  <c r="CK63" i="4"/>
  <c r="CD63" i="4"/>
  <c r="V63" i="4"/>
  <c r="O63" i="4"/>
  <c r="CK62" i="4"/>
  <c r="CD62" i="4"/>
  <c r="V62" i="4"/>
  <c r="O62" i="4"/>
  <c r="CK61" i="4"/>
  <c r="CD61" i="4"/>
  <c r="V61" i="4"/>
  <c r="O61" i="4"/>
  <c r="CK56" i="4"/>
  <c r="CD56" i="4"/>
  <c r="V56" i="4"/>
  <c r="O56" i="4"/>
  <c r="CK55" i="4"/>
  <c r="CD55" i="4"/>
  <c r="V55" i="4"/>
  <c r="O55" i="4"/>
  <c r="CK54" i="4"/>
  <c r="CD54" i="4"/>
  <c r="V54" i="4"/>
  <c r="O54" i="4"/>
  <c r="CK53" i="4"/>
  <c r="CD53" i="4"/>
  <c r="V53" i="4"/>
  <c r="O53" i="4"/>
  <c r="CK51" i="4"/>
  <c r="CD51" i="4"/>
  <c r="V51" i="4"/>
  <c r="O51" i="4"/>
  <c r="CK50" i="4"/>
  <c r="CD50" i="4"/>
  <c r="V50" i="4"/>
  <c r="O50" i="4"/>
  <c r="CK49" i="4"/>
  <c r="CD49" i="4"/>
  <c r="V49" i="4"/>
  <c r="O49" i="4"/>
  <c r="CK48" i="4"/>
  <c r="CD48" i="4"/>
  <c r="V48" i="4"/>
  <c r="O48" i="4"/>
  <c r="CK47" i="4"/>
  <c r="CD47" i="4"/>
  <c r="V47" i="4"/>
  <c r="O47" i="4"/>
  <c r="CK46" i="4"/>
  <c r="CD46" i="4"/>
  <c r="V46" i="4"/>
  <c r="O46" i="4"/>
  <c r="CK43" i="4"/>
  <c r="CD43" i="4"/>
  <c r="V43" i="4"/>
  <c r="O43" i="4"/>
  <c r="CK42" i="4"/>
  <c r="CD42" i="4"/>
  <c r="V42" i="4"/>
  <c r="O42" i="4"/>
  <c r="CK41" i="4"/>
  <c r="CD41" i="4"/>
  <c r="V41" i="4"/>
  <c r="O41" i="4"/>
  <c r="CK40" i="4"/>
  <c r="CD40" i="4"/>
  <c r="V40" i="4"/>
  <c r="O40" i="4"/>
  <c r="CK39" i="4"/>
  <c r="CD39" i="4"/>
  <c r="V39" i="4"/>
  <c r="O39" i="4"/>
  <c r="CK38" i="4"/>
  <c r="CD38" i="4"/>
  <c r="V38" i="4"/>
  <c r="O38" i="4"/>
  <c r="CK37" i="4"/>
  <c r="CD37" i="4"/>
  <c r="V37" i="4"/>
  <c r="O37" i="4"/>
  <c r="CK34" i="4"/>
  <c r="CD34" i="4"/>
  <c r="V34" i="4"/>
  <c r="O34" i="4"/>
  <c r="CK33" i="4"/>
  <c r="CD33" i="4"/>
  <c r="V33" i="4"/>
  <c r="O33" i="4"/>
  <c r="CK30" i="4"/>
  <c r="CD30" i="4"/>
  <c r="V30" i="4"/>
  <c r="O30" i="4"/>
  <c r="CK29" i="4"/>
  <c r="CD29" i="4"/>
  <c r="V29" i="4"/>
  <c r="O29" i="4"/>
  <c r="CK28" i="4"/>
  <c r="CD28" i="4"/>
  <c r="V28" i="4"/>
  <c r="O28" i="4"/>
  <c r="CK27" i="4"/>
  <c r="CD27" i="4"/>
  <c r="V27" i="4"/>
  <c r="O27" i="4"/>
  <c r="CK25" i="4"/>
  <c r="CD25" i="4"/>
  <c r="V25" i="4"/>
  <c r="O25" i="4"/>
  <c r="CK24" i="4"/>
  <c r="CD24" i="4"/>
  <c r="V24" i="4"/>
  <c r="O24" i="4"/>
  <c r="CK23" i="4"/>
  <c r="CD23" i="4"/>
  <c r="V23" i="4"/>
  <c r="O23" i="4"/>
  <c r="CK22" i="4"/>
  <c r="CD22" i="4"/>
  <c r="V22" i="4"/>
  <c r="O22" i="4"/>
  <c r="HJ21" i="4"/>
  <c r="CK20" i="4"/>
  <c r="CD20" i="4"/>
  <c r="V20" i="4"/>
  <c r="O20" i="4"/>
  <c r="CK19" i="4"/>
  <c r="CD19" i="4"/>
  <c r="V19" i="4"/>
  <c r="O19" i="4"/>
  <c r="CK18" i="4"/>
  <c r="CD18" i="4"/>
  <c r="V18" i="4"/>
  <c r="O18" i="4"/>
  <c r="CK17" i="4"/>
  <c r="CD17" i="4"/>
  <c r="V17" i="4"/>
  <c r="O17" i="4"/>
  <c r="CK16" i="4"/>
  <c r="CD16" i="4"/>
  <c r="V16" i="4"/>
  <c r="O16" i="4"/>
  <c r="CK15" i="4"/>
  <c r="CD15" i="4"/>
  <c r="V15" i="4"/>
  <c r="O15" i="4"/>
  <c r="CK14" i="4"/>
  <c r="CD14" i="4"/>
  <c r="V14" i="4"/>
  <c r="O14" i="4"/>
  <c r="CK13" i="4"/>
  <c r="CD13" i="4"/>
  <c r="V13" i="4"/>
  <c r="O13" i="4"/>
  <c r="CK12" i="4"/>
  <c r="CD12" i="4"/>
  <c r="V12" i="4"/>
  <c r="O12" i="4"/>
  <c r="CK11" i="4"/>
  <c r="CD11" i="4"/>
  <c r="V11" i="4"/>
  <c r="O11" i="4"/>
  <c r="CK10" i="4"/>
  <c r="CD10" i="4"/>
  <c r="V10" i="4"/>
  <c r="O10" i="4"/>
  <c r="DO9" i="4"/>
  <c r="DO35" i="4" s="1"/>
  <c r="CK9" i="4"/>
  <c r="CD9" i="4"/>
  <c r="AZ9" i="4"/>
  <c r="AZ35" i="4" s="1"/>
  <c r="V9" i="4"/>
  <c r="O9" i="4"/>
  <c r="CK8" i="4"/>
  <c r="CD8" i="4"/>
  <c r="V8" i="4"/>
  <c r="O8" i="4"/>
  <c r="CK7" i="4"/>
  <c r="CD7" i="4"/>
  <c r="V7" i="4"/>
  <c r="O7" i="4"/>
  <c r="CK5" i="4"/>
  <c r="CD5" i="4"/>
  <c r="V5" i="4"/>
  <c r="O5" i="4"/>
  <c r="CK4" i="4"/>
  <c r="CD4" i="4"/>
  <c r="BW4" i="4"/>
  <c r="V4" i="4"/>
  <c r="O4" i="4"/>
  <c r="H4" i="4"/>
  <c r="AD77" i="6" l="1"/>
  <c r="AD43" i="6"/>
  <c r="AD47" i="6"/>
  <c r="AD51" i="6"/>
  <c r="AD55" i="6"/>
  <c r="AD59" i="6"/>
  <c r="AD63" i="6"/>
  <c r="AD67" i="6"/>
  <c r="AD71" i="6"/>
  <c r="AD75" i="6"/>
  <c r="AD48" i="6"/>
  <c r="AD64" i="6"/>
  <c r="AD41" i="6"/>
  <c r="AD57" i="6"/>
  <c r="AD73" i="6"/>
  <c r="AD50" i="6"/>
  <c r="AD66" i="6"/>
  <c r="AD52" i="6"/>
  <c r="AD68" i="6"/>
  <c r="AD45" i="6"/>
  <c r="AD61" i="6"/>
  <c r="AD54" i="6"/>
  <c r="AD70" i="6"/>
  <c r="AD56" i="6"/>
  <c r="AD72" i="6"/>
  <c r="AD49" i="6"/>
  <c r="AD65" i="6"/>
  <c r="AD42" i="6"/>
  <c r="AD58" i="6"/>
  <c r="AD74" i="6"/>
  <c r="MV35" i="4"/>
  <c r="MV75" i="4"/>
  <c r="DO76" i="4"/>
  <c r="AZ76" i="4"/>
  <c r="CD75" i="4"/>
  <c r="O35" i="4"/>
  <c r="CK35" i="4"/>
  <c r="CD35" i="4"/>
  <c r="V75" i="4"/>
  <c r="CK75" i="4"/>
  <c r="O75" i="4"/>
  <c r="V35" i="4"/>
  <c r="MV76" i="4" l="1"/>
  <c r="CD76" i="4"/>
  <c r="V76" i="4"/>
  <c r="O76" i="4"/>
  <c r="CK76" i="4"/>
</calcChain>
</file>

<file path=xl/sharedStrings.xml><?xml version="1.0" encoding="utf-8"?>
<sst xmlns="http://schemas.openxmlformats.org/spreadsheetml/2006/main" count="1113" uniqueCount="310">
  <si>
    <t>VARIETIES</t>
  </si>
  <si>
    <t>1ST DEC 25</t>
  </si>
  <si>
    <t>2ND DEC  25</t>
  </si>
  <si>
    <t>3ND DEC  25</t>
  </si>
  <si>
    <t>4TH DEC  25</t>
  </si>
  <si>
    <t>5ND DEC ACTUAL PRODUCTION</t>
  </si>
  <si>
    <t>6TH DEC ACTUAL PRODUCTION</t>
  </si>
  <si>
    <t>PREDICTION</t>
  </si>
  <si>
    <t>7TH DEC ACTUAL PRODUCTION</t>
  </si>
  <si>
    <t>10TH DEC ACTUAL PRODUCTION</t>
  </si>
  <si>
    <t>11TH DEC ACTUAL PRODUCTION</t>
  </si>
  <si>
    <t>12TH DEC ACTUAL PRODUCTION</t>
  </si>
  <si>
    <t>13TH DEC ACTUAL PRODUCTION</t>
  </si>
  <si>
    <t>14TH DEC ACTUAL PRODUCTION</t>
  </si>
  <si>
    <t>15TH DEC ACTUAL PRODUCTION</t>
  </si>
  <si>
    <t>16TH DEC ACTUAL PRODUCTION</t>
  </si>
  <si>
    <t>17TH DEC ACTUAL PRODUCTION</t>
  </si>
  <si>
    <t>18TH DEC ACTUAL PRODUCTION</t>
  </si>
  <si>
    <t>18TH PRODUCTION</t>
  </si>
  <si>
    <t>19TH DEC 2025</t>
  </si>
  <si>
    <t>20TH PRODUCTION</t>
  </si>
  <si>
    <t>21ST DEC 2025</t>
  </si>
  <si>
    <t>22TH PRODUCTION</t>
  </si>
  <si>
    <t>23ST DEC 2025</t>
  </si>
  <si>
    <t>23TH PRODUCTION</t>
  </si>
  <si>
    <t>24TH PRODUCTION</t>
  </si>
  <si>
    <t>25TH PRODUCTION</t>
  </si>
  <si>
    <t>26TH PRODUCTION</t>
  </si>
  <si>
    <t>27TH PRODUCTION</t>
  </si>
  <si>
    <t>28TH PRODUCTION</t>
  </si>
  <si>
    <t>29TH PRODUCTION</t>
  </si>
  <si>
    <t>STANDARD ROSES</t>
  </si>
  <si>
    <t>GHSE1</t>
  </si>
  <si>
    <t>GHSE2</t>
  </si>
  <si>
    <t>GHSE3</t>
  </si>
  <si>
    <t>GHSE4</t>
  </si>
  <si>
    <t>GHSE5</t>
  </si>
  <si>
    <t>GHSE6</t>
  </si>
  <si>
    <t>GHSE7</t>
  </si>
  <si>
    <t>GHSE8</t>
  </si>
  <si>
    <t>GHSE9</t>
  </si>
  <si>
    <t>GHSE10</t>
  </si>
  <si>
    <t>GHSE11</t>
  </si>
  <si>
    <t>GHSE12</t>
  </si>
  <si>
    <t>GHSE13</t>
  </si>
  <si>
    <t>GHSE14</t>
  </si>
  <si>
    <t>GHSE15</t>
  </si>
  <si>
    <t>GHSE16</t>
  </si>
  <si>
    <t>GHSE17</t>
  </si>
  <si>
    <t>GHSE18</t>
  </si>
  <si>
    <t>GHSE19</t>
  </si>
  <si>
    <t>GHSE20</t>
  </si>
  <si>
    <t>GHSE21</t>
  </si>
  <si>
    <t>GHSE22</t>
  </si>
  <si>
    <t>GHSE23</t>
  </si>
  <si>
    <t>GHSE24</t>
  </si>
  <si>
    <t>GHSE25</t>
  </si>
  <si>
    <t>GHSE26</t>
  </si>
  <si>
    <t>GHSE27</t>
  </si>
  <si>
    <t>GHSE28</t>
  </si>
  <si>
    <t>GHSE29</t>
  </si>
  <si>
    <t>GHSE30</t>
  </si>
  <si>
    <t>GHSE31</t>
  </si>
  <si>
    <t>GHSE32</t>
  </si>
  <si>
    <t>GHSE33</t>
  </si>
  <si>
    <t>GHSE34</t>
  </si>
  <si>
    <t>GHSE35</t>
  </si>
  <si>
    <t>GHSE36</t>
  </si>
  <si>
    <t>GHSE37</t>
  </si>
  <si>
    <t>GHSE38</t>
  </si>
  <si>
    <t>GHSE39</t>
  </si>
  <si>
    <t>GHSE40</t>
  </si>
  <si>
    <t>GHSE41</t>
  </si>
  <si>
    <t>GHSE42</t>
  </si>
  <si>
    <t>GHSE43</t>
  </si>
  <si>
    <t>GHSE44</t>
  </si>
  <si>
    <t>GHSE45</t>
  </si>
  <si>
    <t>GHSE46</t>
  </si>
  <si>
    <t>GHSE47</t>
  </si>
  <si>
    <t>GHSE48</t>
  </si>
  <si>
    <t>GHSE49</t>
  </si>
  <si>
    <t>GHSE50</t>
  </si>
  <si>
    <t>GHSE51</t>
  </si>
  <si>
    <t>GHSE52</t>
  </si>
  <si>
    <t>GHSE53</t>
  </si>
  <si>
    <t>GHSE54</t>
  </si>
  <si>
    <t>GHSE55</t>
  </si>
  <si>
    <t>GHSE56</t>
  </si>
  <si>
    <t>GHSE57</t>
  </si>
  <si>
    <t>GHSE58</t>
  </si>
  <si>
    <t>GHSE59</t>
  </si>
  <si>
    <t>GHSE60</t>
  </si>
  <si>
    <t>GHSE61</t>
  </si>
  <si>
    <t>GHSE62</t>
  </si>
  <si>
    <t>GHSE63</t>
  </si>
  <si>
    <t>GHSE64</t>
  </si>
  <si>
    <t>GHSE65</t>
  </si>
  <si>
    <t>GHSE66</t>
  </si>
  <si>
    <t>GHSE67</t>
  </si>
  <si>
    <t>GHSE68</t>
  </si>
  <si>
    <t>GHSE69</t>
  </si>
  <si>
    <t>GHSE70</t>
  </si>
  <si>
    <t>GHSE71</t>
  </si>
  <si>
    <t>GHSE72</t>
  </si>
  <si>
    <t>GHSE73</t>
  </si>
  <si>
    <t>GHSE74</t>
  </si>
  <si>
    <t>GHSE75</t>
  </si>
  <si>
    <t>GHSE76</t>
  </si>
  <si>
    <t>GHSE77</t>
  </si>
  <si>
    <t>GHSE78</t>
  </si>
  <si>
    <t>GHSE79</t>
  </si>
  <si>
    <t>GHSE80</t>
  </si>
  <si>
    <t>GHSE81</t>
  </si>
  <si>
    <t>GHSE82</t>
  </si>
  <si>
    <t>GHSE83</t>
  </si>
  <si>
    <t>GHSE84</t>
  </si>
  <si>
    <t>GHSE85</t>
  </si>
  <si>
    <t>GHSE86</t>
  </si>
  <si>
    <t>GHSE87</t>
  </si>
  <si>
    <t>GHSE88</t>
  </si>
  <si>
    <t>GHSE89</t>
  </si>
  <si>
    <t>GHSE90</t>
  </si>
  <si>
    <t>GHSE91</t>
  </si>
  <si>
    <t>GHSE92</t>
  </si>
  <si>
    <t>GHSE93</t>
  </si>
  <si>
    <t>GHSE94</t>
  </si>
  <si>
    <t>GHSE95</t>
  </si>
  <si>
    <t>GHSE96</t>
  </si>
  <si>
    <t>GHSE97</t>
  </si>
  <si>
    <t>GHSE98</t>
  </si>
  <si>
    <t>GHSE99</t>
  </si>
  <si>
    <t>GHSE100</t>
  </si>
  <si>
    <t>GHSE101</t>
  </si>
  <si>
    <t>GHSE102</t>
  </si>
  <si>
    <t>GHSE103</t>
  </si>
  <si>
    <t>GHSE104</t>
  </si>
  <si>
    <t>GHSE105</t>
  </si>
  <si>
    <t>GHSE106</t>
  </si>
  <si>
    <t>GHSE107</t>
  </si>
  <si>
    <t>GHSE108</t>
  </si>
  <si>
    <t>GHSE109</t>
  </si>
  <si>
    <t>GHSE110</t>
  </si>
  <si>
    <t>GHSE111</t>
  </si>
  <si>
    <t>GHSE112</t>
  </si>
  <si>
    <t>GHSE113</t>
  </si>
  <si>
    <t>GHSE114</t>
  </si>
  <si>
    <t>GHSE115</t>
  </si>
  <si>
    <t>GHSE116</t>
  </si>
  <si>
    <t>GHSE117</t>
  </si>
  <si>
    <t>GHSE118</t>
  </si>
  <si>
    <t>GHSE119</t>
  </si>
  <si>
    <t>GHSE120</t>
  </si>
  <si>
    <t>GHSE121</t>
  </si>
  <si>
    <t>GHSE122</t>
  </si>
  <si>
    <t>GHSE123</t>
  </si>
  <si>
    <t>GHSE124</t>
  </si>
  <si>
    <t>GHSE125</t>
  </si>
  <si>
    <t>GHSE126</t>
  </si>
  <si>
    <t>GHSE127</t>
  </si>
  <si>
    <t>GHSE128</t>
  </si>
  <si>
    <t>GHSE129</t>
  </si>
  <si>
    <t>GHSE130</t>
  </si>
  <si>
    <t>GHSE131</t>
  </si>
  <si>
    <t>TOTAL</t>
  </si>
  <si>
    <t>12th projection</t>
  </si>
  <si>
    <t>GH1</t>
  </si>
  <si>
    <t>13th projection</t>
  </si>
  <si>
    <t>14th projection</t>
  </si>
  <si>
    <t>15th projection</t>
  </si>
  <si>
    <t>16th projection</t>
  </si>
  <si>
    <t>117th projection</t>
  </si>
  <si>
    <t xml:space="preserve">MADAM RED </t>
  </si>
  <si>
    <t>NIGHT GALE</t>
  </si>
  <si>
    <t>ATHENA WHITE</t>
  </si>
  <si>
    <t>ROYAL ATHENA</t>
  </si>
  <si>
    <t>PINK ATHENA</t>
  </si>
  <si>
    <t>EVERED</t>
  </si>
  <si>
    <t>REDBENTLY</t>
  </si>
  <si>
    <t>BELLA ROSE</t>
  </si>
  <si>
    <t>CARISE</t>
  </si>
  <si>
    <t>ORANGE WAVE</t>
  </si>
  <si>
    <t>MOONWALK</t>
  </si>
  <si>
    <t>MOVIE STAR</t>
  </si>
  <si>
    <t>BAHAMA</t>
  </si>
  <si>
    <t>CELINA</t>
  </si>
  <si>
    <t>labelle</t>
  </si>
  <si>
    <t>LAMPION</t>
  </si>
  <si>
    <t>JUMILIA</t>
  </si>
  <si>
    <t>CHELSIE</t>
  </si>
  <si>
    <t>DESERT QUEEN</t>
  </si>
  <si>
    <t>REVIVAL</t>
  </si>
  <si>
    <t>MADAM CERISE</t>
  </si>
  <si>
    <t>MADAM PINK</t>
  </si>
  <si>
    <t>purple bliss</t>
  </si>
  <si>
    <t>RED WAVE</t>
  </si>
  <si>
    <t>PINK SWIRL</t>
  </si>
  <si>
    <t>BALTTORE</t>
  </si>
  <si>
    <t>THRILLER</t>
  </si>
  <si>
    <t>MAITAI</t>
  </si>
  <si>
    <t>TIGER</t>
  </si>
  <si>
    <t>PIXIE</t>
  </si>
  <si>
    <t>TRIALS</t>
  </si>
  <si>
    <t>SPRAY ROSES</t>
  </si>
  <si>
    <t>WEDDING PARTY</t>
  </si>
  <si>
    <t>ODILIA</t>
  </si>
  <si>
    <t xml:space="preserve">SNW BUBBLE </t>
  </si>
  <si>
    <t>SOWFLAKE</t>
  </si>
  <si>
    <t>COLLEEN</t>
  </si>
  <si>
    <t>SALINERO</t>
  </si>
  <si>
    <t>QUINCY</t>
  </si>
  <si>
    <t>SNOW BLOSSOM</t>
  </si>
  <si>
    <t>OLYMPIA</t>
  </si>
  <si>
    <t>PUSKIN</t>
  </si>
  <si>
    <t>ZADIQUE</t>
  </si>
  <si>
    <t>PICANTO</t>
  </si>
  <si>
    <t>GOOD MOOD</t>
  </si>
  <si>
    <t>SMOOTH.BLOSSOMS</t>
  </si>
  <si>
    <t>YELLOW BABE</t>
  </si>
  <si>
    <t>ROYAL MAGIC</t>
  </si>
  <si>
    <t>AZORE</t>
  </si>
  <si>
    <t>MIRABELL</t>
  </si>
  <si>
    <t>FANCY</t>
  </si>
  <si>
    <t>RTS</t>
  </si>
  <si>
    <t>US</t>
  </si>
  <si>
    <t>JEANINE</t>
  </si>
  <si>
    <t>velox</t>
  </si>
  <si>
    <t>VELVET</t>
  </si>
  <si>
    <t>GOLDEN BLOSSOM</t>
  </si>
  <si>
    <t>RELANX</t>
  </si>
  <si>
    <t>INNOCENT</t>
  </si>
  <si>
    <t>TARANTELLA</t>
  </si>
  <si>
    <t>SWEET BLOSSOM</t>
  </si>
  <si>
    <t>S.SHADOW</t>
  </si>
  <si>
    <t>MARISSA</t>
  </si>
  <si>
    <t>B.BUBBLE</t>
  </si>
  <si>
    <t>passion</t>
  </si>
  <si>
    <t>Earth and fire</t>
  </si>
  <si>
    <t>FIREWORK</t>
  </si>
  <si>
    <t>LAND AND FIRE</t>
  </si>
  <si>
    <t xml:space="preserve">         </t>
  </si>
  <si>
    <t>REFLEX</t>
  </si>
  <si>
    <t>NIKITA</t>
  </si>
  <si>
    <t>sedina</t>
  </si>
  <si>
    <t>SPEAKING BLOSSOM</t>
  </si>
  <si>
    <t>GRAND TOTAL</t>
  </si>
  <si>
    <t>TOTAL MONTHLY PRODUCTION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</si>
  <si>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</si>
  <si>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</si>
  <si>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</si>
  <si>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</si>
  <si>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</si>
  <si>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</si>
  <si>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</si>
  <si>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</si>
  <si>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</si>
  <si>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</si>
  <si>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</si>
  <si>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</si>
  <si>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</si>
  <si>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</si>
  <si>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</si>
  <si>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</si>
  <si>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</si>
  <si>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</si>
  <si>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</si>
  <si>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</si>
  <si>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</si>
  <si>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</si>
  <si>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</si>
  <si>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</si>
  <si>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</si>
  <si>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</si>
  <si>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</si>
  <si>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</si>
  <si>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</si>
  <si>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</si>
  <si>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</si>
  <si>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MONTH: FEBRUARY 2026                                                                         HERITAGE VARIETIES DAILY PRODUCTION RECORDS</t>
  </si>
  <si>
    <t>MONTH: JANUARY 2026                                   HERITAGE VARIETIES DAILY PRODUCTION RECORDS</t>
  </si>
  <si>
    <t xml:space="preserve">   Rose Madam Red </t>
  </si>
  <si>
    <t xml:space="preserve"> Rose NIGHT GALE</t>
  </si>
  <si>
    <t xml:space="preserve"> Rose ATHENA WHITE</t>
  </si>
  <si>
    <t xml:space="preserve"> Rose ROYAL ATHENA</t>
  </si>
  <si>
    <t xml:space="preserve"> Rose PINK ATHENA</t>
  </si>
  <si>
    <t xml:space="preserve"> Rose EVERED</t>
  </si>
  <si>
    <t xml:space="preserve"> Rose REDBENTLY</t>
  </si>
  <si>
    <t xml:space="preserve"> Rose BELLA ROSE</t>
  </si>
  <si>
    <t xml:space="preserve"> Rose CARISE</t>
  </si>
  <si>
    <t xml:space="preserve"> Rose ORANGE WAVE</t>
  </si>
  <si>
    <t xml:space="preserve"> Rose MOONWALK</t>
  </si>
  <si>
    <t xml:space="preserve"> Rose MOVIE STAR</t>
  </si>
  <si>
    <t xml:space="preserve"> Rose BAHAMA</t>
  </si>
  <si>
    <t xml:space="preserve"> Rose CELINA</t>
  </si>
  <si>
    <t xml:space="preserve"> Rose labelle</t>
  </si>
  <si>
    <t xml:space="preserve"> Rose LAMPION</t>
  </si>
  <si>
    <t xml:space="preserve"> Rose JUMILIA</t>
  </si>
  <si>
    <t xml:space="preserve"> Rose CHELSIE</t>
  </si>
  <si>
    <t xml:space="preserve"> Rose DESERT QUEEN</t>
  </si>
  <si>
    <t xml:space="preserve"> Rose REVIVAL</t>
  </si>
  <si>
    <t xml:space="preserve"> Rose MADAM CERISE</t>
  </si>
  <si>
    <t xml:space="preserve"> Rose MADAM PINK</t>
  </si>
  <si>
    <t xml:space="preserve"> Rose purple bliss</t>
  </si>
  <si>
    <t xml:space="preserve"> Rose RED WAVE</t>
  </si>
  <si>
    <t xml:space="preserve"> Rose PINK SWIRL</t>
  </si>
  <si>
    <t xml:space="preserve"> Rose BALTTORE</t>
  </si>
  <si>
    <t xml:space="preserve"> Rose THRILLER</t>
  </si>
  <si>
    <t xml:space="preserve"> Rose MAITAI</t>
  </si>
  <si>
    <t xml:space="preserve"> Rose TIGER</t>
  </si>
  <si>
    <t xml:space="preserve"> Rose PIXIE</t>
  </si>
  <si>
    <t xml:space="preserve"> Rose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</si>
</sst>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399822992645039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rgb="FF000000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4" fillId="0" borderId="0"/>
  </cellStyleXfs>
  <cellXfs count="250">
    <xf numFmtId="0" fontId="0" fillId="0" borderId="0" xfId="0"/>
    <xf numFmtId="0" fontId="0" fillId="0" borderId="2" xfId="0" applyBorder="1"/>
    <xf numFmtId="0" fontId="6" fillId="3" borderId="6" xfId="0" applyFont="1" applyFill="1" applyBorder="1"/>
    <xf numFmtId="0" fontId="6" fillId="3" borderId="14" xfId="0" applyFont="1" applyFill="1" applyBorder="1"/>
    <xf numFmtId="0" fontId="6" fillId="3" borderId="7" xfId="0" applyFont="1" applyFill="1" applyBorder="1"/>
    <xf numFmtId="0" fontId="6" fillId="3" borderId="24" xfId="0" applyFont="1" applyFill="1" applyBorder="1"/>
    <xf numFmtId="0" fontId="10" fillId="3" borderId="8" xfId="0" applyFont="1" applyFill="1" applyBorder="1"/>
    <xf numFmtId="0" fontId="6" fillId="6" borderId="8" xfId="0" applyFont="1" applyFill="1" applyBorder="1"/>
    <xf numFmtId="0" fontId="6" fillId="3" borderId="25" xfId="0" applyFont="1" applyFill="1" applyBorder="1"/>
    <xf numFmtId="0" fontId="6" fillId="3" borderId="26" xfId="0" applyFont="1" applyFill="1" applyBorder="1"/>
    <xf numFmtId="0" fontId="6" fillId="7" borderId="14" xfId="0" applyFont="1" applyFill="1" applyBorder="1"/>
    <xf numFmtId="0" fontId="5" fillId="7" borderId="14" xfId="0" applyFont="1" applyFill="1" applyBorder="1"/>
    <xf numFmtId="0" fontId="5" fillId="3" borderId="14" xfId="0" applyFont="1" applyFill="1" applyBorder="1"/>
    <xf numFmtId="0" fontId="5" fillId="3" borderId="4" xfId="0" applyFont="1" applyFill="1" applyBorder="1"/>
    <xf numFmtId="0" fontId="5" fillId="7" borderId="0" xfId="0" applyFont="1" applyFill="1"/>
    <xf numFmtId="0" fontId="5" fillId="6" borderId="40" xfId="0" applyFont="1" applyFill="1" applyBorder="1"/>
    <xf numFmtId="0" fontId="5" fillId="10" borderId="40" xfId="0" applyFont="1" applyFill="1" applyBorder="1"/>
    <xf numFmtId="0" fontId="5" fillId="3" borderId="15" xfId="0" applyFont="1" applyFill="1" applyBorder="1"/>
    <xf numFmtId="0" fontId="5" fillId="3" borderId="3" xfId="0" applyFont="1" applyFill="1" applyBorder="1"/>
    <xf numFmtId="0" fontId="5" fillId="3" borderId="35" xfId="0" applyFont="1" applyFill="1" applyBorder="1"/>
    <xf numFmtId="0" fontId="6" fillId="11" borderId="14" xfId="0" applyFont="1" applyFill="1" applyBorder="1"/>
    <xf numFmtId="0" fontId="5" fillId="3" borderId="2" xfId="0" applyFont="1" applyFill="1" applyBorder="1"/>
    <xf numFmtId="0" fontId="5" fillId="3" borderId="23" xfId="0" applyFont="1" applyFill="1" applyBorder="1"/>
    <xf numFmtId="0" fontId="5" fillId="3" borderId="21" xfId="0" applyFont="1" applyFill="1" applyBorder="1"/>
    <xf numFmtId="0" fontId="0" fillId="11" borderId="2" xfId="0" applyFill="1" applyBorder="1"/>
    <xf numFmtId="0" fontId="7" fillId="11" borderId="33" xfId="0" applyFont="1" applyFill="1" applyBorder="1"/>
    <xf numFmtId="0" fontId="9" fillId="4" borderId="14" xfId="0" applyFont="1" applyFill="1" applyBorder="1"/>
    <xf numFmtId="0" fontId="9" fillId="4" borderId="2" xfId="0" applyFont="1" applyFill="1" applyBorder="1"/>
    <xf numFmtId="0" fontId="9" fillId="9" borderId="11" xfId="0" applyFont="1" applyFill="1" applyBorder="1"/>
    <xf numFmtId="0" fontId="9" fillId="9" borderId="10" xfId="0" applyFont="1" applyFill="1" applyBorder="1"/>
    <xf numFmtId="0" fontId="9" fillId="9" borderId="16" xfId="0" applyFont="1" applyFill="1" applyBorder="1"/>
    <xf numFmtId="0" fontId="9" fillId="9" borderId="13" xfId="0" applyFont="1" applyFill="1" applyBorder="1"/>
    <xf numFmtId="0" fontId="13" fillId="9" borderId="12" xfId="0" applyFont="1" applyFill="1" applyBorder="1"/>
    <xf numFmtId="0" fontId="9" fillId="9" borderId="12" xfId="0" applyFont="1" applyFill="1" applyBorder="1"/>
    <xf numFmtId="0" fontId="9" fillId="9" borderId="14" xfId="0" applyFont="1" applyFill="1" applyBorder="1"/>
    <xf numFmtId="0" fontId="9" fillId="9" borderId="37" xfId="0" applyFont="1" applyFill="1" applyBorder="1"/>
    <xf numFmtId="0" fontId="9" fillId="9" borderId="38" xfId="0" applyFont="1" applyFill="1" applyBorder="1"/>
    <xf numFmtId="0" fontId="9" fillId="9" borderId="27" xfId="0" applyFont="1" applyFill="1" applyBorder="1"/>
    <xf numFmtId="0" fontId="9" fillId="9" borderId="34" xfId="0" applyFont="1" applyFill="1" applyBorder="1"/>
    <xf numFmtId="0" fontId="9" fillId="9" borderId="25" xfId="0" applyFont="1" applyFill="1" applyBorder="1"/>
    <xf numFmtId="0" fontId="9" fillId="9" borderId="2" xfId="0" applyFont="1" applyFill="1" applyBorder="1"/>
    <xf numFmtId="0" fontId="9" fillId="9" borderId="2" xfId="0" applyFont="1" applyFill="1" applyBorder="1" applyAlignment="1">
      <alignment horizontal="center"/>
    </xf>
    <xf numFmtId="0" fontId="14" fillId="9" borderId="2" xfId="0" applyFont="1" applyFill="1" applyBorder="1"/>
    <xf numFmtId="0" fontId="14" fillId="9" borderId="0" xfId="0" applyFont="1" applyFill="1"/>
    <xf numFmtId="0" fontId="9" fillId="4" borderId="33" xfId="0" applyFont="1" applyFill="1" applyBorder="1"/>
    <xf numFmtId="0" fontId="9" fillId="4" borderId="6" xfId="0" applyFont="1" applyFill="1" applyBorder="1"/>
    <xf numFmtId="0" fontId="6" fillId="11" borderId="7" xfId="0" applyFont="1" applyFill="1" applyBorder="1"/>
    <xf numFmtId="0" fontId="6" fillId="11" borderId="24" xfId="0" applyFont="1" applyFill="1" applyBorder="1"/>
    <xf numFmtId="0" fontId="10" fillId="11" borderId="8" xfId="0" applyFont="1" applyFill="1" applyBorder="1"/>
    <xf numFmtId="0" fontId="6" fillId="11" borderId="8" xfId="0" applyFont="1" applyFill="1" applyBorder="1"/>
    <xf numFmtId="0" fontId="6" fillId="11" borderId="5" xfId="0" applyFont="1" applyFill="1" applyBorder="1"/>
    <xf numFmtId="0" fontId="6" fillId="11" borderId="25" xfId="0" applyFont="1" applyFill="1" applyBorder="1"/>
    <xf numFmtId="0" fontId="6" fillId="11" borderId="26" xfId="0" applyFont="1" applyFill="1" applyBorder="1"/>
    <xf numFmtId="0" fontId="6" fillId="11" borderId="35" xfId="0" applyFont="1" applyFill="1" applyBorder="1"/>
    <xf numFmtId="0" fontId="5" fillId="11" borderId="5" xfId="0" applyFont="1" applyFill="1" applyBorder="1"/>
    <xf numFmtId="0" fontId="5" fillId="11" borderId="35" xfId="0" applyFont="1" applyFill="1" applyBorder="1"/>
    <xf numFmtId="0" fontId="6" fillId="11" borderId="6" xfId="0" applyFont="1" applyFill="1" applyBorder="1"/>
    <xf numFmtId="0" fontId="5" fillId="11" borderId="25" xfId="0" applyFont="1" applyFill="1" applyBorder="1"/>
    <xf numFmtId="0" fontId="0" fillId="11" borderId="0" xfId="0" applyFill="1"/>
    <xf numFmtId="0" fontId="6" fillId="11" borderId="3" xfId="0" applyFont="1" applyFill="1" applyBorder="1"/>
    <xf numFmtId="0" fontId="6" fillId="11" borderId="4" xfId="0" applyFont="1" applyFill="1" applyBorder="1"/>
    <xf numFmtId="0" fontId="6" fillId="11" borderId="15" xfId="0" applyFont="1" applyFill="1" applyBorder="1"/>
    <xf numFmtId="0" fontId="6" fillId="11" borderId="31" xfId="0" applyFont="1" applyFill="1" applyBorder="1"/>
    <xf numFmtId="0" fontId="10" fillId="11" borderId="5" xfId="0" applyFont="1" applyFill="1" applyBorder="1"/>
    <xf numFmtId="0" fontId="6" fillId="11" borderId="36" xfId="0" applyFont="1" applyFill="1" applyBorder="1"/>
    <xf numFmtId="0" fontId="6" fillId="11" borderId="41" xfId="0" applyFont="1" applyFill="1" applyBorder="1"/>
    <xf numFmtId="0" fontId="6" fillId="11" borderId="42" xfId="0" applyFont="1" applyFill="1" applyBorder="1"/>
    <xf numFmtId="0" fontId="5" fillId="11" borderId="44" xfId="0" applyFont="1" applyFill="1" applyBorder="1"/>
    <xf numFmtId="0" fontId="7" fillId="11" borderId="16" xfId="0" applyFont="1" applyFill="1" applyBorder="1"/>
    <xf numFmtId="0" fontId="5" fillId="11" borderId="14" xfId="0" applyFont="1" applyFill="1" applyBorder="1"/>
    <xf numFmtId="0" fontId="5" fillId="11" borderId="8" xfId="0" applyFont="1" applyFill="1" applyBorder="1"/>
    <xf numFmtId="0" fontId="6" fillId="11" borderId="9" xfId="0" applyFont="1" applyFill="1" applyBorder="1"/>
    <xf numFmtId="0" fontId="10" fillId="11" borderId="18" xfId="0" applyFont="1" applyFill="1" applyBorder="1"/>
    <xf numFmtId="0" fontId="7" fillId="11" borderId="45" xfId="0" applyFont="1" applyFill="1" applyBorder="1"/>
    <xf numFmtId="0" fontId="6" fillId="11" borderId="23" xfId="0" applyFont="1" applyFill="1" applyBorder="1"/>
    <xf numFmtId="0" fontId="6" fillId="11" borderId="17" xfId="0" applyFont="1" applyFill="1" applyBorder="1"/>
    <xf numFmtId="0" fontId="6" fillId="11" borderId="48" xfId="0" applyFont="1" applyFill="1" applyBorder="1"/>
    <xf numFmtId="0" fontId="6" fillId="11" borderId="18" xfId="0" applyFont="1" applyFill="1" applyBorder="1"/>
    <xf numFmtId="0" fontId="6" fillId="11" borderId="54" xfId="0" applyFont="1" applyFill="1" applyBorder="1"/>
    <xf numFmtId="0" fontId="6" fillId="11" borderId="55" xfId="0" applyFont="1" applyFill="1" applyBorder="1"/>
    <xf numFmtId="0" fontId="5" fillId="11" borderId="18" xfId="0" applyFont="1" applyFill="1" applyBorder="1"/>
    <xf numFmtId="0" fontId="5" fillId="11" borderId="54" xfId="0" applyFont="1" applyFill="1" applyBorder="1"/>
    <xf numFmtId="0" fontId="6" fillId="11" borderId="47" xfId="0" applyFont="1" applyFill="1" applyBorder="1"/>
    <xf numFmtId="0" fontId="6" fillId="11" borderId="45" xfId="0" applyFont="1" applyFill="1" applyBorder="1"/>
    <xf numFmtId="0" fontId="6" fillId="11" borderId="49" xfId="0" applyFont="1" applyFill="1" applyBorder="1"/>
    <xf numFmtId="0" fontId="10" fillId="11" borderId="0" xfId="0" applyFont="1" applyFill="1"/>
    <xf numFmtId="0" fontId="6" fillId="11" borderId="53" xfId="0" applyFont="1" applyFill="1" applyBorder="1"/>
    <xf numFmtId="0" fontId="6" fillId="11" borderId="0" xfId="0" applyFont="1" applyFill="1"/>
    <xf numFmtId="0" fontId="6" fillId="11" borderId="19" xfId="0" applyFont="1" applyFill="1" applyBorder="1"/>
    <xf numFmtId="0" fontId="6" fillId="11" borderId="57" xfId="0" applyFont="1" applyFill="1" applyBorder="1"/>
    <xf numFmtId="0" fontId="5" fillId="11" borderId="0" xfId="0" applyFont="1" applyFill="1"/>
    <xf numFmtId="0" fontId="5" fillId="11" borderId="57" xfId="0" applyFont="1" applyFill="1" applyBorder="1"/>
    <xf numFmtId="0" fontId="7" fillId="11" borderId="47" xfId="0" applyFont="1" applyFill="1" applyBorder="1"/>
    <xf numFmtId="0" fontId="7" fillId="11" borderId="49" xfId="0" applyFont="1" applyFill="1" applyBorder="1"/>
    <xf numFmtId="0" fontId="12" fillId="11" borderId="0" xfId="0" applyFont="1" applyFill="1"/>
    <xf numFmtId="0" fontId="7" fillId="11" borderId="53" xfId="0" applyFont="1" applyFill="1" applyBorder="1"/>
    <xf numFmtId="0" fontId="7" fillId="11" borderId="0" xfId="0" applyFont="1" applyFill="1"/>
    <xf numFmtId="1" fontId="7" fillId="11" borderId="45" xfId="0" applyNumberFormat="1" applyFont="1" applyFill="1" applyBorder="1"/>
    <xf numFmtId="0" fontId="7" fillId="11" borderId="19" xfId="0" applyFont="1" applyFill="1" applyBorder="1"/>
    <xf numFmtId="0" fontId="7" fillId="11" borderId="57" xfId="0" applyFont="1" applyFill="1" applyBorder="1"/>
    <xf numFmtId="0" fontId="9" fillId="11" borderId="47" xfId="0" applyFont="1" applyFill="1" applyBorder="1"/>
    <xf numFmtId="0" fontId="9" fillId="11" borderId="19" xfId="0" applyFont="1" applyFill="1" applyBorder="1"/>
    <xf numFmtId="0" fontId="9" fillId="11" borderId="57" xfId="0" applyFont="1" applyFill="1" applyBorder="1"/>
    <xf numFmtId="0" fontId="5" fillId="3" borderId="46" xfId="0" applyFont="1" applyFill="1" applyBorder="1"/>
    <xf numFmtId="0" fontId="14" fillId="9" borderId="1" xfId="0" applyFont="1" applyFill="1" applyBorder="1"/>
    <xf numFmtId="14" fontId="5" fillId="3" borderId="50" xfId="0" applyNumberFormat="1" applyFont="1" applyFill="1" applyBorder="1"/>
    <xf numFmtId="0" fontId="5" fillId="3" borderId="62" xfId="0" applyFont="1" applyFill="1" applyBorder="1"/>
    <xf numFmtId="0" fontId="5" fillId="3" borderId="63" xfId="0" applyFont="1" applyFill="1" applyBorder="1"/>
    <xf numFmtId="14" fontId="11" fillId="3" borderId="62" xfId="0" applyNumberFormat="1" applyFont="1" applyFill="1" applyBorder="1"/>
    <xf numFmtId="0" fontId="5" fillId="6" borderId="62" xfId="0" applyFont="1" applyFill="1" applyBorder="1"/>
    <xf numFmtId="0" fontId="5" fillId="3" borderId="50" xfId="0" applyFont="1" applyFill="1" applyBorder="1"/>
    <xf numFmtId="0" fontId="5" fillId="3" borderId="42" xfId="0" applyFont="1" applyFill="1" applyBorder="1"/>
    <xf numFmtId="0" fontId="5" fillId="3" borderId="39" xfId="0" applyFont="1" applyFill="1" applyBorder="1"/>
    <xf numFmtId="0" fontId="5" fillId="7" borderId="62" xfId="0" applyFont="1" applyFill="1" applyBorder="1"/>
    <xf numFmtId="0" fontId="5" fillId="6" borderId="39" xfId="0" applyFont="1" applyFill="1" applyBorder="1"/>
    <xf numFmtId="0" fontId="5" fillId="6" borderId="61" xfId="0" applyFont="1" applyFill="1" applyBorder="1"/>
    <xf numFmtId="0" fontId="5" fillId="10" borderId="39" xfId="0" applyFont="1" applyFill="1" applyBorder="1"/>
    <xf numFmtId="0" fontId="5" fillId="8" borderId="64" xfId="0" applyFont="1" applyFill="1" applyBorder="1"/>
    <xf numFmtId="0" fontId="5" fillId="8" borderId="39" xfId="0" applyFont="1" applyFill="1" applyBorder="1"/>
    <xf numFmtId="14" fontId="5" fillId="3" borderId="15" xfId="0" applyNumberFormat="1" applyFont="1" applyFill="1" applyBorder="1"/>
    <xf numFmtId="0" fontId="9" fillId="11" borderId="2" xfId="0" applyFont="1" applyFill="1" applyBorder="1"/>
    <xf numFmtId="0" fontId="16" fillId="11" borderId="0" xfId="0" applyFont="1" applyFill="1"/>
    <xf numFmtId="0" fontId="5" fillId="0" borderId="0" xfId="0" applyFont="1"/>
    <xf numFmtId="0" fontId="9" fillId="3" borderId="61" xfId="0" applyFont="1" applyFill="1" applyBorder="1"/>
    <xf numFmtId="0" fontId="9" fillId="2" borderId="60" xfId="0" applyFont="1" applyFill="1" applyBorder="1" applyAlignment="1">
      <alignment horizontal="center"/>
    </xf>
    <xf numFmtId="0" fontId="9" fillId="11" borderId="3" xfId="0" applyFont="1" applyFill="1" applyBorder="1"/>
    <xf numFmtId="0" fontId="9" fillId="11" borderId="6" xfId="0" applyFont="1" applyFill="1" applyBorder="1"/>
    <xf numFmtId="0" fontId="9" fillId="11" borderId="9" xfId="0" applyFont="1" applyFill="1" applyBorder="1"/>
    <xf numFmtId="0" fontId="9" fillId="11" borderId="14" xfId="0" applyFont="1" applyFill="1" applyBorder="1"/>
    <xf numFmtId="0" fontId="9" fillId="3" borderId="6" xfId="0" applyFont="1" applyFill="1" applyBorder="1"/>
    <xf numFmtId="0" fontId="9" fillId="2" borderId="2" xfId="0" applyFont="1" applyFill="1" applyBorder="1" applyAlignment="1">
      <alignment horizontal="center"/>
    </xf>
    <xf numFmtId="0" fontId="9" fillId="11" borderId="1" xfId="0" applyFont="1" applyFill="1" applyBorder="1"/>
    <xf numFmtId="0" fontId="9" fillId="5" borderId="1" xfId="0" applyFont="1" applyFill="1" applyBorder="1"/>
    <xf numFmtId="0" fontId="9" fillId="4" borderId="1" xfId="0" applyFont="1" applyFill="1" applyBorder="1"/>
    <xf numFmtId="0" fontId="9" fillId="3" borderId="1" xfId="0" applyFont="1" applyFill="1" applyBorder="1"/>
    <xf numFmtId="0" fontId="9" fillId="0" borderId="0" xfId="0" applyFont="1"/>
    <xf numFmtId="0" fontId="16" fillId="11" borderId="14" xfId="0" applyFont="1" applyFill="1" applyBorder="1"/>
    <xf numFmtId="0" fontId="16" fillId="11" borderId="2" xfId="0" applyFont="1" applyFill="1" applyBorder="1"/>
    <xf numFmtId="0" fontId="16" fillId="11" borderId="1" xfId="0" applyFont="1" applyFill="1" applyBorder="1"/>
    <xf numFmtId="0" fontId="17" fillId="7" borderId="2" xfId="0" applyFont="1" applyFill="1" applyBorder="1"/>
    <xf numFmtId="0" fontId="16" fillId="11" borderId="21" xfId="0" applyFont="1" applyFill="1" applyBorder="1"/>
    <xf numFmtId="0" fontId="16" fillId="11" borderId="23" xfId="0" applyFont="1" applyFill="1" applyBorder="1"/>
    <xf numFmtId="0" fontId="16" fillId="11" borderId="6" xfId="0" applyFont="1" applyFill="1" applyBorder="1"/>
    <xf numFmtId="0" fontId="16" fillId="11" borderId="26" xfId="0" applyFont="1" applyFill="1" applyBorder="1"/>
    <xf numFmtId="0" fontId="16" fillId="11" borderId="8" xfId="0" applyFont="1" applyFill="1" applyBorder="1"/>
    <xf numFmtId="0" fontId="8" fillId="11" borderId="45" xfId="0" applyFont="1" applyFill="1" applyBorder="1"/>
    <xf numFmtId="0" fontId="8" fillId="11" borderId="2" xfId="0" applyFont="1" applyFill="1" applyBorder="1"/>
    <xf numFmtId="0" fontId="4" fillId="0" borderId="0" xfId="0" applyFont="1"/>
    <xf numFmtId="0" fontId="4" fillId="7" borderId="0" xfId="0" applyFont="1" applyFill="1"/>
    <xf numFmtId="0" fontId="0" fillId="0" borderId="21" xfId="0" applyBorder="1"/>
    <xf numFmtId="0" fontId="7" fillId="9" borderId="2" xfId="0" applyFont="1" applyFill="1" applyBorder="1"/>
    <xf numFmtId="0" fontId="4" fillId="11" borderId="2" xfId="1" applyFill="1" applyBorder="1"/>
    <xf numFmtId="0" fontId="9" fillId="4" borderId="50" xfId="0" applyFont="1" applyFill="1" applyBorder="1"/>
    <xf numFmtId="0" fontId="9" fillId="4" borderId="51" xfId="0" applyFont="1" applyFill="1" applyBorder="1"/>
    <xf numFmtId="0" fontId="9" fillId="4" borderId="52" xfId="0" applyFont="1" applyFill="1" applyBorder="1"/>
    <xf numFmtId="0" fontId="13" fillId="4" borderId="29" xfId="0" applyFont="1" applyFill="1" applyBorder="1"/>
    <xf numFmtId="0" fontId="9" fillId="4" borderId="30" xfId="0" applyFont="1" applyFill="1" applyBorder="1"/>
    <xf numFmtId="1" fontId="9" fillId="4" borderId="33" xfId="0" applyNumberFormat="1" applyFont="1" applyFill="1" applyBorder="1"/>
    <xf numFmtId="0" fontId="9" fillId="4" borderId="29" xfId="0" applyFont="1" applyFill="1" applyBorder="1"/>
    <xf numFmtId="0" fontId="9" fillId="4" borderId="56" xfId="0" applyFont="1" applyFill="1" applyBorder="1"/>
    <xf numFmtId="0" fontId="9" fillId="4" borderId="43" xfId="0" applyFont="1" applyFill="1" applyBorder="1"/>
    <xf numFmtId="0" fontId="9" fillId="4" borderId="27" xfId="0" applyFont="1" applyFill="1" applyBorder="1"/>
    <xf numFmtId="0" fontId="9" fillId="4" borderId="34" xfId="0" applyFont="1" applyFill="1" applyBorder="1"/>
    <xf numFmtId="0" fontId="9" fillId="4" borderId="58" xfId="0" applyFont="1" applyFill="1" applyBorder="1"/>
    <xf numFmtId="0" fontId="9" fillId="4" borderId="59" xfId="0" applyFont="1" applyFill="1" applyBorder="1"/>
    <xf numFmtId="0" fontId="9" fillId="4" borderId="42" xfId="0" applyFont="1" applyFill="1" applyBorder="1"/>
    <xf numFmtId="0" fontId="9" fillId="4" borderId="26" xfId="0" applyFont="1" applyFill="1" applyBorder="1"/>
    <xf numFmtId="0" fontId="9" fillId="4" borderId="28" xfId="0" applyFont="1" applyFill="1" applyBorder="1"/>
    <xf numFmtId="3" fontId="9" fillId="4" borderId="27" xfId="0" applyNumberFormat="1" applyFont="1" applyFill="1" applyBorder="1"/>
    <xf numFmtId="0" fontId="9" fillId="4" borderId="39" xfId="0" applyFont="1" applyFill="1" applyBorder="1"/>
    <xf numFmtId="0" fontId="9" fillId="4" borderId="15" xfId="0" applyFont="1" applyFill="1" applyBorder="1"/>
    <xf numFmtId="0" fontId="7" fillId="4" borderId="2" xfId="0" applyFont="1" applyFill="1" applyBorder="1"/>
    <xf numFmtId="0" fontId="9" fillId="4" borderId="0" xfId="0" applyFont="1" applyFill="1"/>
    <xf numFmtId="0" fontId="19" fillId="7" borderId="2" xfId="0" applyFont="1" applyFill="1" applyBorder="1"/>
    <xf numFmtId="0" fontId="19" fillId="0" borderId="0" xfId="0" applyFont="1"/>
    <xf numFmtId="0" fontId="19" fillId="7" borderId="0" xfId="0" applyFont="1" applyFill="1"/>
    <xf numFmtId="0" fontId="17" fillId="7" borderId="22" xfId="0" applyFont="1" applyFill="1" applyBorder="1" applyAlignment="1">
      <alignment wrapText="1"/>
    </xf>
    <xf numFmtId="0" fontId="17" fillId="4" borderId="2" xfId="0" applyFont="1" applyFill="1" applyBorder="1"/>
    <xf numFmtId="0" fontId="17" fillId="12" borderId="2" xfId="0" applyFont="1" applyFill="1" applyBorder="1"/>
    <xf numFmtId="0" fontId="0" fillId="0" borderId="1" xfId="0" applyBorder="1"/>
    <xf numFmtId="0" fontId="9" fillId="7" borderId="27" xfId="0" applyFont="1" applyFill="1" applyBorder="1"/>
    <xf numFmtId="0" fontId="9" fillId="7" borderId="29" xfId="0" applyFont="1" applyFill="1" applyBorder="1"/>
    <xf numFmtId="0" fontId="5" fillId="3" borderId="22" xfId="0" applyFont="1" applyFill="1" applyBorder="1"/>
    <xf numFmtId="0" fontId="20" fillId="3" borderId="66" xfId="0" applyFont="1" applyFill="1" applyBorder="1"/>
    <xf numFmtId="0" fontId="20" fillId="3" borderId="22" xfId="0" applyFont="1" applyFill="1" applyBorder="1"/>
    <xf numFmtId="0" fontId="5" fillId="3" borderId="66" xfId="0" applyFont="1" applyFill="1" applyBorder="1"/>
    <xf numFmtId="0" fontId="5" fillId="3" borderId="67" xfId="0" applyFont="1" applyFill="1" applyBorder="1"/>
    <xf numFmtId="14" fontId="5" fillId="3" borderId="58" xfId="0" applyNumberFormat="1" applyFont="1" applyFill="1" applyBorder="1"/>
    <xf numFmtId="14" fontId="5" fillId="3" borderId="33" xfId="0" applyNumberFormat="1" applyFont="1" applyFill="1" applyBorder="1"/>
    <xf numFmtId="14" fontId="5" fillId="3" borderId="43" xfId="0" applyNumberFormat="1" applyFont="1" applyFill="1" applyBorder="1"/>
    <xf numFmtId="14" fontId="5" fillId="3" borderId="68" xfId="0" applyNumberFormat="1" applyFont="1" applyFill="1" applyBorder="1"/>
    <xf numFmtId="0" fontId="6" fillId="3" borderId="15" xfId="0" applyFont="1" applyFill="1" applyBorder="1"/>
    <xf numFmtId="0" fontId="21" fillId="3" borderId="21" xfId="0" applyFont="1" applyFill="1" applyBorder="1"/>
    <xf numFmtId="0" fontId="21" fillId="11" borderId="21" xfId="0" applyFont="1" applyFill="1" applyBorder="1"/>
    <xf numFmtId="0" fontId="0" fillId="0" borderId="22" xfId="0" applyBorder="1"/>
    <xf numFmtId="0" fontId="9" fillId="11" borderId="29" xfId="0" applyFont="1" applyFill="1" applyBorder="1"/>
    <xf numFmtId="14" fontId="5" fillId="11" borderId="68" xfId="0" applyNumberFormat="1" applyFont="1" applyFill="1" applyBorder="1"/>
    <xf numFmtId="0" fontId="2" fillId="13" borderId="2" xfId="0" applyFont="1" applyFill="1" applyBorder="1"/>
    <xf numFmtId="0" fontId="9" fillId="13" borderId="1" xfId="0" applyFont="1" applyFill="1" applyBorder="1"/>
    <xf numFmtId="0" fontId="0" fillId="13" borderId="2" xfId="0" applyFill="1" applyBorder="1"/>
    <xf numFmtId="0" fontId="0" fillId="13" borderId="1" xfId="0" applyFill="1" applyBorder="1"/>
    <xf numFmtId="0" fontId="3" fillId="13" borderId="2" xfId="0" applyFont="1" applyFill="1" applyBorder="1"/>
    <xf numFmtId="0" fontId="0" fillId="13" borderId="0" xfId="0" applyFill="1"/>
    <xf numFmtId="0" fontId="14" fillId="13" borderId="1" xfId="0" applyFont="1" applyFill="1" applyBorder="1"/>
    <xf numFmtId="0" fontId="3" fillId="13" borderId="1" xfId="0" applyFont="1" applyFill="1" applyBorder="1"/>
    <xf numFmtId="0" fontId="3" fillId="13" borderId="0" xfId="0" applyFont="1" applyFill="1"/>
    <xf numFmtId="0" fontId="0" fillId="5" borderId="2" xfId="0" applyFill="1" applyBorder="1" applyAlignment="1">
      <alignment horizontal="center"/>
    </xf>
    <xf numFmtId="0" fontId="0" fillId="5" borderId="0" xfId="0" applyFill="1"/>
    <xf numFmtId="0" fontId="0" fillId="5" borderId="2" xfId="0" applyFill="1" applyBorder="1"/>
    <xf numFmtId="0" fontId="22" fillId="5" borderId="69" xfId="0" applyFont="1" applyFill="1" applyBorder="1"/>
    <xf numFmtId="0" fontId="0" fillId="5" borderId="20" xfId="0" applyFill="1" applyBorder="1"/>
    <xf numFmtId="0" fontId="21" fillId="5" borderId="2" xfId="0" applyFont="1" applyFill="1" applyBorder="1"/>
    <xf numFmtId="0" fontId="21" fillId="5" borderId="21" xfId="0" applyFont="1" applyFill="1" applyBorder="1"/>
    <xf numFmtId="0" fontId="23" fillId="14" borderId="1" xfId="0" applyFont="1" applyFill="1" applyBorder="1"/>
    <xf numFmtId="0" fontId="23" fillId="14" borderId="2" xfId="0" applyFont="1" applyFill="1" applyBorder="1"/>
    <xf numFmtId="0" fontId="23" fillId="14" borderId="0" xfId="0" applyFont="1" applyFill="1"/>
    <xf numFmtId="0" fontId="23" fillId="7" borderId="27" xfId="0" applyFont="1" applyFill="1" applyBorder="1"/>
    <xf numFmtId="0" fontId="23" fillId="7" borderId="65" xfId="0" applyFont="1" applyFill="1" applyBorder="1"/>
    <xf numFmtId="0" fontId="23" fillId="7" borderId="23" xfId="0" applyFont="1" applyFill="1" applyBorder="1"/>
    <xf numFmtId="0" fontId="23" fillId="7" borderId="29" xfId="0" applyFont="1" applyFill="1" applyBorder="1"/>
    <xf numFmtId="0" fontId="9" fillId="7" borderId="70" xfId="0" applyFont="1" applyFill="1" applyBorder="1"/>
    <xf numFmtId="0" fontId="6" fillId="5" borderId="7" xfId="0" applyFont="1" applyFill="1" applyBorder="1"/>
    <xf numFmtId="0" fontId="6" fillId="5" borderId="14" xfId="0" applyFont="1" applyFill="1" applyBorder="1"/>
    <xf numFmtId="0" fontId="6" fillId="5" borderId="24" xfId="0" applyFont="1" applyFill="1" applyBorder="1"/>
    <xf numFmtId="0" fontId="10" fillId="5" borderId="8" xfId="0" applyFont="1" applyFill="1" applyBorder="1"/>
    <xf numFmtId="0" fontId="6" fillId="5" borderId="8" xfId="0" applyFont="1" applyFill="1" applyBorder="1"/>
    <xf numFmtId="0" fontId="6" fillId="5" borderId="5" xfId="0" applyFont="1" applyFill="1" applyBorder="1"/>
    <xf numFmtId="0" fontId="6" fillId="5" borderId="25" xfId="0" applyFont="1" applyFill="1" applyBorder="1"/>
    <xf numFmtId="0" fontId="6" fillId="5" borderId="26" xfId="0" applyFont="1" applyFill="1" applyBorder="1"/>
    <xf numFmtId="0" fontId="6" fillId="5" borderId="35" xfId="0" applyFont="1" applyFill="1" applyBorder="1"/>
    <xf numFmtId="0" fontId="5" fillId="5" borderId="5" xfId="0" applyFont="1" applyFill="1" applyBorder="1"/>
    <xf numFmtId="0" fontId="5" fillId="5" borderId="35" xfId="0" applyFont="1" applyFill="1" applyBorder="1"/>
    <xf numFmtId="0" fontId="6" fillId="5" borderId="6" xfId="0" applyFont="1" applyFill="1" applyBorder="1"/>
    <xf numFmtId="0" fontId="5" fillId="5" borderId="25" xfId="0" applyFont="1" applyFill="1" applyBorder="1"/>
    <xf numFmtId="0" fontId="4" fillId="5" borderId="2" xfId="0" applyFont="1" applyFill="1" applyBorder="1"/>
    <xf numFmtId="0" fontId="4" fillId="5" borderId="20" xfId="0" applyFont="1" applyFill="1" applyBorder="1" applyAlignment="1">
      <alignment horizontal="center"/>
    </xf>
    <xf numFmtId="0" fontId="4" fillId="5" borderId="20" xfId="0" applyFont="1" applyFill="1" applyBorder="1"/>
    <xf numFmtId="0" fontId="4" fillId="5" borderId="1" xfId="0" applyFont="1" applyFill="1" applyBorder="1"/>
    <xf numFmtId="0" fontId="17" fillId="5" borderId="2" xfId="0" applyFont="1" applyFill="1" applyBorder="1"/>
    <xf numFmtId="0" fontId="15" fillId="5" borderId="32" xfId="0" applyFont="1" applyFill="1" applyBorder="1"/>
    <xf numFmtId="0" fontId="24" fillId="0" borderId="71" xfId="0" applyFont="1" applyBorder="1"/>
    <xf numFmtId="0" fontId="9" fillId="3" borderId="2" xfId="0" applyFont="1" applyFill="1" applyBorder="1"/>
    <xf numFmtId="0" fontId="9" fillId="0" borderId="2" xfId="0" applyFont="1" applyBorder="1"/>
    <xf numFmtId="14" fontId="5" fillId="3" borderId="2" xfId="0" applyNumberFormat="1" applyFont="1" applyFill="1" applyBorder="1"/>
    <xf numFmtId="14" fontId="5" fillId="11" borderId="2" xfId="0" applyNumberFormat="1" applyFont="1" applyFill="1" applyBorder="1"/>
    <xf numFmtId="0" fontId="9" fillId="7" borderId="2" xfId="0" applyFont="1" applyFill="1" applyBorder="1" applyAlignment="1">
      <alignment horizontal="center"/>
    </xf>
    <xf numFmtId="0" fontId="9" fillId="7" borderId="2" xfId="0" applyFont="1" applyFill="1" applyBorder="1"/>
    <xf numFmtId="0" fontId="1" fillId="3" borderId="2" xfId="0" applyFont="1" applyFill="1" applyBorder="1"/>
    <xf numFmtId="0" fontId="2" fillId="0" borderId="2" xfId="0" applyFont="1" applyBorder="1"/>
    <xf numFmtId="0" fontId="1" fillId="11" borderId="2" xfId="0" applyFont="1" applyFill="1" applyBorder="1"/>
  </cellXfs>
  <cellStyles count="2">
    <cellStyle name="Normal" xfId="0" builtinId="0"/>
    <cellStyle name="Normal 2" xfId="1" xr:uid="{02CF1FA4-60EE-470E-A1D1-7527E62283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W476"/>
  <sheetViews>
    <sheetView workbookViewId="0">
      <selection activeCell="LQ6" sqref="LQ6"/>
    </sheetView>
  </sheetViews>
  <sheetFormatPr defaultColWidth="9" defaultRowHeight="23.25"/>
  <cols>
    <col min="1" max="1" width="22.140625" style="129" customWidth="1"/>
    <col min="2" max="2" width="4.5703125" style="4" hidden="1" customWidth="1"/>
    <col min="3" max="6" width="3" style="3" hidden="1" customWidth="1"/>
    <col min="7" max="7" width="3" style="5" hidden="1" customWidth="1"/>
    <col min="8" max="8" width="3" style="6" hidden="1" customWidth="1"/>
    <col min="9" max="9" width="3" style="4" hidden="1" customWidth="1"/>
    <col min="10" max="13" width="3" style="3" hidden="1" customWidth="1"/>
    <col min="14" max="14" width="3" style="5" hidden="1" customWidth="1"/>
    <col min="15" max="15" width="11.85546875" style="7" hidden="1" customWidth="1"/>
    <col min="16" max="16" width="3" style="4" hidden="1" customWidth="1"/>
    <col min="17" max="20" width="3" style="3" hidden="1" customWidth="1"/>
    <col min="21" max="21" width="3" style="5" hidden="1" customWidth="1"/>
    <col min="22" max="22" width="3" style="7" hidden="1" customWidth="1"/>
    <col min="23" max="23" width="3" style="4" hidden="1" customWidth="1"/>
    <col min="24" max="27" width="3" style="3" hidden="1" customWidth="1"/>
    <col min="28" max="28" width="3" style="5" hidden="1" customWidth="1"/>
    <col min="29" max="29" width="3" style="7" hidden="1" customWidth="1"/>
    <col min="30" max="30" width="3" style="4" hidden="1" customWidth="1"/>
    <col min="31" max="34" width="3" style="3" hidden="1" customWidth="1"/>
    <col min="35" max="35" width="3" style="5" hidden="1" customWidth="1"/>
    <col min="36" max="36" width="3" style="7" hidden="1" customWidth="1"/>
    <col min="37" max="37" width="3" style="4" hidden="1" customWidth="1"/>
    <col min="38" max="41" width="3" style="3" hidden="1" customWidth="1"/>
    <col min="42" max="42" width="3" style="5" hidden="1" customWidth="1"/>
    <col min="43" max="43" width="3" style="7" hidden="1" customWidth="1"/>
    <col min="44" max="58" width="3" style="3" hidden="1" customWidth="1"/>
    <col min="59" max="59" width="3" style="2" hidden="1" customWidth="1"/>
    <col min="60" max="60" width="3" style="8" hidden="1" customWidth="1"/>
    <col min="61" max="61" width="3" style="9" hidden="1" customWidth="1"/>
    <col min="62" max="66" width="3" style="3" hidden="1" customWidth="1"/>
    <col min="67" max="67" width="3" style="10" hidden="1" customWidth="1"/>
    <col min="68" max="68" width="3" style="3" hidden="1" customWidth="1"/>
    <col min="69" max="69" width="3" style="4" hidden="1" customWidth="1"/>
    <col min="70" max="73" width="3" style="3" hidden="1" customWidth="1"/>
    <col min="74" max="74" width="3" style="5" hidden="1" customWidth="1"/>
    <col min="75" max="75" width="3" style="6" hidden="1" customWidth="1"/>
    <col min="76" max="76" width="3" style="4" hidden="1" customWidth="1"/>
    <col min="77" max="80" width="3" style="3" hidden="1" customWidth="1"/>
    <col min="81" max="81" width="3" style="5" hidden="1" customWidth="1"/>
    <col min="82" max="82" width="3" style="7" hidden="1" customWidth="1"/>
    <col min="83" max="83" width="3" style="4" hidden="1" customWidth="1"/>
    <col min="84" max="87" width="3" style="3" hidden="1" customWidth="1"/>
    <col min="88" max="88" width="3" style="5" hidden="1" customWidth="1"/>
    <col min="89" max="89" width="3" style="7" hidden="1" customWidth="1"/>
    <col min="90" max="90" width="3" style="4" hidden="1" customWidth="1"/>
    <col min="91" max="94" width="3" style="3" hidden="1" customWidth="1"/>
    <col min="95" max="95" width="3" style="5" hidden="1" customWidth="1"/>
    <col min="96" max="96" width="3" style="7" hidden="1" customWidth="1"/>
    <col min="97" max="97" width="3" style="4" hidden="1" customWidth="1"/>
    <col min="98" max="101" width="3" style="3" hidden="1" customWidth="1"/>
    <col min="102" max="102" width="3" style="5" hidden="1" customWidth="1"/>
    <col min="103" max="103" width="3" style="7" hidden="1" customWidth="1"/>
    <col min="104" max="104" width="3" style="4" hidden="1" customWidth="1"/>
    <col min="105" max="108" width="3" style="3" hidden="1" customWidth="1"/>
    <col min="109" max="109" width="3" style="5" hidden="1" customWidth="1"/>
    <col min="110" max="110" width="3" style="7" hidden="1" customWidth="1"/>
    <col min="111" max="125" width="3" style="3" hidden="1" customWidth="1"/>
    <col min="126" max="126" width="3" style="2" hidden="1" customWidth="1"/>
    <col min="127" max="127" width="5.5703125" style="9" hidden="1" customWidth="1"/>
    <col min="128" max="128" width="4.42578125" style="3" hidden="1" customWidth="1"/>
    <col min="129" max="132" width="3" style="3" hidden="1" customWidth="1"/>
    <col min="133" max="133" width="5.5703125" style="11" hidden="1" customWidth="1"/>
    <col min="134" max="134" width="5.42578125" style="3" hidden="1" customWidth="1"/>
    <col min="135" max="135" width="5.5703125" style="9" hidden="1" customWidth="1"/>
    <col min="136" max="136" width="4.42578125" style="3" hidden="1" customWidth="1"/>
    <col min="137" max="137" width="4.140625" style="3" hidden="1" customWidth="1"/>
    <col min="138" max="138" width="3.5703125" style="3" hidden="1" customWidth="1"/>
    <col min="139" max="139" width="3.85546875" style="3" hidden="1" customWidth="1"/>
    <col min="140" max="140" width="4.28515625" style="3" hidden="1" customWidth="1"/>
    <col min="141" max="141" width="4.5703125" style="11" hidden="1" customWidth="1"/>
    <col min="142" max="142" width="5.7109375" style="3" hidden="1" customWidth="1"/>
    <col min="143" max="143" width="5.42578125" style="9" hidden="1" customWidth="1"/>
    <col min="144" max="147" width="5.85546875" style="3" hidden="1" customWidth="1"/>
    <col min="148" max="148" width="4.42578125" style="3" hidden="1" customWidth="1"/>
    <col min="149" max="149" width="6" style="11" hidden="1" customWidth="1"/>
    <col min="150" max="150" width="6.7109375" style="12" hidden="1" customWidth="1"/>
    <col min="151" max="151" width="5.85546875" style="9" hidden="1" customWidth="1"/>
    <col min="152" max="152" width="4.7109375" style="3" hidden="1" customWidth="1"/>
    <col min="153" max="153" width="3.5703125" style="3" hidden="1" customWidth="1"/>
    <col min="154" max="154" width="5.85546875" style="3" hidden="1" customWidth="1"/>
    <col min="155" max="156" width="3.5703125" style="3" hidden="1" customWidth="1"/>
    <col min="157" max="157" width="6" style="11" hidden="1" customWidth="1"/>
    <col min="158" max="158" width="6.7109375" style="12" hidden="1" customWidth="1"/>
    <col min="159" max="159" width="2.140625" style="9" hidden="1" customWidth="1"/>
    <col min="160" max="160" width="2.85546875" style="3" hidden="1" customWidth="1"/>
    <col min="161" max="161" width="3.5703125" style="3" hidden="1" customWidth="1"/>
    <col min="162" max="164" width="3.140625" style="3" hidden="1" customWidth="1"/>
    <col min="165" max="165" width="6" style="11" hidden="1" customWidth="1"/>
    <col min="166" max="166" width="6.7109375" style="12" hidden="1" customWidth="1"/>
    <col min="167" max="167" width="3.140625" style="9" hidden="1" customWidth="1"/>
    <col min="168" max="168" width="2.85546875" style="3" hidden="1" customWidth="1"/>
    <col min="169" max="169" width="3.5703125" style="3" hidden="1" customWidth="1"/>
    <col min="170" max="172" width="3.140625" style="3" hidden="1" customWidth="1"/>
    <col min="173" max="173" width="6" style="11" hidden="1" customWidth="1"/>
    <col min="174" max="174" width="6.7109375" style="12" hidden="1" customWidth="1"/>
    <col min="175" max="175" width="3.140625" style="9" hidden="1" customWidth="1"/>
    <col min="176" max="176" width="2.85546875" style="3" hidden="1" customWidth="1"/>
    <col min="177" max="177" width="3.5703125" style="3" hidden="1" customWidth="1"/>
    <col min="178" max="180" width="3.140625" style="3" hidden="1" customWidth="1"/>
    <col min="181" max="181" width="6" style="11" hidden="1" customWidth="1"/>
    <col min="182" max="182" width="6.7109375" style="12" hidden="1" customWidth="1"/>
    <col min="183" max="188" width="3" style="3" hidden="1" customWidth="1"/>
    <col min="189" max="189" width="8.28515625" style="3" hidden="1" customWidth="1"/>
    <col min="190" max="190" width="8.7109375" style="3" hidden="1" customWidth="1"/>
    <col min="191" max="195" width="5.85546875" style="3" hidden="1" customWidth="1"/>
    <col min="196" max="196" width="3" style="3" hidden="1" customWidth="1"/>
    <col min="197" max="197" width="0.140625" style="3" hidden="1" customWidth="1"/>
    <col min="198" max="198" width="2.42578125" style="3" hidden="1" customWidth="1"/>
    <col min="199" max="203" width="3.140625" style="3" hidden="1" customWidth="1"/>
    <col min="204" max="204" width="3" style="3" hidden="1" customWidth="1"/>
    <col min="205" max="205" width="7.5703125" style="3" hidden="1" customWidth="1"/>
    <col min="206" max="206" width="6.85546875" style="3" hidden="1" customWidth="1"/>
    <col min="207" max="212" width="3.140625" style="3" hidden="1" customWidth="1"/>
    <col min="213" max="213" width="7.5703125" style="3" hidden="1" customWidth="1"/>
    <col min="214" max="214" width="8.140625" style="3" hidden="1" customWidth="1"/>
    <col min="215" max="220" width="3" style="3" hidden="1" customWidth="1"/>
    <col min="221" max="221" width="8.85546875" style="3" hidden="1" customWidth="1"/>
    <col min="222" max="222" width="7.85546875" style="3" hidden="1" customWidth="1"/>
    <col min="223" max="228" width="3" style="3" hidden="1" customWidth="1"/>
    <col min="229" max="229" width="7.42578125" style="3" hidden="1" customWidth="1"/>
    <col min="230" max="230" width="7.140625" style="3" hidden="1" customWidth="1"/>
    <col min="231" max="231" width="3" style="3" hidden="1" customWidth="1"/>
    <col min="232" max="232" width="3.140625" style="3" hidden="1" customWidth="1"/>
    <col min="233" max="236" width="3" style="3" hidden="1" customWidth="1"/>
    <col min="237" max="237" width="3.85546875" style="3" hidden="1" customWidth="1"/>
    <col min="238" max="238" width="3.42578125" style="3" hidden="1" customWidth="1"/>
    <col min="239" max="239" width="3" style="3" hidden="1" customWidth="1"/>
    <col min="240" max="240" width="3.140625" style="3" hidden="1" customWidth="1"/>
    <col min="241" max="242" width="3" style="3" hidden="1" customWidth="1"/>
    <col min="243" max="243" width="2.7109375" style="3" hidden="1" customWidth="1"/>
    <col min="244" max="244" width="3" style="3" hidden="1" customWidth="1"/>
    <col min="245" max="246" width="7.85546875" style="3" hidden="1" customWidth="1"/>
    <col min="247" max="247" width="3" style="3" hidden="1" customWidth="1"/>
    <col min="248" max="248" width="3.140625" style="3" hidden="1" customWidth="1"/>
    <col min="249" max="250" width="3" style="3" hidden="1" customWidth="1"/>
    <col min="251" max="251" width="2.7109375" style="3" hidden="1" customWidth="1"/>
    <col min="252" max="252" width="3" style="3" hidden="1" customWidth="1"/>
    <col min="253" max="254" width="7.85546875" style="3" hidden="1" customWidth="1"/>
    <col min="255" max="260" width="3" style="3" hidden="1" customWidth="1"/>
    <col min="261" max="261" width="8.85546875" style="3" hidden="1" customWidth="1"/>
    <col min="262" max="262" width="7.85546875" style="3" hidden="1" customWidth="1"/>
    <col min="263" max="268" width="3" style="3" hidden="1" customWidth="1"/>
    <col min="269" max="269" width="7.42578125" style="3" hidden="1" customWidth="1"/>
    <col min="270" max="270" width="7.140625" style="3" hidden="1" customWidth="1"/>
    <col min="271" max="271" width="3" style="3" hidden="1" customWidth="1"/>
    <col min="272" max="272" width="3.140625" style="3" hidden="1" customWidth="1"/>
    <col min="273" max="276" width="3" style="3" hidden="1" customWidth="1"/>
    <col min="277" max="277" width="3.85546875" style="3" hidden="1" customWidth="1"/>
    <col min="278" max="278" width="3.42578125" style="3" hidden="1" customWidth="1"/>
    <col min="279" max="279" width="3" style="3" hidden="1" customWidth="1"/>
    <col min="280" max="280" width="3.140625" style="3" hidden="1" customWidth="1"/>
    <col min="281" max="282" width="3" style="3" hidden="1" customWidth="1"/>
    <col min="283" max="283" width="2.7109375" style="3" hidden="1" customWidth="1"/>
    <col min="284" max="284" width="3" style="3" hidden="1" customWidth="1"/>
    <col min="285" max="286" width="7.85546875" style="3" hidden="1" customWidth="1"/>
    <col min="287" max="288" width="3" style="3" hidden="1" customWidth="1"/>
    <col min="289" max="289" width="2.7109375" style="3" hidden="1" customWidth="1"/>
    <col min="290" max="290" width="3" style="3" hidden="1" customWidth="1"/>
    <col min="291" max="291" width="11.140625" style="3" hidden="1" customWidth="1"/>
    <col min="292" max="292" width="7.85546875" style="3" hidden="1" customWidth="1"/>
    <col min="293" max="298" width="3" style="3" hidden="1" customWidth="1"/>
    <col min="299" max="299" width="8.85546875" style="3" hidden="1" customWidth="1"/>
    <col min="300" max="300" width="7.85546875" style="3" hidden="1" customWidth="1"/>
    <col min="301" max="306" width="3" style="3" hidden="1" customWidth="1"/>
    <col min="307" max="307" width="7.42578125" style="3" hidden="1" customWidth="1"/>
    <col min="308" max="308" width="7.140625" style="3" hidden="1" customWidth="1"/>
    <col min="309" max="309" width="3" style="3" hidden="1" customWidth="1"/>
    <col min="310" max="310" width="3.140625" style="3" hidden="1" customWidth="1"/>
    <col min="311" max="314" width="3" style="3" hidden="1" customWidth="1"/>
    <col min="315" max="315" width="3.85546875" style="3" hidden="1" customWidth="1"/>
    <col min="316" max="316" width="3.42578125" style="3" hidden="1" customWidth="1"/>
    <col min="317" max="317" width="3" style="3" hidden="1" customWidth="1"/>
    <col min="318" max="318" width="3.140625" style="3" hidden="1" customWidth="1"/>
    <col min="319" max="320" width="3" style="3" hidden="1" customWidth="1"/>
    <col min="321" max="321" width="2.7109375" style="3" hidden="1" customWidth="1"/>
    <col min="322" max="322" width="3" style="3" hidden="1" customWidth="1"/>
    <col min="323" max="324" width="7.85546875" style="3" hidden="1" customWidth="1"/>
    <col min="325" max="326" width="3" style="3" hidden="1" customWidth="1"/>
    <col min="327" max="327" width="2.7109375" style="3" hidden="1" customWidth="1"/>
    <col min="328" max="328" width="10.140625" style="3" hidden="1" customWidth="1"/>
    <col min="329" max="337" width="6.7109375" style="3" customWidth="1"/>
    <col min="338" max="338" width="8" style="3" customWidth="1"/>
    <col min="339" max="340" width="6.7109375" style="3" customWidth="1"/>
    <col min="341" max="342" width="6.7109375" style="147" customWidth="1"/>
    <col min="343" max="347" width="6.7109375" style="3" customWidth="1"/>
    <col min="348" max="348" width="6.7109375" style="147" customWidth="1"/>
    <col min="349" max="354" width="6.7109375" style="3" customWidth="1"/>
    <col min="355" max="355" width="8.7109375"/>
    <col min="356" max="356" width="6.7109375" style="147" customWidth="1"/>
    <col min="357" max="357" width="8.7109375"/>
    <col min="358" max="359" width="6.7109375" style="147" customWidth="1"/>
    <col min="360" max="360" width="15.7109375" style="175" customWidth="1"/>
    <col min="361" max="361" width="9" customWidth="1"/>
  </cols>
  <sheetData>
    <row r="1" spans="1:361" s="180" customFormat="1" ht="28.7" customHeight="1" thickBot="1">
      <c r="A1" s="216" t="s">
        <v>278</v>
      </c>
      <c r="B1" s="217"/>
      <c r="C1" s="217"/>
      <c r="D1" s="217"/>
      <c r="E1" s="217"/>
      <c r="F1" s="218"/>
      <c r="G1" s="218"/>
      <c r="H1" s="218"/>
      <c r="I1" s="217"/>
      <c r="J1" s="219"/>
      <c r="K1" s="219"/>
      <c r="L1" s="219"/>
      <c r="M1" s="219"/>
      <c r="N1" s="181"/>
      <c r="O1" s="181"/>
      <c r="P1" s="181"/>
      <c r="Q1" s="181"/>
      <c r="R1" s="181"/>
      <c r="S1" s="181"/>
      <c r="T1" s="181"/>
      <c r="U1" s="181"/>
      <c r="V1" s="195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1"/>
      <c r="CB1" s="181"/>
      <c r="CC1" s="181"/>
      <c r="CD1" s="181"/>
      <c r="CE1" s="181"/>
      <c r="CF1" s="181"/>
      <c r="CG1" s="181"/>
      <c r="CH1" s="181"/>
      <c r="CI1" s="181"/>
      <c r="CJ1" s="181"/>
      <c r="CK1" s="181"/>
      <c r="CL1" s="181"/>
      <c r="CM1" s="181"/>
      <c r="CN1" s="181"/>
      <c r="CO1" s="181"/>
      <c r="CP1" s="181"/>
      <c r="CQ1" s="181"/>
      <c r="CR1" s="181"/>
      <c r="CS1" s="181"/>
      <c r="CT1" s="181"/>
      <c r="CU1" s="181"/>
      <c r="CV1" s="181"/>
      <c r="CW1" s="181"/>
      <c r="CX1" s="181"/>
      <c r="CY1" s="181"/>
      <c r="CZ1" s="181"/>
      <c r="DA1" s="181"/>
      <c r="DB1" s="181"/>
      <c r="DC1" s="181"/>
      <c r="DD1" s="181"/>
      <c r="DE1" s="181"/>
      <c r="DF1" s="181"/>
      <c r="DG1" s="181"/>
      <c r="DH1" s="181"/>
      <c r="DI1" s="181"/>
      <c r="DJ1" s="181"/>
      <c r="DK1" s="181"/>
      <c r="DL1" s="181"/>
      <c r="DM1" s="181"/>
      <c r="DN1" s="181"/>
      <c r="DO1" s="181"/>
      <c r="DP1" s="181"/>
      <c r="DQ1" s="181"/>
      <c r="DR1" s="181"/>
      <c r="DS1" s="181"/>
      <c r="DT1" s="181"/>
      <c r="DU1" s="181"/>
      <c r="DV1" s="181"/>
      <c r="DW1" s="181"/>
      <c r="DX1" s="181"/>
      <c r="DY1" s="181"/>
      <c r="DZ1" s="181"/>
      <c r="EA1" s="181"/>
      <c r="EB1" s="181"/>
      <c r="EC1" s="181"/>
      <c r="ED1" s="181"/>
      <c r="EE1" s="181"/>
      <c r="EF1" s="181"/>
      <c r="EG1" s="181"/>
      <c r="EH1" s="181"/>
      <c r="EI1" s="181"/>
      <c r="EJ1" s="181"/>
      <c r="EK1" s="181"/>
      <c r="EL1" s="181"/>
      <c r="EM1" s="181"/>
      <c r="EN1" s="181"/>
      <c r="EO1" s="181"/>
      <c r="EP1" s="181"/>
      <c r="EQ1" s="181"/>
      <c r="ER1" s="181"/>
      <c r="ES1" s="181"/>
      <c r="ET1" s="181"/>
      <c r="EU1" s="181"/>
      <c r="EV1" s="181"/>
      <c r="EW1" s="181"/>
      <c r="EX1" s="181"/>
      <c r="EY1" s="181"/>
      <c r="EZ1" s="181"/>
      <c r="FA1" s="181"/>
      <c r="FB1" s="181"/>
      <c r="FC1" s="181"/>
      <c r="FD1" s="181"/>
      <c r="FE1" s="181"/>
      <c r="FF1" s="181"/>
      <c r="FG1" s="181"/>
      <c r="FH1" s="181"/>
      <c r="FI1" s="181"/>
      <c r="FJ1" s="181"/>
      <c r="FK1" s="181"/>
      <c r="FL1" s="181"/>
      <c r="FM1" s="181"/>
      <c r="FN1" s="181"/>
      <c r="FO1" s="181"/>
      <c r="FP1" s="181"/>
      <c r="FQ1" s="181"/>
      <c r="FR1" s="181"/>
      <c r="FS1" s="181"/>
      <c r="FT1" s="181"/>
      <c r="FU1" s="181"/>
      <c r="FV1" s="181"/>
      <c r="FW1" s="181"/>
      <c r="FX1" s="181"/>
      <c r="FY1" s="181"/>
      <c r="FZ1" s="181"/>
      <c r="GA1" s="181"/>
      <c r="GB1" s="181"/>
      <c r="GC1" s="181"/>
      <c r="GD1" s="181"/>
      <c r="GE1" s="181"/>
      <c r="GF1" s="181"/>
      <c r="GG1" s="181"/>
      <c r="GH1" s="181"/>
      <c r="GI1" s="181"/>
      <c r="GJ1" s="181"/>
      <c r="GK1" s="181"/>
      <c r="GL1" s="181"/>
      <c r="GM1" s="181"/>
      <c r="GN1" s="181"/>
      <c r="GO1" s="181"/>
      <c r="GP1" s="181"/>
      <c r="GQ1" s="181"/>
      <c r="GR1" s="181"/>
      <c r="GS1" s="181"/>
      <c r="GT1" s="181"/>
      <c r="GU1" s="181"/>
      <c r="GV1" s="181"/>
      <c r="GW1" s="181"/>
      <c r="GX1" s="181"/>
      <c r="GY1" s="181"/>
      <c r="GZ1" s="181"/>
      <c r="HA1" s="181"/>
      <c r="HB1" s="181"/>
      <c r="HC1" s="181"/>
      <c r="HD1" s="181"/>
      <c r="HE1" s="181"/>
      <c r="HF1" s="181"/>
      <c r="HG1" s="181"/>
      <c r="HH1" s="181"/>
      <c r="HI1" s="181"/>
      <c r="HJ1" s="181"/>
      <c r="HK1" s="181"/>
      <c r="HL1" s="181"/>
      <c r="HM1" s="181"/>
      <c r="HN1" s="181"/>
      <c r="HO1" s="181"/>
      <c r="HP1" s="181"/>
      <c r="HQ1" s="181"/>
      <c r="HR1" s="181"/>
      <c r="HS1" s="181"/>
      <c r="HT1" s="181"/>
      <c r="HU1" s="181"/>
      <c r="HV1" s="181"/>
      <c r="HW1" s="181"/>
      <c r="HX1" s="181"/>
      <c r="HY1" s="181"/>
      <c r="HZ1" s="181"/>
      <c r="IA1" s="181"/>
      <c r="IB1" s="181"/>
      <c r="IC1" s="181"/>
      <c r="ID1" s="181"/>
      <c r="IE1" s="181"/>
      <c r="IF1" s="181"/>
      <c r="IG1" s="181"/>
      <c r="IH1" s="181"/>
      <c r="II1" s="181"/>
      <c r="IJ1" s="181"/>
      <c r="IK1" s="181"/>
      <c r="IL1" s="181"/>
      <c r="IM1" s="181"/>
      <c r="IN1" s="181"/>
      <c r="IO1" s="181"/>
      <c r="IP1" s="181"/>
      <c r="IQ1" s="181"/>
      <c r="IR1" s="181"/>
      <c r="IS1" s="181"/>
      <c r="IT1" s="181"/>
      <c r="IU1" s="181"/>
      <c r="IV1" s="181"/>
      <c r="IW1" s="181"/>
      <c r="IX1" s="181"/>
      <c r="IY1" s="181"/>
      <c r="IZ1" s="181"/>
      <c r="JA1" s="181"/>
      <c r="JB1" s="181"/>
      <c r="JC1" s="181"/>
      <c r="JD1" s="181"/>
      <c r="JE1" s="181"/>
      <c r="JF1" s="181"/>
      <c r="JG1" s="181"/>
      <c r="JH1" s="181"/>
      <c r="JI1" s="181"/>
      <c r="JJ1" s="181"/>
      <c r="JK1" s="181"/>
      <c r="JL1" s="181"/>
      <c r="JM1" s="181"/>
      <c r="JN1" s="181"/>
      <c r="JO1" s="181"/>
      <c r="JP1" s="181"/>
      <c r="JQ1" s="181"/>
      <c r="JR1" s="181"/>
      <c r="JS1" s="181"/>
      <c r="JT1" s="181"/>
      <c r="JU1" s="181"/>
      <c r="JV1" s="181"/>
      <c r="JW1" s="181"/>
      <c r="JX1" s="181"/>
      <c r="JY1" s="181"/>
      <c r="JZ1" s="181"/>
      <c r="KA1" s="181"/>
      <c r="KB1" s="181"/>
      <c r="KC1" s="181"/>
      <c r="KD1" s="181"/>
      <c r="KE1" s="181"/>
      <c r="KF1" s="181"/>
      <c r="KG1" s="181"/>
      <c r="KH1" s="181"/>
      <c r="KI1" s="181"/>
      <c r="KJ1" s="181"/>
      <c r="KK1" s="181"/>
      <c r="KL1" s="181"/>
      <c r="KM1" s="181"/>
      <c r="KN1" s="181"/>
      <c r="KO1" s="181"/>
      <c r="KP1" s="181"/>
      <c r="KQ1" s="181"/>
      <c r="KR1" s="181"/>
      <c r="KS1" s="181"/>
      <c r="KT1" s="181"/>
      <c r="LT1" s="181"/>
      <c r="LU1" s="181"/>
      <c r="LV1" s="181"/>
      <c r="LW1" s="181"/>
      <c r="LX1" s="181"/>
      <c r="LY1" s="181"/>
      <c r="LZ1" s="181"/>
      <c r="MA1" s="181"/>
      <c r="MB1" s="181"/>
      <c r="MC1" s="181"/>
      <c r="MD1" s="181"/>
      <c r="ME1" s="181"/>
      <c r="MF1" s="181"/>
      <c r="MG1" s="181"/>
      <c r="MH1" s="181"/>
      <c r="MI1" s="181"/>
      <c r="MJ1" s="181"/>
      <c r="MK1" s="181"/>
      <c r="ML1" s="220"/>
    </row>
    <row r="2" spans="1:361" s="122" customFormat="1" ht="41.85" customHeight="1" thickBot="1">
      <c r="A2" s="123" t="s">
        <v>0</v>
      </c>
      <c r="B2" s="105"/>
      <c r="C2" s="106"/>
      <c r="D2" s="105" t="s">
        <v>1</v>
      </c>
      <c r="E2" s="106"/>
      <c r="F2" s="106"/>
      <c r="G2" s="107"/>
      <c r="H2" s="108"/>
      <c r="I2" s="105" t="s">
        <v>2</v>
      </c>
      <c r="J2" s="106"/>
      <c r="K2" s="106"/>
      <c r="L2" s="106"/>
      <c r="M2" s="106"/>
      <c r="N2" s="107"/>
      <c r="O2" s="109"/>
      <c r="P2" s="110" t="s">
        <v>3</v>
      </c>
      <c r="Q2" s="106"/>
      <c r="R2" s="106"/>
      <c r="S2" s="106"/>
      <c r="T2" s="106"/>
      <c r="U2" s="107"/>
      <c r="V2" s="109"/>
      <c r="W2" s="110" t="s">
        <v>4</v>
      </c>
      <c r="X2" s="106"/>
      <c r="Y2" s="106"/>
      <c r="Z2" s="106"/>
      <c r="AA2" s="106"/>
      <c r="AB2" s="107"/>
      <c r="AC2" s="109"/>
      <c r="AD2" s="110" t="s">
        <v>5</v>
      </c>
      <c r="AE2" s="106"/>
      <c r="AF2" s="106"/>
      <c r="AG2" s="106"/>
      <c r="AH2" s="106"/>
      <c r="AI2" s="107"/>
      <c r="AJ2" s="109"/>
      <c r="AK2" s="110" t="s">
        <v>6</v>
      </c>
      <c r="AL2" s="106"/>
      <c r="AM2" s="106"/>
      <c r="AN2" s="106"/>
      <c r="AO2" s="106"/>
      <c r="AP2" s="107"/>
      <c r="AQ2" s="109"/>
      <c r="AR2" s="111" t="s">
        <v>7</v>
      </c>
      <c r="AS2" s="110" t="s">
        <v>8</v>
      </c>
      <c r="AT2" s="106"/>
      <c r="AU2" s="106"/>
      <c r="AV2" s="106"/>
      <c r="AW2" s="106"/>
      <c r="AX2" s="107"/>
      <c r="AY2" s="109"/>
      <c r="AZ2" s="111" t="s">
        <v>7</v>
      </c>
      <c r="BA2" s="110" t="s">
        <v>8</v>
      </c>
      <c r="BB2" s="106"/>
      <c r="BC2" s="106"/>
      <c r="BD2" s="106"/>
      <c r="BE2" s="106"/>
      <c r="BF2" s="107"/>
      <c r="BG2" s="109"/>
      <c r="BH2" s="112" t="s">
        <v>7</v>
      </c>
      <c r="BI2" s="106" t="s">
        <v>9</v>
      </c>
      <c r="BJ2" s="106"/>
      <c r="BK2" s="106"/>
      <c r="BL2" s="106"/>
      <c r="BM2" s="106"/>
      <c r="BN2" s="107"/>
      <c r="BO2" s="113"/>
      <c r="BP2" s="114"/>
      <c r="BQ2" s="105"/>
      <c r="BR2" s="106"/>
      <c r="BS2" s="105" t="s">
        <v>1</v>
      </c>
      <c r="BT2" s="106"/>
      <c r="BU2" s="106"/>
      <c r="BV2" s="107"/>
      <c r="BW2" s="108"/>
      <c r="BX2" s="105" t="s">
        <v>2</v>
      </c>
      <c r="BY2" s="106"/>
      <c r="BZ2" s="106"/>
      <c r="CA2" s="106"/>
      <c r="CB2" s="106"/>
      <c r="CC2" s="107"/>
      <c r="CD2" s="109"/>
      <c r="CE2" s="110" t="s">
        <v>3</v>
      </c>
      <c r="CF2" s="106"/>
      <c r="CG2" s="106"/>
      <c r="CH2" s="106"/>
      <c r="CI2" s="106"/>
      <c r="CJ2" s="107"/>
      <c r="CK2" s="109"/>
      <c r="CL2" s="110" t="s">
        <v>4</v>
      </c>
      <c r="CM2" s="106"/>
      <c r="CN2" s="106"/>
      <c r="CO2" s="106"/>
      <c r="CP2" s="106"/>
      <c r="CQ2" s="107"/>
      <c r="CR2" s="109"/>
      <c r="CS2" s="110" t="s">
        <v>5</v>
      </c>
      <c r="CT2" s="106"/>
      <c r="CU2" s="106"/>
      <c r="CV2" s="106"/>
      <c r="CW2" s="106"/>
      <c r="CX2" s="107"/>
      <c r="CY2" s="109"/>
      <c r="CZ2" s="110" t="s">
        <v>6</v>
      </c>
      <c r="DA2" s="106"/>
      <c r="DB2" s="106"/>
      <c r="DC2" s="106"/>
      <c r="DD2" s="106"/>
      <c r="DE2" s="107"/>
      <c r="DF2" s="109"/>
      <c r="DG2" s="111" t="s">
        <v>7</v>
      </c>
      <c r="DH2" s="110" t="s">
        <v>8</v>
      </c>
      <c r="DI2" s="106"/>
      <c r="DJ2" s="106"/>
      <c r="DK2" s="106"/>
      <c r="DL2" s="106"/>
      <c r="DM2" s="107"/>
      <c r="DN2" s="109"/>
      <c r="DO2" s="111" t="s">
        <v>7</v>
      </c>
      <c r="DP2" s="110" t="s">
        <v>8</v>
      </c>
      <c r="DQ2" s="106"/>
      <c r="DR2" s="106"/>
      <c r="DS2" s="106"/>
      <c r="DT2" s="106"/>
      <c r="DU2" s="107"/>
      <c r="DV2" s="109"/>
      <c r="DW2" s="106" t="s">
        <v>10</v>
      </c>
      <c r="DX2" s="106"/>
      <c r="DY2" s="106"/>
      <c r="DZ2" s="106"/>
      <c r="EA2" s="106"/>
      <c r="EB2" s="107"/>
      <c r="EC2" s="113"/>
      <c r="ED2" s="114"/>
      <c r="EE2" s="106" t="s">
        <v>11</v>
      </c>
      <c r="EF2" s="106"/>
      <c r="EG2" s="106"/>
      <c r="EH2" s="106"/>
      <c r="EI2" s="106"/>
      <c r="EJ2" s="107"/>
      <c r="EK2" s="113"/>
      <c r="EL2" s="114"/>
      <c r="EM2" s="106" t="s">
        <v>12</v>
      </c>
      <c r="EN2" s="106"/>
      <c r="EO2" s="106"/>
      <c r="EP2" s="106"/>
      <c r="EQ2" s="106"/>
      <c r="ER2" s="107"/>
      <c r="ES2" s="113"/>
      <c r="ET2" s="115"/>
      <c r="EU2" s="106"/>
      <c r="EV2" s="106" t="s">
        <v>13</v>
      </c>
      <c r="EW2" s="106"/>
      <c r="EX2" s="106"/>
      <c r="EY2" s="106"/>
      <c r="EZ2" s="106"/>
      <c r="FA2" s="113"/>
      <c r="FB2" s="114"/>
      <c r="FC2" s="106"/>
      <c r="FD2" s="106" t="s">
        <v>14</v>
      </c>
      <c r="FE2" s="106"/>
      <c r="FF2" s="106"/>
      <c r="FG2" s="106"/>
      <c r="FH2" s="106"/>
      <c r="FI2" s="113"/>
      <c r="FJ2" s="116"/>
      <c r="FK2" s="106"/>
      <c r="FL2" s="106" t="s">
        <v>15</v>
      </c>
      <c r="FM2" s="106"/>
      <c r="FN2" s="106"/>
      <c r="FO2" s="106"/>
      <c r="FP2" s="106"/>
      <c r="FQ2" s="113"/>
      <c r="FR2" s="116"/>
      <c r="FS2" s="106"/>
      <c r="FT2" s="106" t="s">
        <v>16</v>
      </c>
      <c r="FU2" s="106"/>
      <c r="FV2" s="106"/>
      <c r="FW2" s="106"/>
      <c r="FX2" s="106"/>
      <c r="FY2" s="106"/>
      <c r="FZ2" s="106" t="s">
        <v>17</v>
      </c>
      <c r="GA2" s="111"/>
      <c r="GB2" s="111"/>
      <c r="GC2" s="111"/>
      <c r="GD2" s="111"/>
      <c r="GE2" s="111"/>
      <c r="GF2" s="111"/>
      <c r="GG2" s="111" t="s">
        <v>18</v>
      </c>
      <c r="GH2" s="111" t="s">
        <v>19</v>
      </c>
      <c r="GI2" s="111"/>
      <c r="GJ2" s="111"/>
      <c r="GK2" s="111"/>
      <c r="GL2" s="111"/>
      <c r="GM2" s="111"/>
      <c r="GN2" s="111"/>
      <c r="GO2" s="111" t="s">
        <v>18</v>
      </c>
      <c r="GP2" s="111" t="s">
        <v>19</v>
      </c>
      <c r="GQ2" s="111"/>
      <c r="GR2" s="111"/>
      <c r="GS2" s="111"/>
      <c r="GT2" s="111"/>
      <c r="GU2" s="111"/>
      <c r="GV2" s="111"/>
      <c r="GW2" s="117" t="s">
        <v>20</v>
      </c>
      <c r="GX2" s="118" t="s">
        <v>21</v>
      </c>
      <c r="GY2" s="111"/>
      <c r="GZ2" s="111"/>
      <c r="HA2" s="111"/>
      <c r="HB2" s="111"/>
      <c r="HC2" s="111"/>
      <c r="HD2" s="111"/>
      <c r="HE2" s="117" t="s">
        <v>20</v>
      </c>
      <c r="HF2" s="118" t="s">
        <v>21</v>
      </c>
      <c r="HG2" s="17"/>
      <c r="HH2" s="17"/>
      <c r="HI2" s="17"/>
      <c r="HJ2" s="17"/>
      <c r="HK2" s="17"/>
      <c r="HL2" s="17"/>
      <c r="HM2" s="117" t="s">
        <v>22</v>
      </c>
      <c r="HN2" s="118" t="s">
        <v>23</v>
      </c>
      <c r="HO2" s="17"/>
      <c r="HP2" s="17"/>
      <c r="HQ2" s="17"/>
      <c r="HR2" s="17"/>
      <c r="HS2" s="17"/>
      <c r="HT2" s="17"/>
      <c r="HU2" s="17" t="s">
        <v>24</v>
      </c>
      <c r="HV2" s="17" t="s">
        <v>25</v>
      </c>
      <c r="HW2" s="17"/>
      <c r="HX2" s="17"/>
      <c r="HY2" s="17"/>
      <c r="HZ2" s="17"/>
      <c r="IA2" s="17"/>
      <c r="IB2" s="17"/>
      <c r="IC2" s="17" t="s">
        <v>25</v>
      </c>
      <c r="ID2" s="17" t="s">
        <v>26</v>
      </c>
      <c r="IE2" s="17"/>
      <c r="IF2" s="17"/>
      <c r="IG2" s="17"/>
      <c r="IH2" s="17"/>
      <c r="II2" s="17"/>
      <c r="IJ2" s="17"/>
      <c r="IK2" s="17" t="s">
        <v>27</v>
      </c>
      <c r="IL2" s="17" t="s">
        <v>28</v>
      </c>
      <c r="IM2" s="17"/>
      <c r="IN2" s="17"/>
      <c r="IO2" s="17"/>
      <c r="IP2" s="17"/>
      <c r="IQ2" s="17"/>
      <c r="IR2" s="17"/>
      <c r="IS2" s="17" t="s">
        <v>28</v>
      </c>
      <c r="IT2" s="17" t="s">
        <v>29</v>
      </c>
      <c r="IU2" s="17"/>
      <c r="IV2" s="17"/>
      <c r="IW2" s="17"/>
      <c r="IX2" s="17"/>
      <c r="IY2" s="17"/>
      <c r="IZ2" s="17"/>
      <c r="JA2" s="117" t="s">
        <v>22</v>
      </c>
      <c r="JB2" s="118" t="s">
        <v>23</v>
      </c>
      <c r="JC2" s="17"/>
      <c r="JD2" s="17"/>
      <c r="JE2" s="17"/>
      <c r="JF2" s="17"/>
      <c r="JG2" s="17"/>
      <c r="JH2" s="17"/>
      <c r="JI2" s="17" t="s">
        <v>24</v>
      </c>
      <c r="JJ2" s="17" t="s">
        <v>25</v>
      </c>
      <c r="JK2" s="17"/>
      <c r="JL2" s="17"/>
      <c r="JM2" s="17"/>
      <c r="JN2" s="17"/>
      <c r="JO2" s="17"/>
      <c r="JP2" s="17"/>
      <c r="JQ2" s="17" t="s">
        <v>25</v>
      </c>
      <c r="JR2" s="17" t="s">
        <v>26</v>
      </c>
      <c r="JS2" s="17"/>
      <c r="JT2" s="17"/>
      <c r="JU2" s="17"/>
      <c r="JV2" s="17"/>
      <c r="JW2" s="17"/>
      <c r="JX2" s="17"/>
      <c r="JY2" s="17" t="s">
        <v>27</v>
      </c>
      <c r="JZ2" s="17" t="s">
        <v>28</v>
      </c>
      <c r="KA2" s="17"/>
      <c r="KB2" s="17"/>
      <c r="KC2" s="17"/>
      <c r="KD2" s="17"/>
      <c r="KE2" s="17" t="s">
        <v>29</v>
      </c>
      <c r="KF2" s="17" t="s">
        <v>30</v>
      </c>
      <c r="KG2" s="17"/>
      <c r="KH2" s="17"/>
      <c r="KI2" s="17"/>
      <c r="KJ2" s="17"/>
      <c r="KK2" s="17"/>
      <c r="KL2" s="17"/>
      <c r="KM2" s="117" t="s">
        <v>22</v>
      </c>
      <c r="KN2" s="118" t="s">
        <v>23</v>
      </c>
      <c r="KO2" s="17"/>
      <c r="KP2" s="17"/>
      <c r="KQ2" s="17"/>
      <c r="KR2" s="17"/>
      <c r="KS2" s="17"/>
      <c r="KT2" s="17"/>
      <c r="KU2" s="17" t="s">
        <v>24</v>
      </c>
      <c r="KV2" s="17" t="s">
        <v>25</v>
      </c>
      <c r="KW2" s="17"/>
      <c r="KX2" s="17"/>
      <c r="KY2" s="17"/>
      <c r="KZ2" s="17"/>
      <c r="LA2" s="17"/>
      <c r="LB2" s="17"/>
      <c r="LC2" s="17" t="s">
        <v>25</v>
      </c>
      <c r="LD2" s="17" t="s">
        <v>26</v>
      </c>
      <c r="LE2" s="17"/>
      <c r="LF2" s="17"/>
      <c r="LG2" s="17"/>
      <c r="LH2" s="17"/>
      <c r="LI2" s="17"/>
      <c r="LJ2" s="17"/>
      <c r="LK2" s="17" t="s">
        <v>27</v>
      </c>
      <c r="LL2" s="17" t="s">
        <v>28</v>
      </c>
      <c r="LM2" s="17"/>
      <c r="LN2" s="17"/>
      <c r="LO2" s="17"/>
      <c r="LP2" s="17"/>
      <c r="LQ2" s="119" t="s">
        <v>246</v>
      </c>
      <c r="LR2" s="119" t="s">
        <v>247</v>
      </c>
      <c r="LS2" s="119" t="s">
        <v>248</v>
      </c>
      <c r="LT2" s="119" t="s">
        <v>249</v>
      </c>
      <c r="LU2" s="119" t="s">
        <v>250</v>
      </c>
      <c r="LV2" s="119" t="s">
        <v>251</v>
      </c>
      <c r="LW2" s="119" t="s">
        <v>252</v>
      </c>
      <c r="LX2" s="119" t="s">
        <v>253</v>
      </c>
      <c r="LY2" s="119" t="s">
        <v>254</v>
      </c>
      <c r="LZ2" s="119" t="s">
        <v>255</v>
      </c>
      <c r="MA2" s="119" t="s">
        <v>256</v>
      </c>
      <c r="MB2" s="119" t="s">
        <v>257</v>
      </c>
      <c r="MC2" s="119" t="s">
        <v>258</v>
      </c>
      <c r="MD2" s="119" t="s">
        <v>259</v>
      </c>
      <c r="ME2" s="119" t="s">
        <v>260</v>
      </c>
      <c r="MF2" s="119" t="s">
        <v>261</v>
      </c>
      <c r="MG2" s="119" t="s">
        <v>262</v>
      </c>
      <c r="MH2" s="119" t="s">
        <v>263</v>
      </c>
      <c r="MI2" s="119" t="s">
        <v>264</v>
      </c>
      <c r="MJ2" s="119" t="s">
        <v>265</v>
      </c>
      <c r="MK2" s="119" t="s">
        <v>266</v>
      </c>
      <c r="ML2" s="119" t="s">
        <v>267</v>
      </c>
      <c r="MM2" s="119" t="s">
        <v>268</v>
      </c>
      <c r="MN2" s="119" t="s">
        <v>269</v>
      </c>
      <c r="MO2" s="119" t="s">
        <v>270</v>
      </c>
      <c r="MP2" s="119" t="s">
        <v>271</v>
      </c>
      <c r="MQ2" s="119" t="s">
        <v>272</v>
      </c>
      <c r="MR2" s="119" t="s">
        <v>273</v>
      </c>
      <c r="MS2" s="119" t="s">
        <v>274</v>
      </c>
      <c r="MT2" s="119" t="s">
        <v>275</v>
      </c>
      <c r="MU2" s="119" t="s">
        <v>276</v>
      </c>
      <c r="MV2" s="176" t="s">
        <v>245</v>
      </c>
    </row>
    <row r="3" spans="1:361" ht="26.85" customHeight="1" thickBot="1">
      <c r="A3" s="124" t="s">
        <v>31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40</v>
      </c>
      <c r="K3" s="13" t="s">
        <v>41</v>
      </c>
      <c r="L3" s="13" t="s">
        <v>42</v>
      </c>
      <c r="M3" s="13" t="s">
        <v>43</v>
      </c>
      <c r="N3" s="13" t="s">
        <v>44</v>
      </c>
      <c r="O3" s="13" t="s">
        <v>45</v>
      </c>
      <c r="P3" s="13" t="s">
        <v>46</v>
      </c>
      <c r="Q3" s="13" t="s">
        <v>47</v>
      </c>
      <c r="R3" s="13" t="s">
        <v>48</v>
      </c>
      <c r="S3" s="13" t="s">
        <v>49</v>
      </c>
      <c r="T3" s="13" t="s">
        <v>50</v>
      </c>
      <c r="U3" s="13" t="s">
        <v>51</v>
      </c>
      <c r="V3" s="13" t="s">
        <v>52</v>
      </c>
      <c r="W3" s="13" t="s">
        <v>53</v>
      </c>
      <c r="X3" s="13" t="s">
        <v>54</v>
      </c>
      <c r="Y3" s="13" t="s">
        <v>55</v>
      </c>
      <c r="Z3" s="13" t="s">
        <v>56</v>
      </c>
      <c r="AA3" s="13" t="s">
        <v>57</v>
      </c>
      <c r="AB3" s="13" t="s">
        <v>58</v>
      </c>
      <c r="AC3" s="13" t="s">
        <v>59</v>
      </c>
      <c r="AD3" s="13" t="s">
        <v>60</v>
      </c>
      <c r="AE3" s="13" t="s">
        <v>61</v>
      </c>
      <c r="AF3" s="13" t="s">
        <v>62</v>
      </c>
      <c r="AG3" s="13" t="s">
        <v>63</v>
      </c>
      <c r="AH3" s="13" t="s">
        <v>64</v>
      </c>
      <c r="AI3" s="13" t="s">
        <v>65</v>
      </c>
      <c r="AJ3" s="13" t="s">
        <v>66</v>
      </c>
      <c r="AK3" s="13" t="s">
        <v>67</v>
      </c>
      <c r="AL3" s="13" t="s">
        <v>68</v>
      </c>
      <c r="AM3" s="13" t="s">
        <v>69</v>
      </c>
      <c r="AN3" s="13" t="s">
        <v>70</v>
      </c>
      <c r="AO3" s="13" t="s">
        <v>71</v>
      </c>
      <c r="AP3" s="13" t="s">
        <v>72</v>
      </c>
      <c r="AQ3" s="13" t="s">
        <v>73</v>
      </c>
      <c r="AR3" s="13" t="s">
        <v>74</v>
      </c>
      <c r="AS3" s="13" t="s">
        <v>75</v>
      </c>
      <c r="AT3" s="13" t="s">
        <v>76</v>
      </c>
      <c r="AU3" s="13" t="s">
        <v>77</v>
      </c>
      <c r="AV3" s="13" t="s">
        <v>78</v>
      </c>
      <c r="AW3" s="13" t="s">
        <v>79</v>
      </c>
      <c r="AX3" s="13" t="s">
        <v>80</v>
      </c>
      <c r="AY3" s="13" t="s">
        <v>81</v>
      </c>
      <c r="AZ3" s="13" t="s">
        <v>82</v>
      </c>
      <c r="BA3" s="13" t="s">
        <v>83</v>
      </c>
      <c r="BB3" s="13" t="s">
        <v>84</v>
      </c>
      <c r="BC3" s="13" t="s">
        <v>85</v>
      </c>
      <c r="BD3" s="13" t="s">
        <v>86</v>
      </c>
      <c r="BE3" s="13" t="s">
        <v>87</v>
      </c>
      <c r="BF3" s="13" t="s">
        <v>88</v>
      </c>
      <c r="BG3" s="13" t="s">
        <v>89</v>
      </c>
      <c r="BH3" s="13" t="s">
        <v>90</v>
      </c>
      <c r="BI3" s="13" t="s">
        <v>91</v>
      </c>
      <c r="BJ3" s="13" t="s">
        <v>92</v>
      </c>
      <c r="BK3" s="13" t="s">
        <v>93</v>
      </c>
      <c r="BL3" s="13" t="s">
        <v>94</v>
      </c>
      <c r="BM3" s="13" t="s">
        <v>95</v>
      </c>
      <c r="BN3" s="13" t="s">
        <v>96</v>
      </c>
      <c r="BO3" s="13" t="s">
        <v>97</v>
      </c>
      <c r="BP3" s="13" t="s">
        <v>98</v>
      </c>
      <c r="BQ3" s="13" t="s">
        <v>99</v>
      </c>
      <c r="BR3" s="13" t="s">
        <v>100</v>
      </c>
      <c r="BS3" s="13" t="s">
        <v>101</v>
      </c>
      <c r="BT3" s="13" t="s">
        <v>102</v>
      </c>
      <c r="BU3" s="13" t="s">
        <v>103</v>
      </c>
      <c r="BV3" s="13" t="s">
        <v>104</v>
      </c>
      <c r="BW3" s="13" t="s">
        <v>105</v>
      </c>
      <c r="BX3" s="13" t="s">
        <v>106</v>
      </c>
      <c r="BY3" s="13" t="s">
        <v>107</v>
      </c>
      <c r="BZ3" s="13" t="s">
        <v>108</v>
      </c>
      <c r="CA3" s="13" t="s">
        <v>109</v>
      </c>
      <c r="CB3" s="13" t="s">
        <v>110</v>
      </c>
      <c r="CC3" s="13" t="s">
        <v>111</v>
      </c>
      <c r="CD3" s="13" t="s">
        <v>112</v>
      </c>
      <c r="CE3" s="13" t="s">
        <v>113</v>
      </c>
      <c r="CF3" s="13" t="s">
        <v>114</v>
      </c>
      <c r="CG3" s="13" t="s">
        <v>115</v>
      </c>
      <c r="CH3" s="13" t="s">
        <v>116</v>
      </c>
      <c r="CI3" s="13" t="s">
        <v>117</v>
      </c>
      <c r="CJ3" s="13" t="s">
        <v>118</v>
      </c>
      <c r="CK3" s="13" t="s">
        <v>119</v>
      </c>
      <c r="CL3" s="13" t="s">
        <v>120</v>
      </c>
      <c r="CM3" s="13" t="s">
        <v>121</v>
      </c>
      <c r="CN3" s="13" t="s">
        <v>122</v>
      </c>
      <c r="CO3" s="13" t="s">
        <v>123</v>
      </c>
      <c r="CP3" s="13" t="s">
        <v>124</v>
      </c>
      <c r="CQ3" s="13" t="s">
        <v>125</v>
      </c>
      <c r="CR3" s="13" t="s">
        <v>126</v>
      </c>
      <c r="CS3" s="13" t="s">
        <v>127</v>
      </c>
      <c r="CT3" s="13" t="s">
        <v>128</v>
      </c>
      <c r="CU3" s="13" t="s">
        <v>129</v>
      </c>
      <c r="CV3" s="13" t="s">
        <v>130</v>
      </c>
      <c r="CW3" s="13" t="s">
        <v>131</v>
      </c>
      <c r="CX3" s="13" t="s">
        <v>132</v>
      </c>
      <c r="CY3" s="13" t="s">
        <v>133</v>
      </c>
      <c r="CZ3" s="13" t="s">
        <v>134</v>
      </c>
      <c r="DA3" s="13" t="s">
        <v>135</v>
      </c>
      <c r="DB3" s="13" t="s">
        <v>136</v>
      </c>
      <c r="DC3" s="13" t="s">
        <v>137</v>
      </c>
      <c r="DD3" s="13" t="s">
        <v>138</v>
      </c>
      <c r="DE3" s="13" t="s">
        <v>139</v>
      </c>
      <c r="DF3" s="13" t="s">
        <v>140</v>
      </c>
      <c r="DG3" s="13" t="s">
        <v>141</v>
      </c>
      <c r="DH3" s="13" t="s">
        <v>142</v>
      </c>
      <c r="DI3" s="13" t="s">
        <v>143</v>
      </c>
      <c r="DJ3" s="13" t="s">
        <v>144</v>
      </c>
      <c r="DK3" s="13" t="s">
        <v>145</v>
      </c>
      <c r="DL3" s="13" t="s">
        <v>146</v>
      </c>
      <c r="DM3" s="13" t="s">
        <v>147</v>
      </c>
      <c r="DN3" s="13" t="s">
        <v>148</v>
      </c>
      <c r="DO3" s="13" t="s">
        <v>149</v>
      </c>
      <c r="DP3" s="13" t="s">
        <v>150</v>
      </c>
      <c r="DQ3" s="13" t="s">
        <v>151</v>
      </c>
      <c r="DR3" s="13" t="s">
        <v>152</v>
      </c>
      <c r="DS3" s="13" t="s">
        <v>153</v>
      </c>
      <c r="DT3" s="13" t="s">
        <v>154</v>
      </c>
      <c r="DU3" s="13" t="s">
        <v>155</v>
      </c>
      <c r="DV3" s="13" t="s">
        <v>156</v>
      </c>
      <c r="DW3" s="13" t="s">
        <v>157</v>
      </c>
      <c r="DX3" s="13" t="s">
        <v>158</v>
      </c>
      <c r="DY3" s="13" t="s">
        <v>159</v>
      </c>
      <c r="DZ3" s="13" t="s">
        <v>160</v>
      </c>
      <c r="EA3" s="13" t="s">
        <v>161</v>
      </c>
      <c r="EB3" s="13" t="s">
        <v>162</v>
      </c>
      <c r="EC3" s="14" t="s">
        <v>163</v>
      </c>
      <c r="ED3" s="15" t="s">
        <v>164</v>
      </c>
      <c r="EE3" s="13" t="s">
        <v>165</v>
      </c>
      <c r="EF3" s="13" t="s">
        <v>33</v>
      </c>
      <c r="EG3" s="13" t="s">
        <v>34</v>
      </c>
      <c r="EH3" s="13" t="s">
        <v>35</v>
      </c>
      <c r="EI3" s="13" t="s">
        <v>36</v>
      </c>
      <c r="EJ3" s="13" t="s">
        <v>37</v>
      </c>
      <c r="EK3" s="14" t="s">
        <v>163</v>
      </c>
      <c r="EL3" s="15" t="s">
        <v>166</v>
      </c>
      <c r="EM3" s="13" t="s">
        <v>32</v>
      </c>
      <c r="EN3" s="13" t="s">
        <v>33</v>
      </c>
      <c r="EO3" s="13" t="s">
        <v>34</v>
      </c>
      <c r="EP3" s="13" t="s">
        <v>35</v>
      </c>
      <c r="EQ3" s="13" t="s">
        <v>36</v>
      </c>
      <c r="ER3" s="13" t="s">
        <v>37</v>
      </c>
      <c r="ES3" s="14" t="s">
        <v>163</v>
      </c>
      <c r="ET3" s="15" t="s">
        <v>167</v>
      </c>
      <c r="EU3" s="13" t="s">
        <v>32</v>
      </c>
      <c r="EV3" s="13" t="s">
        <v>33</v>
      </c>
      <c r="EW3" s="13" t="s">
        <v>34</v>
      </c>
      <c r="EX3" s="13" t="s">
        <v>35</v>
      </c>
      <c r="EY3" s="13" t="s">
        <v>36</v>
      </c>
      <c r="EZ3" s="13" t="s">
        <v>37</v>
      </c>
      <c r="FA3" s="14" t="s">
        <v>163</v>
      </c>
      <c r="FB3" s="15" t="s">
        <v>168</v>
      </c>
      <c r="FC3" s="13" t="s">
        <v>32</v>
      </c>
      <c r="FD3" s="13" t="s">
        <v>33</v>
      </c>
      <c r="FE3" s="13" t="s">
        <v>34</v>
      </c>
      <c r="FF3" s="13" t="s">
        <v>35</v>
      </c>
      <c r="FG3" s="13" t="s">
        <v>36</v>
      </c>
      <c r="FH3" s="13" t="s">
        <v>37</v>
      </c>
      <c r="FI3" s="14" t="s">
        <v>163</v>
      </c>
      <c r="FJ3" s="16" t="s">
        <v>169</v>
      </c>
      <c r="FK3" s="13" t="s">
        <v>32</v>
      </c>
      <c r="FL3" s="13" t="s">
        <v>33</v>
      </c>
      <c r="FM3" s="13" t="s">
        <v>34</v>
      </c>
      <c r="FN3" s="13" t="s">
        <v>35</v>
      </c>
      <c r="FO3" s="13" t="s">
        <v>36</v>
      </c>
      <c r="FP3" s="13" t="s">
        <v>37</v>
      </c>
      <c r="FQ3" s="14" t="s">
        <v>163</v>
      </c>
      <c r="FR3" s="16" t="s">
        <v>170</v>
      </c>
      <c r="FS3" s="13" t="s">
        <v>32</v>
      </c>
      <c r="FT3" s="13" t="s">
        <v>33</v>
      </c>
      <c r="FU3" s="13" t="s">
        <v>34</v>
      </c>
      <c r="FV3" s="13" t="s">
        <v>35</v>
      </c>
      <c r="FW3" s="13" t="s">
        <v>36</v>
      </c>
      <c r="FX3" s="13" t="s">
        <v>37</v>
      </c>
      <c r="FY3" s="13" t="s">
        <v>38</v>
      </c>
      <c r="FZ3" s="13" t="s">
        <v>39</v>
      </c>
      <c r="GA3" s="13" t="s">
        <v>32</v>
      </c>
      <c r="GB3" s="13" t="s">
        <v>33</v>
      </c>
      <c r="GC3" s="13" t="s">
        <v>34</v>
      </c>
      <c r="GD3" s="13" t="s">
        <v>35</v>
      </c>
      <c r="GE3" s="13" t="s">
        <v>36</v>
      </c>
      <c r="GF3" s="13" t="s">
        <v>37</v>
      </c>
      <c r="GG3" s="17" t="s">
        <v>163</v>
      </c>
      <c r="GH3" s="13" t="s">
        <v>7</v>
      </c>
      <c r="GI3" s="13" t="s">
        <v>32</v>
      </c>
      <c r="GJ3" s="13" t="s">
        <v>33</v>
      </c>
      <c r="GK3" s="13" t="s">
        <v>34</v>
      </c>
      <c r="GL3" s="13" t="s">
        <v>35</v>
      </c>
      <c r="GM3" s="13" t="s">
        <v>36</v>
      </c>
      <c r="GN3" s="13" t="s">
        <v>37</v>
      </c>
      <c r="GO3" s="17" t="s">
        <v>163</v>
      </c>
      <c r="GP3" s="13" t="s">
        <v>7</v>
      </c>
      <c r="GQ3" s="13" t="s">
        <v>32</v>
      </c>
      <c r="GR3" s="13" t="s">
        <v>33</v>
      </c>
      <c r="GS3" s="13" t="s">
        <v>34</v>
      </c>
      <c r="GT3" s="13" t="s">
        <v>35</v>
      </c>
      <c r="GU3" s="13" t="s">
        <v>36</v>
      </c>
      <c r="GV3" s="13" t="s">
        <v>37</v>
      </c>
      <c r="GW3" s="18" t="s">
        <v>163</v>
      </c>
      <c r="GX3" s="19" t="s">
        <v>7</v>
      </c>
      <c r="GY3" s="13" t="s">
        <v>32</v>
      </c>
      <c r="GZ3" s="13" t="s">
        <v>33</v>
      </c>
      <c r="HA3" s="13" t="s">
        <v>34</v>
      </c>
      <c r="HB3" s="13" t="s">
        <v>35</v>
      </c>
      <c r="HC3" s="13" t="s">
        <v>36</v>
      </c>
      <c r="HD3" s="13" t="s">
        <v>37</v>
      </c>
      <c r="HE3" s="18" t="s">
        <v>163</v>
      </c>
      <c r="HF3" s="19" t="s">
        <v>7</v>
      </c>
      <c r="HG3" s="13" t="s">
        <v>32</v>
      </c>
      <c r="HH3" s="13" t="s">
        <v>33</v>
      </c>
      <c r="HI3" s="13" t="s">
        <v>34</v>
      </c>
      <c r="HJ3" s="13" t="s">
        <v>35</v>
      </c>
      <c r="HK3" s="13" t="s">
        <v>36</v>
      </c>
      <c r="HL3" s="13" t="s">
        <v>37</v>
      </c>
      <c r="HM3" s="18" t="s">
        <v>163</v>
      </c>
      <c r="HN3" s="19" t="s">
        <v>7</v>
      </c>
      <c r="HO3" s="12" t="s">
        <v>32</v>
      </c>
      <c r="HP3" s="12" t="s">
        <v>33</v>
      </c>
      <c r="HQ3" s="12" t="s">
        <v>34</v>
      </c>
      <c r="HR3" s="12" t="s">
        <v>35</v>
      </c>
      <c r="HS3" s="12" t="s">
        <v>36</v>
      </c>
      <c r="HT3" s="12" t="s">
        <v>37</v>
      </c>
      <c r="HU3" s="18" t="s">
        <v>163</v>
      </c>
      <c r="HV3" s="19" t="s">
        <v>7</v>
      </c>
      <c r="HW3" s="12" t="s">
        <v>32</v>
      </c>
      <c r="HX3" s="12" t="s">
        <v>33</v>
      </c>
      <c r="HY3" s="12" t="s">
        <v>34</v>
      </c>
      <c r="HZ3" s="12" t="s">
        <v>35</v>
      </c>
      <c r="IA3" s="12" t="s">
        <v>36</v>
      </c>
      <c r="IB3" s="12" t="s">
        <v>37</v>
      </c>
      <c r="IC3" s="18" t="s">
        <v>163</v>
      </c>
      <c r="ID3" s="19" t="s">
        <v>7</v>
      </c>
      <c r="IE3" s="12" t="s">
        <v>32</v>
      </c>
      <c r="IF3" s="12" t="s">
        <v>33</v>
      </c>
      <c r="IG3" s="12" t="s">
        <v>34</v>
      </c>
      <c r="IH3" s="12" t="s">
        <v>35</v>
      </c>
      <c r="II3" s="12" t="s">
        <v>36</v>
      </c>
      <c r="IJ3" s="12" t="s">
        <v>37</v>
      </c>
      <c r="IK3" s="18" t="s">
        <v>163</v>
      </c>
      <c r="IL3" s="19" t="s">
        <v>7</v>
      </c>
      <c r="IM3" s="12" t="s">
        <v>32</v>
      </c>
      <c r="IN3" s="12" t="s">
        <v>33</v>
      </c>
      <c r="IO3" s="12" t="s">
        <v>34</v>
      </c>
      <c r="IP3" s="12" t="s">
        <v>35</v>
      </c>
      <c r="IQ3" s="12" t="s">
        <v>36</v>
      </c>
      <c r="IR3" s="12" t="s">
        <v>37</v>
      </c>
      <c r="IS3" s="18" t="s">
        <v>163</v>
      </c>
      <c r="IT3" s="19" t="s">
        <v>7</v>
      </c>
      <c r="IU3" s="13" t="s">
        <v>32</v>
      </c>
      <c r="IV3" s="13" t="s">
        <v>33</v>
      </c>
      <c r="IW3" s="13" t="s">
        <v>34</v>
      </c>
      <c r="IX3" s="13" t="s">
        <v>35</v>
      </c>
      <c r="IY3" s="13" t="s">
        <v>36</v>
      </c>
      <c r="IZ3" s="13" t="s">
        <v>37</v>
      </c>
      <c r="JA3" s="18" t="s">
        <v>163</v>
      </c>
      <c r="JB3" s="19" t="s">
        <v>7</v>
      </c>
      <c r="JC3" s="12" t="s">
        <v>32</v>
      </c>
      <c r="JD3" s="12" t="s">
        <v>33</v>
      </c>
      <c r="JE3" s="12" t="s">
        <v>34</v>
      </c>
      <c r="JF3" s="12" t="s">
        <v>35</v>
      </c>
      <c r="JG3" s="12" t="s">
        <v>36</v>
      </c>
      <c r="JH3" s="12" t="s">
        <v>37</v>
      </c>
      <c r="JI3" s="18" t="s">
        <v>163</v>
      </c>
      <c r="JJ3" s="19" t="s">
        <v>7</v>
      </c>
      <c r="JK3" s="12" t="s">
        <v>32</v>
      </c>
      <c r="JL3" s="12" t="s">
        <v>33</v>
      </c>
      <c r="JM3" s="12" t="s">
        <v>34</v>
      </c>
      <c r="JN3" s="12" t="s">
        <v>35</v>
      </c>
      <c r="JO3" s="12" t="s">
        <v>36</v>
      </c>
      <c r="JP3" s="12" t="s">
        <v>37</v>
      </c>
      <c r="JQ3" s="18" t="s">
        <v>163</v>
      </c>
      <c r="JR3" s="19" t="s">
        <v>7</v>
      </c>
      <c r="JS3" s="12" t="s">
        <v>32</v>
      </c>
      <c r="JT3" s="12" t="s">
        <v>33</v>
      </c>
      <c r="JU3" s="12" t="s">
        <v>34</v>
      </c>
      <c r="JV3" s="12" t="s">
        <v>35</v>
      </c>
      <c r="JW3" s="12" t="s">
        <v>36</v>
      </c>
      <c r="JX3" s="12" t="s">
        <v>37</v>
      </c>
      <c r="JY3" s="18" t="s">
        <v>163</v>
      </c>
      <c r="JZ3" s="19" t="s">
        <v>7</v>
      </c>
      <c r="KA3" s="12" t="s">
        <v>32</v>
      </c>
      <c r="KB3" s="12" t="s">
        <v>35</v>
      </c>
      <c r="KC3" s="12" t="s">
        <v>36</v>
      </c>
      <c r="KD3" s="12" t="s">
        <v>37</v>
      </c>
      <c r="KE3" s="18" t="s">
        <v>163</v>
      </c>
      <c r="KF3" s="19" t="s">
        <v>7</v>
      </c>
      <c r="KG3" s="13" t="s">
        <v>32</v>
      </c>
      <c r="KH3" s="13" t="s">
        <v>33</v>
      </c>
      <c r="KI3" s="13" t="s">
        <v>34</v>
      </c>
      <c r="KJ3" s="13" t="s">
        <v>35</v>
      </c>
      <c r="KK3" s="13" t="s">
        <v>36</v>
      </c>
      <c r="KL3" s="13" t="s">
        <v>37</v>
      </c>
      <c r="KM3" s="18" t="s">
        <v>163</v>
      </c>
      <c r="KN3" s="19" t="s">
        <v>7</v>
      </c>
      <c r="KO3" s="12" t="s">
        <v>32</v>
      </c>
      <c r="KP3" s="12" t="s">
        <v>33</v>
      </c>
      <c r="KQ3" s="12" t="s">
        <v>34</v>
      </c>
      <c r="KR3" s="12" t="s">
        <v>35</v>
      </c>
      <c r="KS3" s="12" t="s">
        <v>36</v>
      </c>
      <c r="KT3" s="12" t="s">
        <v>37</v>
      </c>
      <c r="KU3" s="18" t="s">
        <v>163</v>
      </c>
      <c r="KV3" s="19" t="s">
        <v>7</v>
      </c>
      <c r="KW3" s="12" t="s">
        <v>32</v>
      </c>
      <c r="KX3" s="12" t="s">
        <v>33</v>
      </c>
      <c r="KY3" s="12" t="s">
        <v>34</v>
      </c>
      <c r="KZ3" s="12" t="s">
        <v>35</v>
      </c>
      <c r="LA3" s="12" t="s">
        <v>36</v>
      </c>
      <c r="LB3" s="12" t="s">
        <v>37</v>
      </c>
      <c r="LC3" s="18" t="s">
        <v>163</v>
      </c>
      <c r="LD3" s="19" t="s">
        <v>7</v>
      </c>
      <c r="LE3" s="12" t="s">
        <v>32</v>
      </c>
      <c r="LF3" s="12" t="s">
        <v>33</v>
      </c>
      <c r="LG3" s="12" t="s">
        <v>34</v>
      </c>
      <c r="LH3" s="12" t="s">
        <v>35</v>
      </c>
      <c r="LI3" s="12" t="s">
        <v>36</v>
      </c>
      <c r="LJ3" s="12" t="s">
        <v>37</v>
      </c>
      <c r="LK3" s="18" t="s">
        <v>163</v>
      </c>
      <c r="LL3" s="19" t="s">
        <v>7</v>
      </c>
      <c r="LM3" s="12" t="s">
        <v>34</v>
      </c>
      <c r="LN3" s="12" t="s">
        <v>35</v>
      </c>
      <c r="LO3" s="12" t="s">
        <v>36</v>
      </c>
      <c r="LP3" s="12" t="s">
        <v>36</v>
      </c>
      <c r="LQ3" s="12" t="s">
        <v>163</v>
      </c>
      <c r="LR3" s="12" t="s">
        <v>163</v>
      </c>
      <c r="LS3" s="12" t="s">
        <v>163</v>
      </c>
      <c r="LT3" s="12" t="s">
        <v>163</v>
      </c>
      <c r="LU3" s="12" t="s">
        <v>163</v>
      </c>
      <c r="LV3" s="12" t="s">
        <v>163</v>
      </c>
      <c r="LW3" s="12" t="s">
        <v>163</v>
      </c>
      <c r="LX3" s="12" t="s">
        <v>163</v>
      </c>
      <c r="LY3" s="12" t="s">
        <v>163</v>
      </c>
      <c r="LZ3" s="12" t="s">
        <v>163</v>
      </c>
      <c r="MA3" s="12" t="s">
        <v>163</v>
      </c>
      <c r="MB3" s="12" t="s">
        <v>163</v>
      </c>
      <c r="MC3" s="22" t="s">
        <v>163</v>
      </c>
      <c r="MD3" s="21" t="s">
        <v>163</v>
      </c>
      <c r="ME3" s="21" t="s">
        <v>163</v>
      </c>
      <c r="MF3" s="21" t="s">
        <v>163</v>
      </c>
      <c r="MG3" s="21" t="s">
        <v>163</v>
      </c>
      <c r="MH3" s="23" t="s">
        <v>163</v>
      </c>
      <c r="MI3" s="23" t="s">
        <v>163</v>
      </c>
      <c r="MJ3" s="23" t="s">
        <v>163</v>
      </c>
      <c r="MK3" s="23" t="s">
        <v>163</v>
      </c>
      <c r="ML3" s="23" t="s">
        <v>163</v>
      </c>
      <c r="MM3" s="23" t="s">
        <v>163</v>
      </c>
      <c r="MN3" s="23" t="s">
        <v>163</v>
      </c>
      <c r="MO3" s="23" t="s">
        <v>163</v>
      </c>
      <c r="MP3" s="23" t="s">
        <v>163</v>
      </c>
      <c r="MQ3" s="23" t="s">
        <v>163</v>
      </c>
      <c r="MR3" s="23" t="s">
        <v>163</v>
      </c>
      <c r="MS3" s="23" t="s">
        <v>163</v>
      </c>
      <c r="MT3" s="23" t="s">
        <v>163</v>
      </c>
      <c r="MU3" s="103" t="s">
        <v>163</v>
      </c>
      <c r="MV3" s="173"/>
    </row>
    <row r="4" spans="1:361" s="58" customFormat="1" ht="19.5" thickBot="1">
      <c r="A4" s="125" t="s">
        <v>171</v>
      </c>
      <c r="B4" s="60">
        <v>1436</v>
      </c>
      <c r="C4" s="61">
        <v>108</v>
      </c>
      <c r="D4" s="61">
        <v>650</v>
      </c>
      <c r="E4" s="61">
        <v>435</v>
      </c>
      <c r="F4" s="61">
        <v>0</v>
      </c>
      <c r="G4" s="62">
        <v>0</v>
      </c>
      <c r="H4" s="63">
        <f>SUM(B4:G4)</f>
        <v>2629</v>
      </c>
      <c r="I4" s="60">
        <v>1930</v>
      </c>
      <c r="J4" s="61">
        <v>104</v>
      </c>
      <c r="K4" s="61">
        <v>444</v>
      </c>
      <c r="L4" s="61">
        <v>800</v>
      </c>
      <c r="M4" s="61"/>
      <c r="N4" s="62"/>
      <c r="O4" s="50">
        <f t="shared" ref="O4:O20" si="0">I4+J4+K4+L4+M4+N4</f>
        <v>3278</v>
      </c>
      <c r="P4" s="60">
        <v>1700</v>
      </c>
      <c r="Q4" s="61">
        <v>80</v>
      </c>
      <c r="R4" s="61">
        <v>1030</v>
      </c>
      <c r="S4" s="61">
        <v>570</v>
      </c>
      <c r="T4" s="61"/>
      <c r="U4" s="62"/>
      <c r="V4" s="50">
        <f t="shared" ref="V4:V20" si="1">P4+Q4+R4+S4+T4+U4</f>
        <v>3380</v>
      </c>
      <c r="W4" s="60">
        <v>2045</v>
      </c>
      <c r="X4" s="61">
        <v>156</v>
      </c>
      <c r="Y4" s="61">
        <v>530</v>
      </c>
      <c r="Z4" s="61">
        <v>1174</v>
      </c>
      <c r="AA4" s="61"/>
      <c r="AB4" s="62"/>
      <c r="AC4" s="50"/>
      <c r="AD4" s="60">
        <v>2035</v>
      </c>
      <c r="AE4" s="61">
        <v>90</v>
      </c>
      <c r="AF4" s="61">
        <v>600</v>
      </c>
      <c r="AG4" s="61">
        <v>1250</v>
      </c>
      <c r="AH4" s="61"/>
      <c r="AI4" s="62"/>
      <c r="AJ4" s="50"/>
      <c r="AK4" s="60">
        <v>2290</v>
      </c>
      <c r="AL4" s="61">
        <v>100</v>
      </c>
      <c r="AM4" s="61">
        <v>1092</v>
      </c>
      <c r="AN4" s="61">
        <v>820</v>
      </c>
      <c r="AO4" s="61"/>
      <c r="AP4" s="62"/>
      <c r="AQ4" s="50"/>
      <c r="AR4" s="61"/>
      <c r="AS4" s="61">
        <v>2020</v>
      </c>
      <c r="AT4" s="61">
        <v>140</v>
      </c>
      <c r="AU4" s="61">
        <v>950</v>
      </c>
      <c r="AV4" s="61">
        <v>715</v>
      </c>
      <c r="AW4" s="61"/>
      <c r="AX4" s="61"/>
      <c r="AY4" s="50"/>
      <c r="AZ4" s="61">
        <v>4500</v>
      </c>
      <c r="BA4" s="61">
        <v>1543</v>
      </c>
      <c r="BB4" s="61"/>
      <c r="BC4" s="61">
        <v>600</v>
      </c>
      <c r="BD4" s="61">
        <v>950</v>
      </c>
      <c r="BE4" s="61"/>
      <c r="BF4" s="61"/>
      <c r="BG4" s="50"/>
      <c r="BH4" s="53">
        <v>3800</v>
      </c>
      <c r="BI4" s="64">
        <v>1390</v>
      </c>
      <c r="BJ4" s="61">
        <v>130</v>
      </c>
      <c r="BK4" s="61">
        <v>850</v>
      </c>
      <c r="BL4" s="61">
        <v>700</v>
      </c>
      <c r="BM4" s="61"/>
      <c r="BN4" s="61"/>
      <c r="BO4" s="50">
        <v>3070</v>
      </c>
      <c r="BP4" s="53">
        <v>4010</v>
      </c>
      <c r="BQ4" s="60">
        <v>1436</v>
      </c>
      <c r="BR4" s="61">
        <v>108</v>
      </c>
      <c r="BS4" s="61">
        <v>650</v>
      </c>
      <c r="BT4" s="61">
        <v>435</v>
      </c>
      <c r="BU4" s="61">
        <v>0</v>
      </c>
      <c r="BV4" s="62">
        <v>0</v>
      </c>
      <c r="BW4" s="63">
        <f>SUM(BQ4:BV4)</f>
        <v>2629</v>
      </c>
      <c r="BX4" s="60">
        <v>1930</v>
      </c>
      <c r="BY4" s="61">
        <v>104</v>
      </c>
      <c r="BZ4" s="61">
        <v>444</v>
      </c>
      <c r="CA4" s="61">
        <v>800</v>
      </c>
      <c r="CB4" s="61"/>
      <c r="CC4" s="62"/>
      <c r="CD4" s="50">
        <f t="shared" ref="CD4:CD20" si="2">BX4+BY4+BZ4+CA4+CB4+CC4</f>
        <v>3278</v>
      </c>
      <c r="CE4" s="60">
        <v>1700</v>
      </c>
      <c r="CF4" s="61">
        <v>80</v>
      </c>
      <c r="CG4" s="61">
        <v>1030</v>
      </c>
      <c r="CH4" s="61">
        <v>570</v>
      </c>
      <c r="CI4" s="61"/>
      <c r="CJ4" s="62"/>
      <c r="CK4" s="50">
        <f t="shared" ref="CK4:CK20" si="3">CE4+CF4+CG4+CH4+CI4+CJ4</f>
        <v>3380</v>
      </c>
      <c r="CL4" s="60">
        <v>2045</v>
      </c>
      <c r="CM4" s="61">
        <v>156</v>
      </c>
      <c r="CN4" s="61">
        <v>530</v>
      </c>
      <c r="CO4" s="61">
        <v>1174</v>
      </c>
      <c r="CP4" s="61"/>
      <c r="CQ4" s="62"/>
      <c r="CR4" s="50"/>
      <c r="CS4" s="60">
        <v>2035</v>
      </c>
      <c r="CT4" s="61">
        <v>90</v>
      </c>
      <c r="CU4" s="61">
        <v>600</v>
      </c>
      <c r="CV4" s="61">
        <v>1250</v>
      </c>
      <c r="CW4" s="61"/>
      <c r="CX4" s="62"/>
      <c r="CY4" s="50"/>
      <c r="CZ4" s="60">
        <v>2290</v>
      </c>
      <c r="DA4" s="61">
        <v>100</v>
      </c>
      <c r="DB4" s="61">
        <v>1092</v>
      </c>
      <c r="DC4" s="61">
        <v>820</v>
      </c>
      <c r="DD4" s="61"/>
      <c r="DE4" s="62"/>
      <c r="DF4" s="50"/>
      <c r="DG4" s="61"/>
      <c r="DH4" s="61">
        <v>2020</v>
      </c>
      <c r="DI4" s="61">
        <v>140</v>
      </c>
      <c r="DJ4" s="61">
        <v>950</v>
      </c>
      <c r="DK4" s="61">
        <v>715</v>
      </c>
      <c r="DL4" s="61"/>
      <c r="DM4" s="61"/>
      <c r="DN4" s="50"/>
      <c r="DO4" s="61">
        <v>4500</v>
      </c>
      <c r="DP4" s="61">
        <v>1543</v>
      </c>
      <c r="DQ4" s="61"/>
      <c r="DR4" s="61">
        <v>600</v>
      </c>
      <c r="DS4" s="61">
        <v>950</v>
      </c>
      <c r="DT4" s="61"/>
      <c r="DU4" s="61"/>
      <c r="DV4" s="50"/>
      <c r="DW4" s="64">
        <v>2103</v>
      </c>
      <c r="DX4" s="61">
        <v>230</v>
      </c>
      <c r="DY4" s="61">
        <v>320</v>
      </c>
      <c r="DZ4" s="61">
        <v>1249</v>
      </c>
      <c r="EA4" s="61"/>
      <c r="EB4" s="61"/>
      <c r="EC4" s="54">
        <v>3902</v>
      </c>
      <c r="ED4" s="53">
        <v>4200</v>
      </c>
      <c r="EE4" s="65">
        <v>1530</v>
      </c>
      <c r="EF4" s="66">
        <v>63</v>
      </c>
      <c r="EG4" s="66">
        <v>700</v>
      </c>
      <c r="EH4" s="66">
        <v>612</v>
      </c>
      <c r="EI4" s="66">
        <v>116</v>
      </c>
      <c r="EJ4" s="61"/>
      <c r="EK4" s="54">
        <v>11123</v>
      </c>
      <c r="EL4" s="53"/>
      <c r="EM4" s="64">
        <v>2650</v>
      </c>
      <c r="EN4" s="61">
        <v>138</v>
      </c>
      <c r="EO4" s="61">
        <v>700</v>
      </c>
      <c r="EP4" s="61">
        <v>1914</v>
      </c>
      <c r="EQ4" s="61"/>
      <c r="ER4" s="61"/>
      <c r="ES4" s="54">
        <v>5402</v>
      </c>
      <c r="ET4" s="55">
        <v>1500</v>
      </c>
      <c r="EU4" s="64">
        <v>3500</v>
      </c>
      <c r="EV4" s="61">
        <v>188</v>
      </c>
      <c r="EW4" s="61">
        <v>840</v>
      </c>
      <c r="EX4" s="61">
        <v>1300</v>
      </c>
      <c r="EY4" s="61"/>
      <c r="EZ4" s="61"/>
      <c r="FA4" s="54">
        <v>5828</v>
      </c>
      <c r="FB4" s="55">
        <v>5500</v>
      </c>
      <c r="FC4" s="64">
        <v>2050</v>
      </c>
      <c r="FD4" s="61">
        <v>104</v>
      </c>
      <c r="FE4" s="61">
        <v>810</v>
      </c>
      <c r="FF4" s="61">
        <v>1760</v>
      </c>
      <c r="FG4" s="61"/>
      <c r="FH4" s="61"/>
      <c r="FI4" s="54">
        <v>4724</v>
      </c>
      <c r="FJ4" s="55">
        <v>5000</v>
      </c>
      <c r="FK4" s="64">
        <v>3645</v>
      </c>
      <c r="FL4" s="61">
        <v>240</v>
      </c>
      <c r="FM4" s="61">
        <v>500</v>
      </c>
      <c r="FN4" s="61">
        <v>1100</v>
      </c>
      <c r="FO4" s="61"/>
      <c r="FP4" s="61"/>
      <c r="FQ4" s="54">
        <v>5485</v>
      </c>
      <c r="FR4" s="55">
        <v>6080</v>
      </c>
      <c r="FS4" s="64">
        <v>3840</v>
      </c>
      <c r="FT4" s="61">
        <v>270</v>
      </c>
      <c r="FU4" s="61">
        <v>1010</v>
      </c>
      <c r="FV4" s="61">
        <v>1368</v>
      </c>
      <c r="FW4" s="61"/>
      <c r="FX4" s="61"/>
      <c r="FY4" s="54">
        <v>6488</v>
      </c>
      <c r="FZ4" s="55">
        <v>6150</v>
      </c>
      <c r="GA4" s="61">
        <v>4100</v>
      </c>
      <c r="GB4" s="61">
        <v>386</v>
      </c>
      <c r="GC4" s="61">
        <v>300</v>
      </c>
      <c r="GD4" s="61">
        <v>1600</v>
      </c>
      <c r="GE4" s="61"/>
      <c r="GF4" s="61"/>
      <c r="GG4" s="61">
        <v>6386</v>
      </c>
      <c r="GH4" s="61">
        <v>8030</v>
      </c>
      <c r="GI4" s="61">
        <v>4146</v>
      </c>
      <c r="GJ4" s="61">
        <v>200</v>
      </c>
      <c r="GK4" s="61">
        <v>550</v>
      </c>
      <c r="GL4" s="61">
        <v>1415</v>
      </c>
      <c r="GM4" s="61"/>
      <c r="GN4" s="61"/>
      <c r="GO4" s="61">
        <v>6311</v>
      </c>
      <c r="GP4" s="61">
        <v>6150</v>
      </c>
      <c r="GQ4" s="61">
        <v>4260</v>
      </c>
      <c r="GR4" s="61">
        <v>210</v>
      </c>
      <c r="GS4" s="61">
        <v>400</v>
      </c>
      <c r="GT4" s="61">
        <v>1000</v>
      </c>
      <c r="GU4" s="61"/>
      <c r="GV4" s="59"/>
      <c r="GW4" s="67">
        <v>5870</v>
      </c>
      <c r="GX4" s="55">
        <v>7800</v>
      </c>
      <c r="GY4" s="61">
        <v>5400</v>
      </c>
      <c r="GZ4" s="61">
        <v>220</v>
      </c>
      <c r="HA4" s="61">
        <v>480</v>
      </c>
      <c r="HB4" s="61">
        <v>1245</v>
      </c>
      <c r="HC4" s="61"/>
      <c r="HD4" s="59"/>
      <c r="HE4" s="67">
        <v>7345</v>
      </c>
      <c r="HF4" s="55">
        <v>8000</v>
      </c>
      <c r="HG4" s="20">
        <v>4000</v>
      </c>
      <c r="HH4" s="20">
        <v>218</v>
      </c>
      <c r="HI4" s="20">
        <v>355</v>
      </c>
      <c r="HJ4" s="20">
        <v>250</v>
      </c>
      <c r="HK4" s="20"/>
      <c r="HL4" s="20"/>
      <c r="HM4" s="20">
        <v>4823</v>
      </c>
      <c r="HN4" s="20">
        <v>5900</v>
      </c>
      <c r="HO4" s="20">
        <v>4571</v>
      </c>
      <c r="HP4" s="20">
        <v>125</v>
      </c>
      <c r="HQ4" s="20">
        <v>240</v>
      </c>
      <c r="HR4" s="20">
        <v>890</v>
      </c>
      <c r="HS4" s="20"/>
      <c r="HT4" s="20"/>
      <c r="HU4" s="20">
        <v>5826</v>
      </c>
      <c r="HV4" s="20">
        <v>5250</v>
      </c>
      <c r="HW4" s="20">
        <v>5260</v>
      </c>
      <c r="HX4" s="20">
        <v>395</v>
      </c>
      <c r="HY4" s="20">
        <v>250</v>
      </c>
      <c r="HZ4" s="20">
        <v>436</v>
      </c>
      <c r="IA4" s="20"/>
      <c r="IB4" s="20"/>
      <c r="IC4" s="20">
        <v>6341</v>
      </c>
      <c r="ID4" s="20">
        <v>6300</v>
      </c>
      <c r="IE4" s="20">
        <v>5500</v>
      </c>
      <c r="IF4" s="68">
        <v>280</v>
      </c>
      <c r="IG4" s="20">
        <v>450</v>
      </c>
      <c r="IH4" s="20">
        <v>1100</v>
      </c>
      <c r="II4" s="20"/>
      <c r="IJ4" s="20"/>
      <c r="IK4" s="20">
        <v>7330</v>
      </c>
      <c r="IL4" s="20">
        <v>5750</v>
      </c>
      <c r="IM4" s="20">
        <v>7120</v>
      </c>
      <c r="IN4" s="20">
        <v>160</v>
      </c>
      <c r="IO4" s="20">
        <v>200</v>
      </c>
      <c r="IP4" s="20">
        <v>738</v>
      </c>
      <c r="IQ4" s="20"/>
      <c r="IR4" s="20"/>
      <c r="IS4" s="69">
        <v>8218</v>
      </c>
      <c r="IT4" s="20">
        <v>7550</v>
      </c>
      <c r="IU4" s="20">
        <v>4600</v>
      </c>
      <c r="IV4" s="20">
        <v>210</v>
      </c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68"/>
      <c r="JU4" s="20"/>
      <c r="JV4" s="20"/>
      <c r="JW4" s="20"/>
      <c r="JX4" s="20"/>
      <c r="JY4" s="20"/>
      <c r="JZ4" s="20"/>
      <c r="KA4" s="20">
        <v>150</v>
      </c>
      <c r="KB4" s="20">
        <v>700</v>
      </c>
      <c r="KC4" s="20"/>
      <c r="KD4" s="20"/>
      <c r="KE4" s="69">
        <v>5660</v>
      </c>
      <c r="KF4" s="20">
        <v>4900</v>
      </c>
      <c r="KG4" s="20">
        <v>1528</v>
      </c>
      <c r="KH4" s="20">
        <v>82</v>
      </c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68"/>
      <c r="LG4" s="20"/>
      <c r="LH4" s="20"/>
      <c r="LI4" s="20"/>
      <c r="LJ4" s="20"/>
      <c r="LK4" s="20"/>
      <c r="LL4" s="20"/>
      <c r="LM4" s="20">
        <v>106</v>
      </c>
      <c r="LN4" s="20">
        <v>390</v>
      </c>
      <c r="LO4" s="20"/>
      <c r="LP4" s="20"/>
      <c r="LQ4" s="136">
        <v>2304</v>
      </c>
      <c r="LR4" s="136">
        <v>2420</v>
      </c>
      <c r="LS4" s="136">
        <v>1900</v>
      </c>
      <c r="LT4" s="136">
        <v>2312</v>
      </c>
      <c r="LU4" s="136">
        <v>1521</v>
      </c>
      <c r="LV4" s="136">
        <v>1382</v>
      </c>
      <c r="LW4" s="136">
        <v>1216</v>
      </c>
      <c r="LX4" s="136">
        <v>1663</v>
      </c>
      <c r="LY4" s="136">
        <v>1617</v>
      </c>
      <c r="LZ4" s="136">
        <v>1563</v>
      </c>
      <c r="MA4" s="136">
        <v>1771</v>
      </c>
      <c r="MB4" s="136">
        <v>1458</v>
      </c>
      <c r="MC4" s="136">
        <v>1188</v>
      </c>
      <c r="MD4" s="137">
        <v>1353</v>
      </c>
      <c r="ME4" s="136">
        <v>1720</v>
      </c>
      <c r="MF4" s="137">
        <v>2241</v>
      </c>
      <c r="MG4" s="137">
        <v>3595</v>
      </c>
      <c r="MH4" s="137">
        <v>4385</v>
      </c>
      <c r="MI4" s="136">
        <v>7335</v>
      </c>
      <c r="MJ4" s="137">
        <v>5740</v>
      </c>
      <c r="MK4" s="137">
        <v>6387</v>
      </c>
      <c r="ML4" s="137">
        <v>10810</v>
      </c>
      <c r="MM4" s="137">
        <v>15123</v>
      </c>
      <c r="MN4" s="137">
        <v>16581</v>
      </c>
      <c r="MO4" s="137">
        <v>22346</v>
      </c>
      <c r="MP4" s="137">
        <v>25536</v>
      </c>
      <c r="MQ4" s="1">
        <v>44388</v>
      </c>
      <c r="MR4" s="137">
        <v>38670</v>
      </c>
      <c r="MS4" s="1">
        <v>37130</v>
      </c>
      <c r="MT4" s="137">
        <v>40370</v>
      </c>
      <c r="MU4" s="138">
        <v>33858</v>
      </c>
      <c r="MV4" s="139">
        <f>SUM(LQ4:MU4)</f>
        <v>339883</v>
      </c>
      <c r="MW4" s="121"/>
    </row>
    <row r="5" spans="1:361" s="58" customFormat="1" ht="19.5" thickBot="1">
      <c r="A5" s="126" t="s">
        <v>172</v>
      </c>
      <c r="B5" s="46">
        <v>0</v>
      </c>
      <c r="C5" s="20"/>
      <c r="D5" s="20">
        <v>70</v>
      </c>
      <c r="E5" s="20">
        <v>0</v>
      </c>
      <c r="F5" s="20">
        <v>0</v>
      </c>
      <c r="G5" s="47">
        <v>0</v>
      </c>
      <c r="H5" s="48"/>
      <c r="I5" s="46"/>
      <c r="J5" s="20"/>
      <c r="K5" s="20"/>
      <c r="L5" s="20"/>
      <c r="M5" s="20"/>
      <c r="N5" s="47">
        <v>350</v>
      </c>
      <c r="O5" s="49">
        <f t="shared" si="0"/>
        <v>350</v>
      </c>
      <c r="P5" s="46"/>
      <c r="Q5" s="20"/>
      <c r="R5" s="20"/>
      <c r="S5" s="20"/>
      <c r="T5" s="20"/>
      <c r="U5" s="47">
        <v>200</v>
      </c>
      <c r="V5" s="49">
        <f t="shared" si="1"/>
        <v>200</v>
      </c>
      <c r="W5" s="46"/>
      <c r="X5" s="20"/>
      <c r="Y5" s="20">
        <v>390</v>
      </c>
      <c r="Z5" s="20"/>
      <c r="AA5" s="20"/>
      <c r="AB5" s="47"/>
      <c r="AC5" s="49"/>
      <c r="AD5" s="46"/>
      <c r="AE5" s="20"/>
      <c r="AF5" s="20">
        <v>500</v>
      </c>
      <c r="AG5" s="20"/>
      <c r="AH5" s="20"/>
      <c r="AI5" s="47"/>
      <c r="AJ5" s="49"/>
      <c r="AK5" s="46"/>
      <c r="AL5" s="20"/>
      <c r="AM5" s="20">
        <v>910</v>
      </c>
      <c r="AN5" s="20"/>
      <c r="AO5" s="20"/>
      <c r="AP5" s="47"/>
      <c r="AQ5" s="49"/>
      <c r="AR5" s="20"/>
      <c r="AS5" s="20"/>
      <c r="AT5" s="20"/>
      <c r="AU5" s="20">
        <v>425</v>
      </c>
      <c r="AV5" s="20"/>
      <c r="AW5" s="20"/>
      <c r="AX5" s="20"/>
      <c r="AY5" s="49"/>
      <c r="AZ5" s="20">
        <v>700</v>
      </c>
      <c r="BA5" s="20"/>
      <c r="BB5" s="20"/>
      <c r="BC5" s="20">
        <v>620</v>
      </c>
      <c r="BD5" s="20"/>
      <c r="BE5" s="20"/>
      <c r="BF5" s="20"/>
      <c r="BG5" s="49"/>
      <c r="BH5" s="51">
        <v>800</v>
      </c>
      <c r="BI5" s="52"/>
      <c r="BJ5" s="20"/>
      <c r="BK5" s="20">
        <v>450</v>
      </c>
      <c r="BL5" s="20"/>
      <c r="BM5" s="20"/>
      <c r="BN5" s="20"/>
      <c r="BO5" s="49">
        <v>450</v>
      </c>
      <c r="BP5" s="51">
        <v>650</v>
      </c>
      <c r="BQ5" s="46">
        <v>0</v>
      </c>
      <c r="BR5" s="20"/>
      <c r="BS5" s="20">
        <v>70</v>
      </c>
      <c r="BT5" s="20">
        <v>0</v>
      </c>
      <c r="BU5" s="20">
        <v>0</v>
      </c>
      <c r="BV5" s="47">
        <v>0</v>
      </c>
      <c r="BW5" s="48"/>
      <c r="BX5" s="46"/>
      <c r="BY5" s="20"/>
      <c r="BZ5" s="20"/>
      <c r="CA5" s="20"/>
      <c r="CB5" s="20"/>
      <c r="CC5" s="47">
        <v>350</v>
      </c>
      <c r="CD5" s="49">
        <f t="shared" si="2"/>
        <v>350</v>
      </c>
      <c r="CE5" s="46"/>
      <c r="CF5" s="20"/>
      <c r="CG5" s="20"/>
      <c r="CH5" s="20"/>
      <c r="CI5" s="20"/>
      <c r="CJ5" s="47">
        <v>200</v>
      </c>
      <c r="CK5" s="49">
        <f t="shared" si="3"/>
        <v>200</v>
      </c>
      <c r="CL5" s="46"/>
      <c r="CM5" s="20"/>
      <c r="CN5" s="20">
        <v>390</v>
      </c>
      <c r="CO5" s="20"/>
      <c r="CP5" s="20"/>
      <c r="CQ5" s="47"/>
      <c r="CR5" s="49"/>
      <c r="CS5" s="46"/>
      <c r="CT5" s="20"/>
      <c r="CU5" s="20">
        <v>500</v>
      </c>
      <c r="CV5" s="20"/>
      <c r="CW5" s="20"/>
      <c r="CX5" s="47"/>
      <c r="CY5" s="49"/>
      <c r="CZ5" s="46"/>
      <c r="DA5" s="20"/>
      <c r="DB5" s="20">
        <v>910</v>
      </c>
      <c r="DC5" s="20"/>
      <c r="DD5" s="20"/>
      <c r="DE5" s="47"/>
      <c r="DF5" s="49"/>
      <c r="DG5" s="20"/>
      <c r="DH5" s="20"/>
      <c r="DI5" s="20"/>
      <c r="DJ5" s="20">
        <v>425</v>
      </c>
      <c r="DK5" s="20"/>
      <c r="DL5" s="20"/>
      <c r="DM5" s="20"/>
      <c r="DN5" s="49"/>
      <c r="DO5" s="20">
        <v>700</v>
      </c>
      <c r="DP5" s="20"/>
      <c r="DQ5" s="20"/>
      <c r="DR5" s="20">
        <v>620</v>
      </c>
      <c r="DS5" s="20"/>
      <c r="DT5" s="20"/>
      <c r="DU5" s="20"/>
      <c r="DV5" s="49"/>
      <c r="DW5" s="52"/>
      <c r="DX5" s="20"/>
      <c r="DY5" s="20">
        <v>905</v>
      </c>
      <c r="DZ5" s="20"/>
      <c r="EA5" s="20"/>
      <c r="EB5" s="20"/>
      <c r="EC5" s="70">
        <v>905</v>
      </c>
      <c r="ED5" s="51">
        <v>1000</v>
      </c>
      <c r="EE5" s="52"/>
      <c r="EF5" s="20"/>
      <c r="EG5" s="20">
        <v>650</v>
      </c>
      <c r="EH5" s="20"/>
      <c r="EI5" s="20"/>
      <c r="EJ5" s="20"/>
      <c r="EK5" s="70"/>
      <c r="EL5" s="51"/>
      <c r="EM5" s="52"/>
      <c r="EN5" s="20"/>
      <c r="EO5" s="20">
        <v>450</v>
      </c>
      <c r="EP5" s="20"/>
      <c r="EQ5" s="20"/>
      <c r="ER5" s="20"/>
      <c r="ES5" s="70">
        <v>450</v>
      </c>
      <c r="ET5" s="57">
        <v>650</v>
      </c>
      <c r="EU5" s="52"/>
      <c r="EV5" s="20"/>
      <c r="EW5" s="20">
        <v>800</v>
      </c>
      <c r="EX5" s="20"/>
      <c r="EY5" s="20"/>
      <c r="EZ5" s="20"/>
      <c r="FA5" s="70">
        <v>800</v>
      </c>
      <c r="FB5" s="57">
        <v>1000</v>
      </c>
      <c r="FC5" s="52"/>
      <c r="FD5" s="20"/>
      <c r="FE5" s="20">
        <v>740</v>
      </c>
      <c r="FF5" s="20"/>
      <c r="FG5" s="20"/>
      <c r="FH5" s="20"/>
      <c r="FI5" s="70">
        <v>740</v>
      </c>
      <c r="FJ5" s="57">
        <v>900</v>
      </c>
      <c r="FK5" s="52"/>
      <c r="FL5" s="20"/>
      <c r="FM5" s="20">
        <v>650</v>
      </c>
      <c r="FN5" s="20"/>
      <c r="FO5" s="20"/>
      <c r="FP5" s="20"/>
      <c r="FQ5" s="70">
        <v>650</v>
      </c>
      <c r="FR5" s="57">
        <v>750</v>
      </c>
      <c r="FS5" s="52"/>
      <c r="FT5" s="20"/>
      <c r="FU5" s="20">
        <v>550</v>
      </c>
      <c r="FV5" s="20"/>
      <c r="FW5" s="20"/>
      <c r="FX5" s="20"/>
      <c r="FY5" s="70">
        <v>550</v>
      </c>
      <c r="FZ5" s="57">
        <v>700</v>
      </c>
      <c r="GA5" s="20"/>
      <c r="GB5" s="20"/>
      <c r="GC5" s="20">
        <v>720</v>
      </c>
      <c r="GD5" s="20"/>
      <c r="GE5" s="20"/>
      <c r="GF5" s="20"/>
      <c r="GG5" s="20">
        <v>720</v>
      </c>
      <c r="GH5" s="20">
        <v>750</v>
      </c>
      <c r="GI5" s="20"/>
      <c r="GJ5" s="20"/>
      <c r="GK5" s="20">
        <v>746</v>
      </c>
      <c r="GL5" s="20"/>
      <c r="GM5" s="20"/>
      <c r="GN5" s="20"/>
      <c r="GO5" s="20">
        <v>756</v>
      </c>
      <c r="GP5" s="20">
        <v>800</v>
      </c>
      <c r="GQ5" s="20"/>
      <c r="GR5" s="20"/>
      <c r="GS5" s="20">
        <v>840</v>
      </c>
      <c r="GT5" s="20"/>
      <c r="GU5" s="20"/>
      <c r="GV5" s="56"/>
      <c r="GW5" s="57">
        <v>840</v>
      </c>
      <c r="GX5" s="57">
        <v>800</v>
      </c>
      <c r="GY5" s="20"/>
      <c r="GZ5" s="20"/>
      <c r="HA5" s="20">
        <v>730</v>
      </c>
      <c r="HB5" s="20"/>
      <c r="HC5" s="20"/>
      <c r="HD5" s="56"/>
      <c r="HE5" s="57">
        <v>730</v>
      </c>
      <c r="HF5" s="57">
        <v>800</v>
      </c>
      <c r="HG5" s="20"/>
      <c r="HH5" s="20"/>
      <c r="HI5" s="20">
        <v>770</v>
      </c>
      <c r="HJ5" s="20"/>
      <c r="HK5" s="20"/>
      <c r="HL5" s="20"/>
      <c r="HM5" s="20">
        <v>770</v>
      </c>
      <c r="HN5" s="20">
        <v>800</v>
      </c>
      <c r="HO5" s="20"/>
      <c r="HP5" s="20"/>
      <c r="HQ5" s="20">
        <v>360</v>
      </c>
      <c r="HR5" s="20"/>
      <c r="HS5" s="20"/>
      <c r="HT5" s="20"/>
      <c r="HU5" s="20">
        <v>360</v>
      </c>
      <c r="HV5" s="20">
        <v>500</v>
      </c>
      <c r="HW5" s="20"/>
      <c r="HX5" s="68"/>
      <c r="HY5" s="20">
        <v>500</v>
      </c>
      <c r="HZ5" s="20"/>
      <c r="IA5" s="20"/>
      <c r="IB5" s="20"/>
      <c r="IC5" s="20">
        <v>500</v>
      </c>
      <c r="ID5" s="20">
        <v>800</v>
      </c>
      <c r="IE5" s="20"/>
      <c r="IF5" s="20"/>
      <c r="IG5" s="20">
        <v>950</v>
      </c>
      <c r="IH5" s="20"/>
      <c r="II5" s="20"/>
      <c r="IJ5" s="20"/>
      <c r="IK5" s="20">
        <v>950</v>
      </c>
      <c r="IL5" s="20">
        <v>600</v>
      </c>
      <c r="IM5" s="20"/>
      <c r="IN5" s="20"/>
      <c r="IO5" s="20">
        <v>740</v>
      </c>
      <c r="IP5" s="20"/>
      <c r="IQ5" s="20"/>
      <c r="IR5" s="20"/>
      <c r="IS5" s="69">
        <v>740</v>
      </c>
      <c r="IT5" s="20">
        <v>850</v>
      </c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68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>
        <v>580</v>
      </c>
      <c r="KB5" s="20"/>
      <c r="KC5" s="20"/>
      <c r="KD5" s="20"/>
      <c r="KE5" s="69">
        <v>580</v>
      </c>
      <c r="KF5" s="20">
        <v>650</v>
      </c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68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>
        <v>550</v>
      </c>
      <c r="LN5" s="20"/>
      <c r="LO5" s="20"/>
      <c r="LP5" s="20"/>
      <c r="LQ5" s="136">
        <v>820</v>
      </c>
      <c r="LR5" s="136">
        <v>520</v>
      </c>
      <c r="LS5" s="136">
        <v>870</v>
      </c>
      <c r="LT5" s="136">
        <v>330</v>
      </c>
      <c r="LU5" s="136">
        <v>480</v>
      </c>
      <c r="LV5" s="136">
        <v>340</v>
      </c>
      <c r="LW5" s="136">
        <v>390</v>
      </c>
      <c r="LX5" s="136">
        <v>350</v>
      </c>
      <c r="LY5" s="136">
        <v>230</v>
      </c>
      <c r="LZ5" s="136">
        <v>589</v>
      </c>
      <c r="MA5" s="136">
        <v>424</v>
      </c>
      <c r="MB5" s="136">
        <v>350</v>
      </c>
      <c r="MC5" s="137">
        <v>280</v>
      </c>
      <c r="MD5" s="137">
        <v>360</v>
      </c>
      <c r="ME5" s="136">
        <v>370</v>
      </c>
      <c r="MF5" s="137">
        <v>786</v>
      </c>
      <c r="MG5" s="137">
        <v>750</v>
      </c>
      <c r="MH5" s="137">
        <v>904</v>
      </c>
      <c r="MI5" s="137">
        <v>1352</v>
      </c>
      <c r="MJ5" s="137">
        <v>1200</v>
      </c>
      <c r="MK5" s="137">
        <v>1350</v>
      </c>
      <c r="ML5" s="137">
        <v>2070</v>
      </c>
      <c r="MM5" s="137">
        <v>1924</v>
      </c>
      <c r="MN5" s="137">
        <v>1126</v>
      </c>
      <c r="MO5" s="137">
        <v>2500</v>
      </c>
      <c r="MP5" s="137">
        <v>3384</v>
      </c>
      <c r="MQ5" s="1">
        <v>2990</v>
      </c>
      <c r="MR5" s="137">
        <v>2950</v>
      </c>
      <c r="MS5" s="1">
        <v>3075</v>
      </c>
      <c r="MT5" s="137">
        <v>2180</v>
      </c>
      <c r="MU5" s="138">
        <v>2400</v>
      </c>
      <c r="MV5" s="139">
        <f t="shared" ref="MV5:MV34" si="4">SUM(LQ5:MU5)</f>
        <v>37644</v>
      </c>
      <c r="MW5" s="121"/>
    </row>
    <row r="6" spans="1:361" s="58" customFormat="1" ht="18.75">
      <c r="A6" s="126" t="s">
        <v>173</v>
      </c>
      <c r="B6" s="56" t="s">
        <v>173</v>
      </c>
      <c r="C6" s="56" t="s">
        <v>173</v>
      </c>
      <c r="D6" s="56" t="s">
        <v>173</v>
      </c>
      <c r="E6" s="56" t="s">
        <v>173</v>
      </c>
      <c r="F6" s="56" t="s">
        <v>173</v>
      </c>
      <c r="G6" s="56" t="s">
        <v>173</v>
      </c>
      <c r="H6" s="56" t="s">
        <v>173</v>
      </c>
      <c r="I6" s="56" t="s">
        <v>173</v>
      </c>
      <c r="J6" s="56" t="s">
        <v>173</v>
      </c>
      <c r="K6" s="56" t="s">
        <v>173</v>
      </c>
      <c r="L6" s="56" t="s">
        <v>173</v>
      </c>
      <c r="M6" s="56" t="s">
        <v>173</v>
      </c>
      <c r="N6" s="56" t="s">
        <v>173</v>
      </c>
      <c r="O6" s="56" t="s">
        <v>173</v>
      </c>
      <c r="P6" s="56" t="s">
        <v>173</v>
      </c>
      <c r="Q6" s="56" t="s">
        <v>173</v>
      </c>
      <c r="R6" s="56" t="s">
        <v>173</v>
      </c>
      <c r="S6" s="56" t="s">
        <v>173</v>
      </c>
      <c r="T6" s="56" t="s">
        <v>173</v>
      </c>
      <c r="U6" s="56" t="s">
        <v>173</v>
      </c>
      <c r="V6" s="56" t="s">
        <v>173</v>
      </c>
      <c r="W6" s="56" t="s">
        <v>173</v>
      </c>
      <c r="X6" s="56" t="s">
        <v>173</v>
      </c>
      <c r="Y6" s="56" t="s">
        <v>173</v>
      </c>
      <c r="Z6" s="56" t="s">
        <v>173</v>
      </c>
      <c r="AA6" s="56" t="s">
        <v>173</v>
      </c>
      <c r="AB6" s="56" t="s">
        <v>173</v>
      </c>
      <c r="AC6" s="56" t="s">
        <v>173</v>
      </c>
      <c r="AD6" s="56" t="s">
        <v>173</v>
      </c>
      <c r="AE6" s="56" t="s">
        <v>173</v>
      </c>
      <c r="AF6" s="56" t="s">
        <v>173</v>
      </c>
      <c r="AG6" s="56" t="s">
        <v>173</v>
      </c>
      <c r="AH6" s="56" t="s">
        <v>173</v>
      </c>
      <c r="AI6" s="56" t="s">
        <v>173</v>
      </c>
      <c r="AJ6" s="56" t="s">
        <v>173</v>
      </c>
      <c r="AK6" s="56" t="s">
        <v>173</v>
      </c>
      <c r="AL6" s="56" t="s">
        <v>173</v>
      </c>
      <c r="AM6" s="56" t="s">
        <v>173</v>
      </c>
      <c r="AN6" s="56" t="s">
        <v>173</v>
      </c>
      <c r="AO6" s="56" t="s">
        <v>173</v>
      </c>
      <c r="AP6" s="56" t="s">
        <v>173</v>
      </c>
      <c r="AQ6" s="56" t="s">
        <v>173</v>
      </c>
      <c r="AR6" s="56" t="s">
        <v>173</v>
      </c>
      <c r="AS6" s="56" t="s">
        <v>173</v>
      </c>
      <c r="AT6" s="56" t="s">
        <v>173</v>
      </c>
      <c r="AU6" s="56" t="s">
        <v>173</v>
      </c>
      <c r="AV6" s="56" t="s">
        <v>173</v>
      </c>
      <c r="AW6" s="56" t="s">
        <v>173</v>
      </c>
      <c r="AX6" s="56" t="s">
        <v>173</v>
      </c>
      <c r="AY6" s="56" t="s">
        <v>173</v>
      </c>
      <c r="AZ6" s="56" t="s">
        <v>173</v>
      </c>
      <c r="BA6" s="56" t="s">
        <v>173</v>
      </c>
      <c r="BB6" s="56" t="s">
        <v>173</v>
      </c>
      <c r="BC6" s="56" t="s">
        <v>173</v>
      </c>
      <c r="BD6" s="56" t="s">
        <v>173</v>
      </c>
      <c r="BE6" s="56" t="s">
        <v>173</v>
      </c>
      <c r="BF6" s="56" t="s">
        <v>173</v>
      </c>
      <c r="BG6" s="56" t="s">
        <v>173</v>
      </c>
      <c r="BH6" s="56" t="s">
        <v>173</v>
      </c>
      <c r="BI6" s="56" t="s">
        <v>173</v>
      </c>
      <c r="BJ6" s="56" t="s">
        <v>173</v>
      </c>
      <c r="BK6" s="56" t="s">
        <v>173</v>
      </c>
      <c r="BL6" s="56" t="s">
        <v>173</v>
      </c>
      <c r="BM6" s="56" t="s">
        <v>173</v>
      </c>
      <c r="BN6" s="56" t="s">
        <v>173</v>
      </c>
      <c r="BO6" s="56" t="s">
        <v>173</v>
      </c>
      <c r="BP6" s="56" t="s">
        <v>173</v>
      </c>
      <c r="BQ6" s="56" t="s">
        <v>173</v>
      </c>
      <c r="BR6" s="56" t="s">
        <v>173</v>
      </c>
      <c r="BS6" s="56" t="s">
        <v>173</v>
      </c>
      <c r="BT6" s="56" t="s">
        <v>173</v>
      </c>
      <c r="BU6" s="56" t="s">
        <v>173</v>
      </c>
      <c r="BV6" s="56" t="s">
        <v>173</v>
      </c>
      <c r="BW6" s="56" t="s">
        <v>173</v>
      </c>
      <c r="BX6" s="56" t="s">
        <v>173</v>
      </c>
      <c r="BY6" s="56" t="s">
        <v>173</v>
      </c>
      <c r="BZ6" s="56" t="s">
        <v>173</v>
      </c>
      <c r="CA6" s="56" t="s">
        <v>173</v>
      </c>
      <c r="CB6" s="56" t="s">
        <v>173</v>
      </c>
      <c r="CC6" s="56" t="s">
        <v>173</v>
      </c>
      <c r="CD6" s="56" t="s">
        <v>173</v>
      </c>
      <c r="CE6" s="56" t="s">
        <v>173</v>
      </c>
      <c r="CF6" s="56" t="s">
        <v>173</v>
      </c>
      <c r="CG6" s="56" t="s">
        <v>173</v>
      </c>
      <c r="CH6" s="56" t="s">
        <v>173</v>
      </c>
      <c r="CI6" s="56" t="s">
        <v>173</v>
      </c>
      <c r="CJ6" s="56" t="s">
        <v>173</v>
      </c>
      <c r="CK6" s="56" t="s">
        <v>173</v>
      </c>
      <c r="CL6" s="56" t="s">
        <v>173</v>
      </c>
      <c r="CM6" s="56" t="s">
        <v>173</v>
      </c>
      <c r="CN6" s="56" t="s">
        <v>173</v>
      </c>
      <c r="CO6" s="56" t="s">
        <v>173</v>
      </c>
      <c r="CP6" s="56" t="s">
        <v>173</v>
      </c>
      <c r="CQ6" s="56" t="s">
        <v>173</v>
      </c>
      <c r="CR6" s="56" t="s">
        <v>173</v>
      </c>
      <c r="CS6" s="56" t="s">
        <v>173</v>
      </c>
      <c r="CT6" s="56" t="s">
        <v>173</v>
      </c>
      <c r="CU6" s="56" t="s">
        <v>173</v>
      </c>
      <c r="CV6" s="56" t="s">
        <v>173</v>
      </c>
      <c r="CW6" s="56" t="s">
        <v>173</v>
      </c>
      <c r="CX6" s="56" t="s">
        <v>173</v>
      </c>
      <c r="CY6" s="56" t="s">
        <v>173</v>
      </c>
      <c r="CZ6" s="56" t="s">
        <v>173</v>
      </c>
      <c r="DA6" s="56" t="s">
        <v>173</v>
      </c>
      <c r="DB6" s="56" t="s">
        <v>173</v>
      </c>
      <c r="DC6" s="56" t="s">
        <v>173</v>
      </c>
      <c r="DD6" s="56" t="s">
        <v>173</v>
      </c>
      <c r="DE6" s="56" t="s">
        <v>173</v>
      </c>
      <c r="DF6" s="56" t="s">
        <v>173</v>
      </c>
      <c r="DG6" s="56" t="s">
        <v>173</v>
      </c>
      <c r="DH6" s="56" t="s">
        <v>173</v>
      </c>
      <c r="DI6" s="56" t="s">
        <v>173</v>
      </c>
      <c r="DJ6" s="56" t="s">
        <v>173</v>
      </c>
      <c r="DK6" s="56" t="s">
        <v>173</v>
      </c>
      <c r="DL6" s="56" t="s">
        <v>173</v>
      </c>
      <c r="DM6" s="56" t="s">
        <v>173</v>
      </c>
      <c r="DN6" s="56" t="s">
        <v>173</v>
      </c>
      <c r="DO6" s="56" t="s">
        <v>173</v>
      </c>
      <c r="DP6" s="56" t="s">
        <v>173</v>
      </c>
      <c r="DQ6" s="56" t="s">
        <v>173</v>
      </c>
      <c r="DR6" s="56" t="s">
        <v>173</v>
      </c>
      <c r="DS6" s="56" t="s">
        <v>173</v>
      </c>
      <c r="DT6" s="56" t="s">
        <v>173</v>
      </c>
      <c r="DU6" s="56" t="s">
        <v>173</v>
      </c>
      <c r="DV6" s="56" t="s">
        <v>173</v>
      </c>
      <c r="DW6" s="56" t="s">
        <v>173</v>
      </c>
      <c r="DX6" s="56" t="s">
        <v>173</v>
      </c>
      <c r="DY6" s="56" t="s">
        <v>173</v>
      </c>
      <c r="DZ6" s="56" t="s">
        <v>173</v>
      </c>
      <c r="EA6" s="56" t="s">
        <v>173</v>
      </c>
      <c r="EB6" s="56" t="s">
        <v>173</v>
      </c>
      <c r="EC6" s="56" t="s">
        <v>173</v>
      </c>
      <c r="ED6" s="56" t="s">
        <v>173</v>
      </c>
      <c r="EE6" s="56" t="s">
        <v>173</v>
      </c>
      <c r="EF6" s="56" t="s">
        <v>173</v>
      </c>
      <c r="EG6" s="56" t="s">
        <v>173</v>
      </c>
      <c r="EH6" s="56" t="s">
        <v>173</v>
      </c>
      <c r="EI6" s="56" t="s">
        <v>173</v>
      </c>
      <c r="EJ6" s="56" t="s">
        <v>173</v>
      </c>
      <c r="EK6" s="56" t="s">
        <v>173</v>
      </c>
      <c r="EL6" s="56" t="s">
        <v>173</v>
      </c>
      <c r="EM6" s="56" t="s">
        <v>173</v>
      </c>
      <c r="EN6" s="56" t="s">
        <v>173</v>
      </c>
      <c r="EO6" s="56" t="s">
        <v>173</v>
      </c>
      <c r="EP6" s="56" t="s">
        <v>173</v>
      </c>
      <c r="EQ6" s="56" t="s">
        <v>173</v>
      </c>
      <c r="ER6" s="56" t="s">
        <v>173</v>
      </c>
      <c r="ES6" s="56" t="s">
        <v>173</v>
      </c>
      <c r="ET6" s="56" t="s">
        <v>173</v>
      </c>
      <c r="EU6" s="56" t="s">
        <v>173</v>
      </c>
      <c r="EV6" s="56" t="s">
        <v>173</v>
      </c>
      <c r="EW6" s="56" t="s">
        <v>173</v>
      </c>
      <c r="EX6" s="56" t="s">
        <v>173</v>
      </c>
      <c r="EY6" s="56" t="s">
        <v>173</v>
      </c>
      <c r="EZ6" s="56" t="s">
        <v>173</v>
      </c>
      <c r="FA6" s="56" t="s">
        <v>173</v>
      </c>
      <c r="FB6" s="56" t="s">
        <v>173</v>
      </c>
      <c r="FC6" s="56" t="s">
        <v>173</v>
      </c>
      <c r="FD6" s="56" t="s">
        <v>173</v>
      </c>
      <c r="FE6" s="56" t="s">
        <v>173</v>
      </c>
      <c r="FF6" s="56" t="s">
        <v>173</v>
      </c>
      <c r="FG6" s="56" t="s">
        <v>173</v>
      </c>
      <c r="FH6" s="56" t="s">
        <v>173</v>
      </c>
      <c r="FI6" s="56" t="s">
        <v>173</v>
      </c>
      <c r="FJ6" s="56" t="s">
        <v>173</v>
      </c>
      <c r="FK6" s="56" t="s">
        <v>173</v>
      </c>
      <c r="FL6" s="56" t="s">
        <v>173</v>
      </c>
      <c r="FM6" s="56" t="s">
        <v>173</v>
      </c>
      <c r="FN6" s="56" t="s">
        <v>173</v>
      </c>
      <c r="FO6" s="56" t="s">
        <v>173</v>
      </c>
      <c r="FP6" s="56" t="s">
        <v>173</v>
      </c>
      <c r="FQ6" s="56" t="s">
        <v>173</v>
      </c>
      <c r="FR6" s="56" t="s">
        <v>173</v>
      </c>
      <c r="FS6" s="56" t="s">
        <v>173</v>
      </c>
      <c r="FT6" s="56" t="s">
        <v>173</v>
      </c>
      <c r="FU6" s="56" t="s">
        <v>173</v>
      </c>
      <c r="FV6" s="56" t="s">
        <v>173</v>
      </c>
      <c r="FW6" s="56" t="s">
        <v>173</v>
      </c>
      <c r="FX6" s="56" t="s">
        <v>173</v>
      </c>
      <c r="FY6" s="56" t="s">
        <v>173</v>
      </c>
      <c r="FZ6" s="56" t="s">
        <v>173</v>
      </c>
      <c r="GA6" s="56" t="s">
        <v>173</v>
      </c>
      <c r="GB6" s="56" t="s">
        <v>173</v>
      </c>
      <c r="GC6" s="56" t="s">
        <v>173</v>
      </c>
      <c r="GD6" s="56" t="s">
        <v>173</v>
      </c>
      <c r="GE6" s="56" t="s">
        <v>173</v>
      </c>
      <c r="GF6" s="56" t="s">
        <v>173</v>
      </c>
      <c r="GG6" s="56" t="s">
        <v>173</v>
      </c>
      <c r="GH6" s="56" t="s">
        <v>173</v>
      </c>
      <c r="GI6" s="56" t="s">
        <v>173</v>
      </c>
      <c r="GJ6" s="56" t="s">
        <v>173</v>
      </c>
      <c r="GK6" s="56" t="s">
        <v>173</v>
      </c>
      <c r="GL6" s="56" t="s">
        <v>173</v>
      </c>
      <c r="GM6" s="56" t="s">
        <v>173</v>
      </c>
      <c r="GN6" s="56" t="s">
        <v>173</v>
      </c>
      <c r="GO6" s="56" t="s">
        <v>173</v>
      </c>
      <c r="GP6" s="56" t="s">
        <v>173</v>
      </c>
      <c r="GQ6" s="56" t="s">
        <v>173</v>
      </c>
      <c r="GR6" s="56" t="s">
        <v>173</v>
      </c>
      <c r="GS6" s="56" t="s">
        <v>173</v>
      </c>
      <c r="GT6" s="56" t="s">
        <v>173</v>
      </c>
      <c r="GU6" s="56" t="s">
        <v>173</v>
      </c>
      <c r="GV6" s="56" t="s">
        <v>173</v>
      </c>
      <c r="GW6" s="56" t="s">
        <v>173</v>
      </c>
      <c r="GX6" s="56" t="s">
        <v>173</v>
      </c>
      <c r="GY6" s="56" t="s">
        <v>173</v>
      </c>
      <c r="GZ6" s="56" t="s">
        <v>173</v>
      </c>
      <c r="HA6" s="56" t="s">
        <v>173</v>
      </c>
      <c r="HB6" s="56" t="s">
        <v>173</v>
      </c>
      <c r="HC6" s="56" t="s">
        <v>173</v>
      </c>
      <c r="HD6" s="56" t="s">
        <v>173</v>
      </c>
      <c r="HE6" s="56" t="s">
        <v>173</v>
      </c>
      <c r="HF6" s="56" t="s">
        <v>173</v>
      </c>
      <c r="HG6" s="56" t="s">
        <v>173</v>
      </c>
      <c r="HH6" s="56" t="s">
        <v>173</v>
      </c>
      <c r="HI6" s="56" t="s">
        <v>173</v>
      </c>
      <c r="HJ6" s="56" t="s">
        <v>173</v>
      </c>
      <c r="HK6" s="56" t="s">
        <v>173</v>
      </c>
      <c r="HL6" s="56" t="s">
        <v>173</v>
      </c>
      <c r="HM6" s="56" t="s">
        <v>173</v>
      </c>
      <c r="HN6" s="56" t="s">
        <v>173</v>
      </c>
      <c r="HO6" s="56" t="s">
        <v>173</v>
      </c>
      <c r="HP6" s="56" t="s">
        <v>173</v>
      </c>
      <c r="HQ6" s="56" t="s">
        <v>173</v>
      </c>
      <c r="HR6" s="56" t="s">
        <v>173</v>
      </c>
      <c r="HS6" s="56" t="s">
        <v>173</v>
      </c>
      <c r="HT6" s="56" t="s">
        <v>173</v>
      </c>
      <c r="HU6" s="56" t="s">
        <v>173</v>
      </c>
      <c r="HV6" s="56" t="s">
        <v>173</v>
      </c>
      <c r="HW6" s="56" t="s">
        <v>173</v>
      </c>
      <c r="HX6" s="56" t="s">
        <v>173</v>
      </c>
      <c r="HY6" s="56" t="s">
        <v>173</v>
      </c>
      <c r="HZ6" s="56" t="s">
        <v>173</v>
      </c>
      <c r="IA6" s="56" t="s">
        <v>173</v>
      </c>
      <c r="IB6" s="56" t="s">
        <v>173</v>
      </c>
      <c r="IC6" s="56" t="s">
        <v>173</v>
      </c>
      <c r="ID6" s="56" t="s">
        <v>173</v>
      </c>
      <c r="IE6" s="56" t="s">
        <v>173</v>
      </c>
      <c r="IF6" s="56" t="s">
        <v>173</v>
      </c>
      <c r="IG6" s="56" t="s">
        <v>173</v>
      </c>
      <c r="IH6" s="56" t="s">
        <v>173</v>
      </c>
      <c r="II6" s="56" t="s">
        <v>173</v>
      </c>
      <c r="IJ6" s="56" t="s">
        <v>173</v>
      </c>
      <c r="IK6" s="56" t="s">
        <v>173</v>
      </c>
      <c r="IL6" s="56" t="s">
        <v>173</v>
      </c>
      <c r="IM6" s="56" t="s">
        <v>173</v>
      </c>
      <c r="IN6" s="56" t="s">
        <v>173</v>
      </c>
      <c r="IO6" s="56" t="s">
        <v>173</v>
      </c>
      <c r="IP6" s="56" t="s">
        <v>173</v>
      </c>
      <c r="IQ6" s="56" t="s">
        <v>173</v>
      </c>
      <c r="IR6" s="56" t="s">
        <v>173</v>
      </c>
      <c r="IS6" s="56" t="s">
        <v>173</v>
      </c>
      <c r="IT6" s="56" t="s">
        <v>173</v>
      </c>
      <c r="IU6" s="56" t="s">
        <v>173</v>
      </c>
      <c r="IV6" s="56" t="s">
        <v>173</v>
      </c>
      <c r="IW6" s="56" t="s">
        <v>173</v>
      </c>
      <c r="IX6" s="56" t="s">
        <v>173</v>
      </c>
      <c r="IY6" s="56" t="s">
        <v>173</v>
      </c>
      <c r="IZ6" s="56" t="s">
        <v>173</v>
      </c>
      <c r="JA6" s="56" t="s">
        <v>173</v>
      </c>
      <c r="JB6" s="56" t="s">
        <v>173</v>
      </c>
      <c r="JC6" s="56" t="s">
        <v>173</v>
      </c>
      <c r="JD6" s="56" t="s">
        <v>173</v>
      </c>
      <c r="JE6" s="56" t="s">
        <v>173</v>
      </c>
      <c r="JF6" s="56" t="s">
        <v>173</v>
      </c>
      <c r="JG6" s="56" t="s">
        <v>173</v>
      </c>
      <c r="JH6" s="56" t="s">
        <v>173</v>
      </c>
      <c r="JI6" s="56" t="s">
        <v>173</v>
      </c>
      <c r="JJ6" s="56" t="s">
        <v>173</v>
      </c>
      <c r="JK6" s="56" t="s">
        <v>173</v>
      </c>
      <c r="JL6" s="56" t="s">
        <v>173</v>
      </c>
      <c r="JM6" s="56" t="s">
        <v>173</v>
      </c>
      <c r="JN6" s="56" t="s">
        <v>173</v>
      </c>
      <c r="JO6" s="56" t="s">
        <v>173</v>
      </c>
      <c r="JP6" s="56" t="s">
        <v>173</v>
      </c>
      <c r="JQ6" s="56" t="s">
        <v>173</v>
      </c>
      <c r="JR6" s="56" t="s">
        <v>173</v>
      </c>
      <c r="JS6" s="56" t="s">
        <v>173</v>
      </c>
      <c r="JT6" s="56" t="s">
        <v>173</v>
      </c>
      <c r="JU6" s="56" t="s">
        <v>173</v>
      </c>
      <c r="JV6" s="56" t="s">
        <v>173</v>
      </c>
      <c r="JW6" s="56" t="s">
        <v>173</v>
      </c>
      <c r="JX6" s="56" t="s">
        <v>173</v>
      </c>
      <c r="JY6" s="56" t="s">
        <v>173</v>
      </c>
      <c r="JZ6" s="56" t="s">
        <v>173</v>
      </c>
      <c r="KA6" s="56" t="s">
        <v>173</v>
      </c>
      <c r="KB6" s="56" t="s">
        <v>173</v>
      </c>
      <c r="KC6" s="56" t="s">
        <v>173</v>
      </c>
      <c r="KD6" s="56" t="s">
        <v>173</v>
      </c>
      <c r="KE6" s="56" t="s">
        <v>173</v>
      </c>
      <c r="KF6" s="56" t="s">
        <v>173</v>
      </c>
      <c r="KG6" s="56" t="s">
        <v>173</v>
      </c>
      <c r="KH6" s="56" t="s">
        <v>173</v>
      </c>
      <c r="KI6" s="56" t="s">
        <v>173</v>
      </c>
      <c r="KJ6" s="56" t="s">
        <v>173</v>
      </c>
      <c r="KK6" s="56" t="s">
        <v>173</v>
      </c>
      <c r="KL6" s="56" t="s">
        <v>173</v>
      </c>
      <c r="KM6" s="56" t="s">
        <v>173</v>
      </c>
      <c r="KN6" s="56" t="s">
        <v>173</v>
      </c>
      <c r="KO6" s="56" t="s">
        <v>173</v>
      </c>
      <c r="KP6" s="56" t="s">
        <v>173</v>
      </c>
      <c r="KQ6" s="56" t="s">
        <v>173</v>
      </c>
      <c r="KR6" s="56" t="s">
        <v>173</v>
      </c>
      <c r="KS6" s="56" t="s">
        <v>173</v>
      </c>
      <c r="KT6" s="56" t="s">
        <v>173</v>
      </c>
      <c r="KU6" s="56" t="s">
        <v>173</v>
      </c>
      <c r="KV6" s="56" t="s">
        <v>173</v>
      </c>
      <c r="KW6" s="56" t="s">
        <v>173</v>
      </c>
      <c r="KX6" s="56" t="s">
        <v>173</v>
      </c>
      <c r="KY6" s="56" t="s">
        <v>173</v>
      </c>
      <c r="KZ6" s="56" t="s">
        <v>173</v>
      </c>
      <c r="LA6" s="56" t="s">
        <v>173</v>
      </c>
      <c r="LB6" s="56" t="s">
        <v>173</v>
      </c>
      <c r="LC6" s="56" t="s">
        <v>173</v>
      </c>
      <c r="LD6" s="56" t="s">
        <v>173</v>
      </c>
      <c r="LE6" s="56" t="s">
        <v>173</v>
      </c>
      <c r="LF6" s="56" t="s">
        <v>173</v>
      </c>
      <c r="LG6" s="56" t="s">
        <v>173</v>
      </c>
      <c r="LH6" s="56" t="s">
        <v>173</v>
      </c>
      <c r="LI6" s="56" t="s">
        <v>173</v>
      </c>
      <c r="LJ6" s="56" t="s">
        <v>173</v>
      </c>
      <c r="LK6" s="56" t="s">
        <v>173</v>
      </c>
      <c r="LL6" s="56" t="s">
        <v>173</v>
      </c>
      <c r="LM6" s="56" t="s">
        <v>173</v>
      </c>
      <c r="LN6" s="56" t="s">
        <v>173</v>
      </c>
      <c r="LO6" s="56" t="s">
        <v>173</v>
      </c>
      <c r="LP6" s="56" t="s">
        <v>173</v>
      </c>
      <c r="LQ6" s="136">
        <v>4620</v>
      </c>
      <c r="LR6" s="136">
        <v>5100</v>
      </c>
      <c r="LS6" s="136">
        <v>4460</v>
      </c>
      <c r="LT6" s="136">
        <v>6400</v>
      </c>
      <c r="LU6" s="136">
        <v>4540</v>
      </c>
      <c r="LV6" s="136">
        <v>3700</v>
      </c>
      <c r="LW6" s="136">
        <v>3900</v>
      </c>
      <c r="LX6" s="136">
        <v>3350</v>
      </c>
      <c r="LY6" s="136">
        <v>3450</v>
      </c>
      <c r="LZ6" s="136">
        <v>3400</v>
      </c>
      <c r="MA6" s="136">
        <v>3000</v>
      </c>
      <c r="MB6" s="136">
        <v>2430</v>
      </c>
      <c r="MC6" s="137">
        <v>1580</v>
      </c>
      <c r="MD6" s="137">
        <v>1300</v>
      </c>
      <c r="ME6" s="136">
        <v>1300</v>
      </c>
      <c r="MF6" s="137">
        <v>1800</v>
      </c>
      <c r="MG6" s="137">
        <v>1785</v>
      </c>
      <c r="MH6" s="137">
        <v>2170</v>
      </c>
      <c r="MI6" s="137">
        <v>2950</v>
      </c>
      <c r="MJ6" s="137">
        <v>2710</v>
      </c>
      <c r="MK6" s="137">
        <v>1782</v>
      </c>
      <c r="ML6" s="137">
        <v>2840</v>
      </c>
      <c r="MM6" s="137">
        <v>2830</v>
      </c>
      <c r="MN6" s="137">
        <v>1840</v>
      </c>
      <c r="MO6" s="137">
        <v>2415</v>
      </c>
      <c r="MP6" s="137">
        <v>3265</v>
      </c>
      <c r="MQ6" s="1">
        <v>3960</v>
      </c>
      <c r="MR6" s="137">
        <v>5600</v>
      </c>
      <c r="MS6" s="1">
        <v>4290</v>
      </c>
      <c r="MT6" s="137">
        <v>4100</v>
      </c>
      <c r="MU6" s="138">
        <v>7600</v>
      </c>
      <c r="MV6" s="139">
        <f t="shared" si="4"/>
        <v>104467</v>
      </c>
      <c r="MW6" s="121"/>
    </row>
    <row r="7" spans="1:361" s="58" customFormat="1" ht="18.75">
      <c r="A7" s="126" t="s">
        <v>174</v>
      </c>
      <c r="B7" s="46">
        <v>0</v>
      </c>
      <c r="C7" s="20">
        <v>0</v>
      </c>
      <c r="D7" s="20">
        <v>0</v>
      </c>
      <c r="E7" s="20">
        <v>0</v>
      </c>
      <c r="F7" s="20">
        <v>200</v>
      </c>
      <c r="G7" s="47">
        <v>0</v>
      </c>
      <c r="H7" s="48"/>
      <c r="I7" s="46"/>
      <c r="J7" s="20"/>
      <c r="K7" s="20"/>
      <c r="L7" s="20"/>
      <c r="M7" s="20">
        <v>526</v>
      </c>
      <c r="N7" s="47"/>
      <c r="O7" s="49">
        <f t="shared" si="0"/>
        <v>526</v>
      </c>
      <c r="P7" s="46"/>
      <c r="Q7" s="20"/>
      <c r="R7" s="20"/>
      <c r="S7" s="20"/>
      <c r="T7" s="20">
        <v>520</v>
      </c>
      <c r="U7" s="47"/>
      <c r="V7" s="49">
        <f t="shared" si="1"/>
        <v>520</v>
      </c>
      <c r="W7" s="46"/>
      <c r="X7" s="20"/>
      <c r="Y7" s="20"/>
      <c r="Z7" s="20"/>
      <c r="AA7" s="20">
        <v>450</v>
      </c>
      <c r="AB7" s="47"/>
      <c r="AC7" s="49"/>
      <c r="AD7" s="46"/>
      <c r="AE7" s="20"/>
      <c r="AF7" s="20"/>
      <c r="AG7" s="20"/>
      <c r="AH7" s="20">
        <v>323</v>
      </c>
      <c r="AI7" s="47"/>
      <c r="AJ7" s="49"/>
      <c r="AK7" s="46"/>
      <c r="AL7" s="20"/>
      <c r="AM7" s="20"/>
      <c r="AN7" s="20"/>
      <c r="AO7" s="20">
        <v>437</v>
      </c>
      <c r="AP7" s="47"/>
      <c r="AQ7" s="49"/>
      <c r="AR7" s="20"/>
      <c r="AS7" s="20"/>
      <c r="AT7" s="20"/>
      <c r="AU7" s="20"/>
      <c r="AV7" s="20"/>
      <c r="AW7" s="20">
        <v>300</v>
      </c>
      <c r="AX7" s="20"/>
      <c r="AY7" s="49"/>
      <c r="AZ7" s="20">
        <v>315</v>
      </c>
      <c r="BA7" s="20"/>
      <c r="BB7" s="20"/>
      <c r="BC7" s="20"/>
      <c r="BD7" s="20"/>
      <c r="BE7" s="20">
        <v>300</v>
      </c>
      <c r="BF7" s="20"/>
      <c r="BG7" s="49"/>
      <c r="BH7" s="51">
        <v>250</v>
      </c>
      <c r="BI7" s="52"/>
      <c r="BJ7" s="20"/>
      <c r="BK7" s="20"/>
      <c r="BL7" s="20"/>
      <c r="BM7" s="20">
        <v>150</v>
      </c>
      <c r="BN7" s="20"/>
      <c r="BO7" s="49">
        <v>150</v>
      </c>
      <c r="BP7" s="51">
        <v>180</v>
      </c>
      <c r="BQ7" s="46">
        <v>0</v>
      </c>
      <c r="BR7" s="20">
        <v>0</v>
      </c>
      <c r="BS7" s="20">
        <v>0</v>
      </c>
      <c r="BT7" s="20">
        <v>0</v>
      </c>
      <c r="BU7" s="20">
        <v>200</v>
      </c>
      <c r="BV7" s="47">
        <v>0</v>
      </c>
      <c r="BW7" s="48"/>
      <c r="BX7" s="46"/>
      <c r="BY7" s="20"/>
      <c r="BZ7" s="20"/>
      <c r="CA7" s="20"/>
      <c r="CB7" s="20">
        <v>526</v>
      </c>
      <c r="CC7" s="47"/>
      <c r="CD7" s="49">
        <f t="shared" si="2"/>
        <v>526</v>
      </c>
      <c r="CE7" s="46"/>
      <c r="CF7" s="20"/>
      <c r="CG7" s="20"/>
      <c r="CH7" s="20"/>
      <c r="CI7" s="20">
        <v>520</v>
      </c>
      <c r="CJ7" s="47"/>
      <c r="CK7" s="49">
        <f t="shared" si="3"/>
        <v>520</v>
      </c>
      <c r="CL7" s="46"/>
      <c r="CM7" s="20"/>
      <c r="CN7" s="20"/>
      <c r="CO7" s="20"/>
      <c r="CP7" s="20">
        <v>450</v>
      </c>
      <c r="CQ7" s="47"/>
      <c r="CR7" s="49"/>
      <c r="CS7" s="46"/>
      <c r="CT7" s="20"/>
      <c r="CU7" s="20"/>
      <c r="CV7" s="20"/>
      <c r="CW7" s="20">
        <v>323</v>
      </c>
      <c r="CX7" s="47"/>
      <c r="CY7" s="49"/>
      <c r="CZ7" s="46"/>
      <c r="DA7" s="20"/>
      <c r="DB7" s="20"/>
      <c r="DC7" s="20"/>
      <c r="DD7" s="20">
        <v>437</v>
      </c>
      <c r="DE7" s="47"/>
      <c r="DF7" s="49"/>
      <c r="DG7" s="20"/>
      <c r="DH7" s="20"/>
      <c r="DI7" s="20"/>
      <c r="DJ7" s="20"/>
      <c r="DK7" s="20"/>
      <c r="DL7" s="20">
        <v>300</v>
      </c>
      <c r="DM7" s="20"/>
      <c r="DN7" s="49"/>
      <c r="DO7" s="20">
        <v>315</v>
      </c>
      <c r="DP7" s="20"/>
      <c r="DQ7" s="20"/>
      <c r="DR7" s="20"/>
      <c r="DS7" s="20"/>
      <c r="DT7" s="20">
        <v>300</v>
      </c>
      <c r="DU7" s="20"/>
      <c r="DV7" s="49"/>
      <c r="DW7" s="52"/>
      <c r="DX7" s="20"/>
      <c r="DY7" s="20"/>
      <c r="DZ7" s="20"/>
      <c r="EA7" s="20">
        <v>200</v>
      </c>
      <c r="EB7" s="20"/>
      <c r="EC7" s="70">
        <v>200</v>
      </c>
      <c r="ED7" s="51">
        <v>180</v>
      </c>
      <c r="EE7" s="52"/>
      <c r="EF7" s="20"/>
      <c r="EG7" s="20"/>
      <c r="EH7" s="20"/>
      <c r="EI7" s="20">
        <v>130</v>
      </c>
      <c r="EJ7" s="20"/>
      <c r="EK7" s="70"/>
      <c r="EL7" s="51"/>
      <c r="EM7" s="52"/>
      <c r="EN7" s="20"/>
      <c r="EO7" s="20"/>
      <c r="EP7" s="20"/>
      <c r="EQ7" s="20">
        <v>300</v>
      </c>
      <c r="ER7" s="20"/>
      <c r="ES7" s="70">
        <v>300</v>
      </c>
      <c r="ET7" s="57">
        <v>200</v>
      </c>
      <c r="EU7" s="52"/>
      <c r="EV7" s="20"/>
      <c r="EW7" s="20"/>
      <c r="EX7" s="20"/>
      <c r="EY7" s="20">
        <v>200</v>
      </c>
      <c r="EZ7" s="20"/>
      <c r="FA7" s="70">
        <v>200</v>
      </c>
      <c r="FB7" s="57">
        <v>450</v>
      </c>
      <c r="FC7" s="52"/>
      <c r="FD7" s="20"/>
      <c r="FE7" s="20"/>
      <c r="FF7" s="20"/>
      <c r="FG7" s="20">
        <v>224</v>
      </c>
      <c r="FH7" s="20"/>
      <c r="FI7" s="70">
        <v>224</v>
      </c>
      <c r="FJ7" s="57">
        <v>200</v>
      </c>
      <c r="FK7" s="52"/>
      <c r="FL7" s="20"/>
      <c r="FM7" s="20"/>
      <c r="FN7" s="20"/>
      <c r="FO7" s="20">
        <v>200</v>
      </c>
      <c r="FP7" s="20"/>
      <c r="FQ7" s="70">
        <v>200</v>
      </c>
      <c r="FR7" s="57">
        <v>200</v>
      </c>
      <c r="FS7" s="52"/>
      <c r="FT7" s="20"/>
      <c r="FU7" s="20"/>
      <c r="FV7" s="20"/>
      <c r="FW7" s="20">
        <v>281</v>
      </c>
      <c r="FX7" s="20"/>
      <c r="FY7" s="70">
        <v>281</v>
      </c>
      <c r="FZ7" s="57">
        <v>250</v>
      </c>
      <c r="GA7" s="20"/>
      <c r="GB7" s="20"/>
      <c r="GC7" s="20"/>
      <c r="GD7" s="20"/>
      <c r="GE7" s="20">
        <v>605</v>
      </c>
      <c r="GF7" s="20"/>
      <c r="GG7" s="20">
        <v>605</v>
      </c>
      <c r="GH7" s="20">
        <v>500</v>
      </c>
      <c r="GI7" s="20"/>
      <c r="GJ7" s="20"/>
      <c r="GK7" s="20"/>
      <c r="GL7" s="20"/>
      <c r="GM7" s="20">
        <v>450</v>
      </c>
      <c r="GN7" s="20"/>
      <c r="GO7" s="20">
        <v>450</v>
      </c>
      <c r="GP7" s="20">
        <v>300</v>
      </c>
      <c r="GQ7" s="20"/>
      <c r="GR7" s="20"/>
      <c r="GS7" s="20"/>
      <c r="GT7" s="20"/>
      <c r="GU7" s="20">
        <v>650</v>
      </c>
      <c r="GV7" s="56"/>
      <c r="GW7" s="57">
        <v>650</v>
      </c>
      <c r="GX7" s="57">
        <v>400</v>
      </c>
      <c r="GY7" s="20"/>
      <c r="GZ7" s="20"/>
      <c r="HA7" s="20"/>
      <c r="HB7" s="20"/>
      <c r="HC7" s="20">
        <v>650</v>
      </c>
      <c r="HD7" s="56"/>
      <c r="HE7" s="57">
        <v>650</v>
      </c>
      <c r="HF7" s="57">
        <v>600</v>
      </c>
      <c r="HG7" s="20"/>
      <c r="HH7" s="20"/>
      <c r="HI7" s="20"/>
      <c r="HJ7" s="20"/>
      <c r="HK7" s="20">
        <v>420</v>
      </c>
      <c r="HL7" s="20"/>
      <c r="HM7" s="20">
        <v>420</v>
      </c>
      <c r="HN7" s="20">
        <v>550</v>
      </c>
      <c r="HO7" s="20"/>
      <c r="HP7" s="20"/>
      <c r="HQ7" s="20"/>
      <c r="HR7" s="20"/>
      <c r="HS7" s="20">
        <v>476</v>
      </c>
      <c r="HT7" s="20"/>
      <c r="HU7" s="20">
        <v>476</v>
      </c>
      <c r="HV7" s="20">
        <v>400</v>
      </c>
      <c r="HW7" s="20"/>
      <c r="HX7" s="20"/>
      <c r="HY7" s="20"/>
      <c r="HZ7" s="20"/>
      <c r="IA7" s="20">
        <v>770</v>
      </c>
      <c r="IB7" s="20"/>
      <c r="IC7" s="20">
        <v>770</v>
      </c>
      <c r="ID7" s="20">
        <v>800</v>
      </c>
      <c r="IE7" s="20"/>
      <c r="IF7" s="20"/>
      <c r="IG7" s="20"/>
      <c r="IH7" s="20"/>
      <c r="II7" s="20">
        <v>1150</v>
      </c>
      <c r="IJ7" s="20"/>
      <c r="IK7" s="20">
        <v>1150</v>
      </c>
      <c r="IL7" s="20">
        <v>700</v>
      </c>
      <c r="IM7" s="20"/>
      <c r="IN7" s="20"/>
      <c r="IO7" s="20"/>
      <c r="IP7" s="20"/>
      <c r="IQ7" s="20">
        <v>1598</v>
      </c>
      <c r="IR7" s="20"/>
      <c r="IS7" s="69">
        <v>1598</v>
      </c>
      <c r="IT7" s="20">
        <v>750</v>
      </c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>
        <v>1150</v>
      </c>
      <c r="KD7" s="20"/>
      <c r="KE7" s="69">
        <v>1150</v>
      </c>
      <c r="KF7" s="20">
        <v>1100</v>
      </c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>
        <v>1040</v>
      </c>
      <c r="LP7" s="20">
        <v>1100</v>
      </c>
      <c r="LQ7" s="136">
        <v>1100</v>
      </c>
      <c r="LR7" s="136">
        <v>1066</v>
      </c>
      <c r="LS7" s="136">
        <v>1100</v>
      </c>
      <c r="LT7" s="136">
        <v>0</v>
      </c>
      <c r="LU7" s="136">
        <v>1050</v>
      </c>
      <c r="LV7" s="136">
        <v>770</v>
      </c>
      <c r="LW7" s="136">
        <v>800</v>
      </c>
      <c r="LX7" s="136">
        <v>768</v>
      </c>
      <c r="LY7" s="136">
        <v>1310</v>
      </c>
      <c r="LZ7" s="136">
        <v>1425</v>
      </c>
      <c r="MA7" s="136">
        <v>1600</v>
      </c>
      <c r="MB7" s="136">
        <v>1050</v>
      </c>
      <c r="MC7" s="137">
        <v>700</v>
      </c>
      <c r="MD7" s="137">
        <v>678</v>
      </c>
      <c r="ME7" s="136">
        <v>654</v>
      </c>
      <c r="MF7" s="137">
        <v>720</v>
      </c>
      <c r="MG7" s="137">
        <v>900</v>
      </c>
      <c r="MH7" s="137">
        <v>934</v>
      </c>
      <c r="MI7" s="137">
        <v>784</v>
      </c>
      <c r="MJ7" s="137">
        <v>1172</v>
      </c>
      <c r="MK7" s="137">
        <v>750</v>
      </c>
      <c r="ML7" s="137">
        <v>900</v>
      </c>
      <c r="MM7" s="137">
        <v>1030</v>
      </c>
      <c r="MN7" s="137">
        <v>500</v>
      </c>
      <c r="MO7" s="137">
        <v>1000</v>
      </c>
      <c r="MP7" s="137">
        <v>1250</v>
      </c>
      <c r="MQ7" s="1">
        <v>1570</v>
      </c>
      <c r="MR7" s="137">
        <v>1000</v>
      </c>
      <c r="MS7" s="1">
        <v>1250</v>
      </c>
      <c r="MT7" s="137">
        <v>900</v>
      </c>
      <c r="MU7" s="138">
        <v>800</v>
      </c>
      <c r="MV7" s="139">
        <f t="shared" si="4"/>
        <v>29531</v>
      </c>
      <c r="MW7" s="121"/>
    </row>
    <row r="8" spans="1:361" s="58" customFormat="1" ht="18.75">
      <c r="A8" s="126" t="s">
        <v>175</v>
      </c>
      <c r="B8" s="46">
        <v>0</v>
      </c>
      <c r="C8" s="20">
        <v>0</v>
      </c>
      <c r="D8" s="20">
        <v>0</v>
      </c>
      <c r="E8" s="20">
        <v>0</v>
      </c>
      <c r="F8" s="20">
        <v>0</v>
      </c>
      <c r="G8" s="47">
        <v>0</v>
      </c>
      <c r="H8" s="48"/>
      <c r="I8" s="46"/>
      <c r="J8" s="20"/>
      <c r="K8" s="20"/>
      <c r="L8" s="20"/>
      <c r="M8" s="20"/>
      <c r="N8" s="47"/>
      <c r="O8" s="49">
        <f t="shared" si="0"/>
        <v>0</v>
      </c>
      <c r="P8" s="46"/>
      <c r="Q8" s="20"/>
      <c r="R8" s="20"/>
      <c r="S8" s="20"/>
      <c r="T8" s="20"/>
      <c r="U8" s="47"/>
      <c r="V8" s="49">
        <f t="shared" si="1"/>
        <v>0</v>
      </c>
      <c r="W8" s="46"/>
      <c r="X8" s="20"/>
      <c r="Y8" s="20"/>
      <c r="Z8" s="20"/>
      <c r="AA8" s="20"/>
      <c r="AB8" s="47"/>
      <c r="AC8" s="49"/>
      <c r="AD8" s="46"/>
      <c r="AE8" s="20"/>
      <c r="AF8" s="20"/>
      <c r="AG8" s="20">
        <v>158</v>
      </c>
      <c r="AH8" s="20"/>
      <c r="AI8" s="47"/>
      <c r="AJ8" s="49"/>
      <c r="AK8" s="46"/>
      <c r="AL8" s="20"/>
      <c r="AM8" s="20">
        <v>40</v>
      </c>
      <c r="AN8" s="20"/>
      <c r="AO8" s="20"/>
      <c r="AP8" s="47"/>
      <c r="AQ8" s="49"/>
      <c r="AR8" s="20"/>
      <c r="AS8" s="20"/>
      <c r="AT8" s="20"/>
      <c r="AU8" s="20">
        <v>70</v>
      </c>
      <c r="AV8" s="20"/>
      <c r="AW8" s="20"/>
      <c r="AX8" s="20"/>
      <c r="AY8" s="49"/>
      <c r="AZ8" s="20">
        <v>100</v>
      </c>
      <c r="BA8" s="20"/>
      <c r="BB8" s="20"/>
      <c r="BC8" s="20">
        <v>100</v>
      </c>
      <c r="BD8" s="20"/>
      <c r="BE8" s="20"/>
      <c r="BF8" s="20"/>
      <c r="BG8" s="49"/>
      <c r="BH8" s="51">
        <v>140</v>
      </c>
      <c r="BI8" s="52"/>
      <c r="BJ8" s="20"/>
      <c r="BK8" s="20"/>
      <c r="BL8" s="20"/>
      <c r="BM8" s="20"/>
      <c r="BN8" s="20"/>
      <c r="BO8" s="49">
        <v>0</v>
      </c>
      <c r="BP8" s="51"/>
      <c r="BQ8" s="46">
        <v>0</v>
      </c>
      <c r="BR8" s="20">
        <v>0</v>
      </c>
      <c r="BS8" s="20">
        <v>0</v>
      </c>
      <c r="BT8" s="20">
        <v>0</v>
      </c>
      <c r="BU8" s="20">
        <v>0</v>
      </c>
      <c r="BV8" s="47">
        <v>0</v>
      </c>
      <c r="BW8" s="48"/>
      <c r="BX8" s="46"/>
      <c r="BY8" s="20"/>
      <c r="BZ8" s="20"/>
      <c r="CA8" s="20"/>
      <c r="CB8" s="20"/>
      <c r="CC8" s="47"/>
      <c r="CD8" s="49">
        <f t="shared" si="2"/>
        <v>0</v>
      </c>
      <c r="CE8" s="46"/>
      <c r="CF8" s="20"/>
      <c r="CG8" s="20"/>
      <c r="CH8" s="20"/>
      <c r="CI8" s="20"/>
      <c r="CJ8" s="47"/>
      <c r="CK8" s="49">
        <f t="shared" si="3"/>
        <v>0</v>
      </c>
      <c r="CL8" s="46"/>
      <c r="CM8" s="20"/>
      <c r="CN8" s="20"/>
      <c r="CO8" s="20"/>
      <c r="CP8" s="20"/>
      <c r="CQ8" s="47"/>
      <c r="CR8" s="49"/>
      <c r="CS8" s="46"/>
      <c r="CT8" s="20"/>
      <c r="CU8" s="20"/>
      <c r="CV8" s="20">
        <v>158</v>
      </c>
      <c r="CW8" s="20"/>
      <c r="CX8" s="47"/>
      <c r="CY8" s="49"/>
      <c r="CZ8" s="46"/>
      <c r="DA8" s="20"/>
      <c r="DB8" s="20">
        <v>40</v>
      </c>
      <c r="DC8" s="20"/>
      <c r="DD8" s="20"/>
      <c r="DE8" s="47"/>
      <c r="DF8" s="49"/>
      <c r="DG8" s="20"/>
      <c r="DH8" s="20"/>
      <c r="DI8" s="20"/>
      <c r="DJ8" s="20">
        <v>70</v>
      </c>
      <c r="DK8" s="20"/>
      <c r="DL8" s="20"/>
      <c r="DM8" s="20"/>
      <c r="DN8" s="49"/>
      <c r="DO8" s="20">
        <v>100</v>
      </c>
      <c r="DP8" s="20"/>
      <c r="DQ8" s="20"/>
      <c r="DR8" s="20">
        <v>100</v>
      </c>
      <c r="DS8" s="20"/>
      <c r="DT8" s="20"/>
      <c r="DU8" s="20"/>
      <c r="DV8" s="49"/>
      <c r="DW8" s="52"/>
      <c r="DX8" s="20"/>
      <c r="DY8" s="20">
        <v>18</v>
      </c>
      <c r="DZ8" s="20"/>
      <c r="EA8" s="20"/>
      <c r="EB8" s="20"/>
      <c r="EC8" s="70">
        <v>18</v>
      </c>
      <c r="ED8" s="51">
        <v>25</v>
      </c>
      <c r="EE8" s="52"/>
      <c r="EF8" s="20"/>
      <c r="EG8" s="20"/>
      <c r="EH8" s="20"/>
      <c r="EI8" s="20"/>
      <c r="EJ8" s="20"/>
      <c r="EK8" s="70"/>
      <c r="EL8" s="51"/>
      <c r="EM8" s="52"/>
      <c r="EN8" s="20"/>
      <c r="EO8" s="20"/>
      <c r="EP8" s="20"/>
      <c r="EQ8" s="20"/>
      <c r="ER8" s="20"/>
      <c r="ES8" s="70"/>
      <c r="ET8" s="57"/>
      <c r="EU8" s="52"/>
      <c r="EV8" s="20"/>
      <c r="EW8" s="20"/>
      <c r="EX8" s="20"/>
      <c r="EY8" s="20"/>
      <c r="EZ8" s="20"/>
      <c r="FA8" s="70"/>
      <c r="FB8" s="57"/>
      <c r="FC8" s="52"/>
      <c r="FD8" s="20"/>
      <c r="FE8" s="20">
        <v>83</v>
      </c>
      <c r="FF8" s="20"/>
      <c r="FG8" s="20"/>
      <c r="FH8" s="20"/>
      <c r="FI8" s="70">
        <v>83</v>
      </c>
      <c r="FJ8" s="57">
        <v>150</v>
      </c>
      <c r="FK8" s="52"/>
      <c r="FL8" s="20"/>
      <c r="FM8" s="20">
        <v>63</v>
      </c>
      <c r="FN8" s="20"/>
      <c r="FO8" s="20"/>
      <c r="FP8" s="20"/>
      <c r="FQ8" s="70">
        <v>63</v>
      </c>
      <c r="FR8" s="57">
        <v>120</v>
      </c>
      <c r="FS8" s="52"/>
      <c r="FT8" s="20"/>
      <c r="FU8" s="20">
        <v>65</v>
      </c>
      <c r="FV8" s="20"/>
      <c r="FW8" s="20"/>
      <c r="FX8" s="20"/>
      <c r="FY8" s="70">
        <v>65</v>
      </c>
      <c r="FZ8" s="57">
        <v>100</v>
      </c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69"/>
      <c r="GR8" s="20"/>
      <c r="GS8" s="20"/>
      <c r="GT8" s="20"/>
      <c r="GU8" s="20"/>
      <c r="GV8" s="56"/>
      <c r="GW8" s="57"/>
      <c r="GX8" s="57"/>
      <c r="GY8" s="69"/>
      <c r="GZ8" s="20"/>
      <c r="HA8" s="20"/>
      <c r="HB8" s="20"/>
      <c r="HC8" s="20"/>
      <c r="HD8" s="56"/>
      <c r="HE8" s="57"/>
      <c r="HF8" s="57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>
        <v>20</v>
      </c>
      <c r="HR8" s="20"/>
      <c r="HS8" s="20"/>
      <c r="HT8" s="20"/>
      <c r="HU8" s="20">
        <v>20</v>
      </c>
      <c r="HV8" s="20">
        <v>30</v>
      </c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69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69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>
        <v>46</v>
      </c>
      <c r="LN8" s="20"/>
      <c r="LO8" s="20"/>
      <c r="LP8" s="20"/>
      <c r="LQ8" s="136">
        <v>230</v>
      </c>
      <c r="LR8" s="136">
        <v>0</v>
      </c>
      <c r="LS8" s="136">
        <v>225</v>
      </c>
      <c r="LT8" s="136">
        <v>104</v>
      </c>
      <c r="LU8" s="136">
        <v>500</v>
      </c>
      <c r="LV8" s="136">
        <v>500</v>
      </c>
      <c r="LW8" s="136">
        <v>470</v>
      </c>
      <c r="LX8" s="136">
        <v>400</v>
      </c>
      <c r="LY8" s="136">
        <v>616</v>
      </c>
      <c r="LZ8" s="136">
        <v>350</v>
      </c>
      <c r="MA8" s="136"/>
      <c r="MB8" s="136">
        <v>310</v>
      </c>
      <c r="MC8" s="137">
        <v>50</v>
      </c>
      <c r="MD8" s="137">
        <v>60</v>
      </c>
      <c r="ME8" s="136">
        <v>66</v>
      </c>
      <c r="MF8" s="137">
        <v>100</v>
      </c>
      <c r="MG8" s="137">
        <v>100</v>
      </c>
      <c r="MH8" s="137">
        <v>900</v>
      </c>
      <c r="MI8" s="137">
        <v>700</v>
      </c>
      <c r="MJ8" s="137">
        <v>1050</v>
      </c>
      <c r="MK8" s="137">
        <v>400</v>
      </c>
      <c r="ML8" s="137">
        <v>780</v>
      </c>
      <c r="MM8" s="137">
        <v>400</v>
      </c>
      <c r="MN8" s="137">
        <v>610</v>
      </c>
      <c r="MO8" s="137">
        <v>350</v>
      </c>
      <c r="MP8" s="137">
        <v>870</v>
      </c>
      <c r="MQ8" s="1">
        <v>550</v>
      </c>
      <c r="MR8" s="137">
        <v>840</v>
      </c>
      <c r="MS8" s="1">
        <v>936</v>
      </c>
      <c r="MT8" s="137">
        <v>1500</v>
      </c>
      <c r="MU8" s="138">
        <v>1500</v>
      </c>
      <c r="MV8" s="139">
        <f t="shared" si="4"/>
        <v>15467</v>
      </c>
      <c r="MW8" s="121"/>
    </row>
    <row r="9" spans="1:361" s="58" customFormat="1" ht="18.75">
      <c r="A9" s="126" t="s">
        <v>176</v>
      </c>
      <c r="B9" s="46">
        <v>0</v>
      </c>
      <c r="C9" s="20">
        <v>545</v>
      </c>
      <c r="D9" s="20">
        <v>0</v>
      </c>
      <c r="E9" s="20">
        <v>0</v>
      </c>
      <c r="F9" s="20">
        <v>550</v>
      </c>
      <c r="G9" s="47">
        <v>0</v>
      </c>
      <c r="H9" s="48"/>
      <c r="I9" s="46"/>
      <c r="J9" s="20">
        <v>426</v>
      </c>
      <c r="K9" s="20"/>
      <c r="L9" s="20"/>
      <c r="M9" s="20">
        <v>550</v>
      </c>
      <c r="N9" s="47"/>
      <c r="O9" s="49">
        <f t="shared" si="0"/>
        <v>976</v>
      </c>
      <c r="P9" s="46"/>
      <c r="Q9" s="20">
        <v>550</v>
      </c>
      <c r="R9" s="20"/>
      <c r="S9" s="20"/>
      <c r="T9" s="20">
        <v>554</v>
      </c>
      <c r="U9" s="47"/>
      <c r="V9" s="49">
        <f t="shared" si="1"/>
        <v>1104</v>
      </c>
      <c r="W9" s="46"/>
      <c r="X9" s="20">
        <v>484</v>
      </c>
      <c r="Y9" s="20"/>
      <c r="Z9" s="20"/>
      <c r="AA9" s="20">
        <v>624</v>
      </c>
      <c r="AB9" s="47"/>
      <c r="AC9" s="49"/>
      <c r="AD9" s="46"/>
      <c r="AE9" s="20">
        <v>602</v>
      </c>
      <c r="AF9" s="20"/>
      <c r="AG9" s="20"/>
      <c r="AH9" s="20">
        <v>306</v>
      </c>
      <c r="AI9" s="47"/>
      <c r="AJ9" s="49"/>
      <c r="AK9" s="46"/>
      <c r="AL9" s="20">
        <v>870</v>
      </c>
      <c r="AM9" s="20"/>
      <c r="AN9" s="20"/>
      <c r="AO9" s="20">
        <v>750</v>
      </c>
      <c r="AP9" s="47"/>
      <c r="AQ9" s="49"/>
      <c r="AR9" s="20"/>
      <c r="AS9" s="20"/>
      <c r="AT9" s="20">
        <v>641</v>
      </c>
      <c r="AU9" s="20"/>
      <c r="AV9" s="20"/>
      <c r="AW9" s="20">
        <v>550</v>
      </c>
      <c r="AX9" s="20"/>
      <c r="AY9" s="49"/>
      <c r="AZ9" s="20">
        <f>250</f>
        <v>250</v>
      </c>
      <c r="BA9" s="20"/>
      <c r="BB9" s="20"/>
      <c r="BC9" s="20"/>
      <c r="BD9" s="20"/>
      <c r="BE9" s="20">
        <v>124</v>
      </c>
      <c r="BF9" s="20"/>
      <c r="BG9" s="49"/>
      <c r="BH9" s="51">
        <v>80</v>
      </c>
      <c r="BI9" s="52"/>
      <c r="BJ9" s="20">
        <v>250</v>
      </c>
      <c r="BK9" s="20"/>
      <c r="BL9" s="20"/>
      <c r="BM9" s="20">
        <v>145</v>
      </c>
      <c r="BN9" s="20"/>
      <c r="BO9" s="49">
        <v>395</v>
      </c>
      <c r="BP9" s="51">
        <v>350</v>
      </c>
      <c r="BQ9" s="46">
        <v>0</v>
      </c>
      <c r="BR9" s="20">
        <v>545</v>
      </c>
      <c r="BS9" s="20">
        <v>0</v>
      </c>
      <c r="BT9" s="20">
        <v>0</v>
      </c>
      <c r="BU9" s="20">
        <v>550</v>
      </c>
      <c r="BV9" s="47">
        <v>0</v>
      </c>
      <c r="BW9" s="48"/>
      <c r="BX9" s="46"/>
      <c r="BY9" s="20">
        <v>426</v>
      </c>
      <c r="BZ9" s="20"/>
      <c r="CA9" s="20"/>
      <c r="CB9" s="20">
        <v>550</v>
      </c>
      <c r="CC9" s="47"/>
      <c r="CD9" s="49">
        <f t="shared" si="2"/>
        <v>976</v>
      </c>
      <c r="CE9" s="46"/>
      <c r="CF9" s="20">
        <v>550</v>
      </c>
      <c r="CG9" s="20"/>
      <c r="CH9" s="20"/>
      <c r="CI9" s="20">
        <v>554</v>
      </c>
      <c r="CJ9" s="47"/>
      <c r="CK9" s="49">
        <f t="shared" si="3"/>
        <v>1104</v>
      </c>
      <c r="CL9" s="46"/>
      <c r="CM9" s="20">
        <v>484</v>
      </c>
      <c r="CN9" s="20"/>
      <c r="CO9" s="20"/>
      <c r="CP9" s="20">
        <v>624</v>
      </c>
      <c r="CQ9" s="47"/>
      <c r="CR9" s="49"/>
      <c r="CS9" s="46"/>
      <c r="CT9" s="20">
        <v>602</v>
      </c>
      <c r="CU9" s="20"/>
      <c r="CV9" s="20"/>
      <c r="CW9" s="20">
        <v>306</v>
      </c>
      <c r="CX9" s="47"/>
      <c r="CY9" s="49"/>
      <c r="CZ9" s="46"/>
      <c r="DA9" s="20">
        <v>870</v>
      </c>
      <c r="DB9" s="20"/>
      <c r="DC9" s="20"/>
      <c r="DD9" s="20">
        <v>750</v>
      </c>
      <c r="DE9" s="47"/>
      <c r="DF9" s="49"/>
      <c r="DG9" s="20"/>
      <c r="DH9" s="20"/>
      <c r="DI9" s="20">
        <v>641</v>
      </c>
      <c r="DJ9" s="20"/>
      <c r="DK9" s="20"/>
      <c r="DL9" s="20">
        <v>550</v>
      </c>
      <c r="DM9" s="20"/>
      <c r="DN9" s="49"/>
      <c r="DO9" s="20">
        <f>250</f>
        <v>250</v>
      </c>
      <c r="DP9" s="20"/>
      <c r="DQ9" s="20"/>
      <c r="DR9" s="20"/>
      <c r="DS9" s="20"/>
      <c r="DT9" s="20">
        <v>124</v>
      </c>
      <c r="DU9" s="20"/>
      <c r="DV9" s="49"/>
      <c r="DW9" s="52"/>
      <c r="DX9" s="20">
        <v>200</v>
      </c>
      <c r="DY9" s="20"/>
      <c r="DZ9" s="20"/>
      <c r="EA9" s="20">
        <v>183</v>
      </c>
      <c r="EB9" s="20"/>
      <c r="EC9" s="70">
        <v>383</v>
      </c>
      <c r="ED9" s="51">
        <v>350</v>
      </c>
      <c r="EE9" s="52"/>
      <c r="EF9" s="20">
        <v>200</v>
      </c>
      <c r="EG9" s="20"/>
      <c r="EH9" s="20"/>
      <c r="EI9" s="20">
        <v>150</v>
      </c>
      <c r="EJ9" s="20"/>
      <c r="EK9" s="70"/>
      <c r="EL9" s="51"/>
      <c r="EM9" s="52"/>
      <c r="EN9" s="20">
        <v>150</v>
      </c>
      <c r="EO9" s="20"/>
      <c r="EP9" s="20"/>
      <c r="EQ9" s="20">
        <v>150</v>
      </c>
      <c r="ER9" s="20"/>
      <c r="ES9" s="70">
        <v>300</v>
      </c>
      <c r="ET9" s="57">
        <v>250</v>
      </c>
      <c r="EU9" s="52"/>
      <c r="EV9" s="20">
        <v>70</v>
      </c>
      <c r="EW9" s="20"/>
      <c r="EX9" s="20"/>
      <c r="EY9" s="20">
        <v>100</v>
      </c>
      <c r="EZ9" s="20"/>
      <c r="FA9" s="70">
        <v>170</v>
      </c>
      <c r="FB9" s="57">
        <v>50</v>
      </c>
      <c r="FC9" s="52"/>
      <c r="FD9" s="20">
        <v>79</v>
      </c>
      <c r="FE9" s="20"/>
      <c r="FF9" s="20"/>
      <c r="FG9" s="20">
        <v>92</v>
      </c>
      <c r="FH9" s="20"/>
      <c r="FI9" s="70">
        <v>171</v>
      </c>
      <c r="FJ9" s="57">
        <v>110</v>
      </c>
      <c r="FK9" s="52"/>
      <c r="FL9" s="20">
        <v>42</v>
      </c>
      <c r="FM9" s="20"/>
      <c r="FN9" s="20"/>
      <c r="FO9" s="20"/>
      <c r="FP9" s="20">
        <v>60</v>
      </c>
      <c r="FQ9" s="70">
        <v>102</v>
      </c>
      <c r="FR9" s="57">
        <v>70</v>
      </c>
      <c r="FS9" s="52"/>
      <c r="FT9" s="20"/>
      <c r="FU9" s="20"/>
      <c r="FV9" s="20"/>
      <c r="FW9" s="20">
        <v>52</v>
      </c>
      <c r="FX9" s="20"/>
      <c r="FY9" s="70">
        <v>52</v>
      </c>
      <c r="FZ9" s="57">
        <v>30</v>
      </c>
      <c r="GA9" s="20"/>
      <c r="GB9" s="20"/>
      <c r="GC9" s="20"/>
      <c r="GD9" s="20"/>
      <c r="GE9" s="20">
        <v>47</v>
      </c>
      <c r="GF9" s="20"/>
      <c r="GG9" s="20">
        <v>47</v>
      </c>
      <c r="GH9" s="20">
        <v>20</v>
      </c>
      <c r="GI9" s="20"/>
      <c r="GJ9" s="20"/>
      <c r="GK9" s="20"/>
      <c r="GL9" s="20"/>
      <c r="GM9" s="20">
        <v>35</v>
      </c>
      <c r="GN9" s="20"/>
      <c r="GO9" s="20">
        <v>35</v>
      </c>
      <c r="GP9" s="20">
        <v>10</v>
      </c>
      <c r="GQ9" s="20"/>
      <c r="GR9" s="20"/>
      <c r="GS9" s="20"/>
      <c r="GT9" s="20"/>
      <c r="GU9" s="20"/>
      <c r="GV9" s="56"/>
      <c r="GW9" s="57"/>
      <c r="GX9" s="57"/>
      <c r="GY9" s="20"/>
      <c r="GZ9" s="20"/>
      <c r="HA9" s="20"/>
      <c r="HB9" s="20"/>
      <c r="HC9" s="20"/>
      <c r="HD9" s="56"/>
      <c r="HE9" s="57"/>
      <c r="HF9" s="57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>
        <v>20</v>
      </c>
      <c r="IJ9" s="20"/>
      <c r="IK9" s="20">
        <v>20</v>
      </c>
      <c r="IL9" s="20">
        <v>20</v>
      </c>
      <c r="IM9" s="20"/>
      <c r="IN9" s="20"/>
      <c r="IO9" s="20"/>
      <c r="IP9" s="20"/>
      <c r="IQ9" s="20"/>
      <c r="IR9" s="20"/>
      <c r="IS9" s="69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69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>
        <v>45</v>
      </c>
      <c r="LP9" s="20"/>
      <c r="LQ9" s="136">
        <v>0</v>
      </c>
      <c r="LR9" s="136">
        <v>20</v>
      </c>
      <c r="LS9" s="136">
        <v>109</v>
      </c>
      <c r="LT9" s="136">
        <v>50</v>
      </c>
      <c r="LU9" s="136">
        <v>51</v>
      </c>
      <c r="LV9" s="136">
        <v>50</v>
      </c>
      <c r="LW9" s="136">
        <v>132</v>
      </c>
      <c r="LX9" s="136">
        <v>136</v>
      </c>
      <c r="LY9" s="136">
        <v>193</v>
      </c>
      <c r="LZ9" s="136">
        <v>234</v>
      </c>
      <c r="MA9" s="136">
        <v>296</v>
      </c>
      <c r="MB9" s="136">
        <v>312</v>
      </c>
      <c r="MC9" s="137">
        <v>258</v>
      </c>
      <c r="MD9" s="137">
        <v>488</v>
      </c>
      <c r="ME9" s="136">
        <v>350</v>
      </c>
      <c r="MF9" s="137">
        <v>720</v>
      </c>
      <c r="MG9" s="137">
        <v>836</v>
      </c>
      <c r="MH9" s="137">
        <v>1456</v>
      </c>
      <c r="MI9" s="137">
        <v>1131</v>
      </c>
      <c r="MJ9" s="137">
        <v>1510</v>
      </c>
      <c r="MK9" s="137">
        <v>1124</v>
      </c>
      <c r="ML9" s="137">
        <v>1642</v>
      </c>
      <c r="MM9" s="137">
        <v>2010</v>
      </c>
      <c r="MN9" s="137">
        <v>1124</v>
      </c>
      <c r="MO9" s="137">
        <v>3242</v>
      </c>
      <c r="MP9" s="137">
        <v>4200</v>
      </c>
      <c r="MQ9" s="1">
        <v>5782</v>
      </c>
      <c r="MR9" s="137">
        <v>5318</v>
      </c>
      <c r="MS9" s="1">
        <v>6350</v>
      </c>
      <c r="MT9" s="137">
        <v>4911</v>
      </c>
      <c r="MU9" s="138">
        <v>5865</v>
      </c>
      <c r="MV9" s="139">
        <f t="shared" si="4"/>
        <v>49900</v>
      </c>
      <c r="MW9" s="121"/>
    </row>
    <row r="10" spans="1:361" s="58" customFormat="1" ht="18.75">
      <c r="A10" s="126" t="s">
        <v>177</v>
      </c>
      <c r="B10" s="46">
        <v>0</v>
      </c>
      <c r="C10" s="20">
        <v>0</v>
      </c>
      <c r="D10" s="20">
        <v>0</v>
      </c>
      <c r="E10" s="20">
        <v>0</v>
      </c>
      <c r="F10" s="20">
        <v>0</v>
      </c>
      <c r="G10" s="47">
        <v>0</v>
      </c>
      <c r="H10" s="48"/>
      <c r="I10" s="46"/>
      <c r="J10" s="20"/>
      <c r="K10" s="20"/>
      <c r="L10" s="20"/>
      <c r="M10" s="20">
        <v>188</v>
      </c>
      <c r="N10" s="47"/>
      <c r="O10" s="49">
        <f t="shared" si="0"/>
        <v>188</v>
      </c>
      <c r="P10" s="46"/>
      <c r="Q10" s="20"/>
      <c r="R10" s="20"/>
      <c r="S10" s="20"/>
      <c r="T10" s="20">
        <v>108</v>
      </c>
      <c r="U10" s="47"/>
      <c r="V10" s="49">
        <f t="shared" si="1"/>
        <v>108</v>
      </c>
      <c r="W10" s="46"/>
      <c r="X10" s="20"/>
      <c r="Y10" s="20"/>
      <c r="Z10" s="20"/>
      <c r="AA10" s="20">
        <v>340</v>
      </c>
      <c r="AB10" s="47"/>
      <c r="AC10" s="49"/>
      <c r="AD10" s="46"/>
      <c r="AE10" s="20"/>
      <c r="AF10" s="20"/>
      <c r="AG10" s="20"/>
      <c r="AH10" s="20">
        <v>240</v>
      </c>
      <c r="AI10" s="47"/>
      <c r="AJ10" s="49"/>
      <c r="AK10" s="46"/>
      <c r="AL10" s="20"/>
      <c r="AM10" s="20"/>
      <c r="AN10" s="20"/>
      <c r="AO10" s="20">
        <v>246</v>
      </c>
      <c r="AP10" s="47"/>
      <c r="AQ10" s="49"/>
      <c r="AR10" s="20"/>
      <c r="AS10" s="20"/>
      <c r="AT10" s="20"/>
      <c r="AU10" s="20"/>
      <c r="AV10" s="20"/>
      <c r="AW10" s="20">
        <v>450</v>
      </c>
      <c r="AX10" s="20"/>
      <c r="AY10" s="49"/>
      <c r="AZ10" s="20">
        <v>400</v>
      </c>
      <c r="BA10" s="20"/>
      <c r="BB10" s="20"/>
      <c r="BC10" s="20"/>
      <c r="BD10" s="20"/>
      <c r="BE10" s="20">
        <v>150</v>
      </c>
      <c r="BF10" s="20"/>
      <c r="BG10" s="49"/>
      <c r="BH10" s="51">
        <v>300</v>
      </c>
      <c r="BI10" s="52"/>
      <c r="BJ10" s="20"/>
      <c r="BK10" s="20"/>
      <c r="BL10" s="20"/>
      <c r="BM10" s="20">
        <v>264</v>
      </c>
      <c r="BN10" s="20"/>
      <c r="BO10" s="49">
        <v>264</v>
      </c>
      <c r="BP10" s="51">
        <v>500</v>
      </c>
      <c r="BQ10" s="46">
        <v>0</v>
      </c>
      <c r="BR10" s="20">
        <v>0</v>
      </c>
      <c r="BS10" s="20">
        <v>0</v>
      </c>
      <c r="BT10" s="20">
        <v>0</v>
      </c>
      <c r="BU10" s="20">
        <v>0</v>
      </c>
      <c r="BV10" s="47">
        <v>0</v>
      </c>
      <c r="BW10" s="48"/>
      <c r="BX10" s="46"/>
      <c r="BY10" s="20"/>
      <c r="BZ10" s="20"/>
      <c r="CA10" s="20"/>
      <c r="CB10" s="20">
        <v>188</v>
      </c>
      <c r="CC10" s="47"/>
      <c r="CD10" s="49">
        <f t="shared" si="2"/>
        <v>188</v>
      </c>
      <c r="CE10" s="46"/>
      <c r="CF10" s="20"/>
      <c r="CG10" s="20"/>
      <c r="CH10" s="20"/>
      <c r="CI10" s="20">
        <v>108</v>
      </c>
      <c r="CJ10" s="47"/>
      <c r="CK10" s="49">
        <f t="shared" si="3"/>
        <v>108</v>
      </c>
      <c r="CL10" s="46"/>
      <c r="CM10" s="20"/>
      <c r="CN10" s="20"/>
      <c r="CO10" s="20"/>
      <c r="CP10" s="20">
        <v>340</v>
      </c>
      <c r="CQ10" s="47"/>
      <c r="CR10" s="49"/>
      <c r="CS10" s="46"/>
      <c r="CT10" s="20"/>
      <c r="CU10" s="20"/>
      <c r="CV10" s="20"/>
      <c r="CW10" s="20">
        <v>240</v>
      </c>
      <c r="CX10" s="47"/>
      <c r="CY10" s="49"/>
      <c r="CZ10" s="46"/>
      <c r="DA10" s="20"/>
      <c r="DB10" s="20"/>
      <c r="DC10" s="20"/>
      <c r="DD10" s="20">
        <v>246</v>
      </c>
      <c r="DE10" s="47"/>
      <c r="DF10" s="49"/>
      <c r="DG10" s="20"/>
      <c r="DH10" s="20"/>
      <c r="DI10" s="20"/>
      <c r="DJ10" s="20"/>
      <c r="DK10" s="20"/>
      <c r="DL10" s="20">
        <v>450</v>
      </c>
      <c r="DM10" s="20"/>
      <c r="DN10" s="49"/>
      <c r="DO10" s="20">
        <v>400</v>
      </c>
      <c r="DP10" s="20"/>
      <c r="DQ10" s="20"/>
      <c r="DR10" s="20"/>
      <c r="DS10" s="20"/>
      <c r="DT10" s="20">
        <v>150</v>
      </c>
      <c r="DU10" s="20"/>
      <c r="DV10" s="49"/>
      <c r="DW10" s="52"/>
      <c r="DX10" s="20"/>
      <c r="DY10" s="20"/>
      <c r="DZ10" s="20"/>
      <c r="EA10" s="20">
        <v>300</v>
      </c>
      <c r="EB10" s="20"/>
      <c r="EC10" s="70">
        <v>300</v>
      </c>
      <c r="ED10" s="51">
        <v>250</v>
      </c>
      <c r="EE10" s="52"/>
      <c r="EF10" s="20"/>
      <c r="EG10" s="20"/>
      <c r="EH10" s="20"/>
      <c r="EI10" s="20">
        <v>255</v>
      </c>
      <c r="EJ10" s="20"/>
      <c r="EK10" s="70"/>
      <c r="EL10" s="51"/>
      <c r="EM10" s="52"/>
      <c r="EN10" s="20"/>
      <c r="EO10" s="20"/>
      <c r="EP10" s="20"/>
      <c r="EQ10" s="20">
        <v>512</v>
      </c>
      <c r="ER10" s="20"/>
      <c r="ES10" s="70">
        <v>512</v>
      </c>
      <c r="ET10" s="57">
        <v>400</v>
      </c>
      <c r="EU10" s="52"/>
      <c r="EV10" s="20"/>
      <c r="EW10" s="20"/>
      <c r="EX10" s="20"/>
      <c r="EY10" s="20">
        <v>430</v>
      </c>
      <c r="EZ10" s="20"/>
      <c r="FA10" s="70">
        <v>430</v>
      </c>
      <c r="FB10" s="57">
        <v>400</v>
      </c>
      <c r="FC10" s="52"/>
      <c r="FD10" s="20"/>
      <c r="FE10" s="20"/>
      <c r="FF10" s="20"/>
      <c r="FG10" s="20">
        <v>307</v>
      </c>
      <c r="FH10" s="20"/>
      <c r="FI10" s="70">
        <v>307</v>
      </c>
      <c r="FJ10" s="57">
        <v>250</v>
      </c>
      <c r="FK10" s="52"/>
      <c r="FL10" s="20"/>
      <c r="FM10" s="20"/>
      <c r="FN10" s="20"/>
      <c r="FO10" s="20">
        <v>316</v>
      </c>
      <c r="FP10" s="20"/>
      <c r="FQ10" s="70">
        <v>316</v>
      </c>
      <c r="FR10" s="57">
        <v>300</v>
      </c>
      <c r="FS10" s="52"/>
      <c r="FT10" s="20"/>
      <c r="FU10" s="20"/>
      <c r="FV10" s="20"/>
      <c r="FW10" s="20">
        <v>400</v>
      </c>
      <c r="FX10" s="20"/>
      <c r="FY10" s="70">
        <v>400</v>
      </c>
      <c r="FZ10" s="57">
        <v>350</v>
      </c>
      <c r="GA10" s="20"/>
      <c r="GB10" s="20"/>
      <c r="GC10" s="20"/>
      <c r="GD10" s="20"/>
      <c r="GE10" s="20">
        <v>450</v>
      </c>
      <c r="GF10" s="20"/>
      <c r="GG10" s="20">
        <v>450</v>
      </c>
      <c r="GH10" s="20">
        <v>400</v>
      </c>
      <c r="GI10" s="20"/>
      <c r="GJ10" s="20"/>
      <c r="GK10" s="20"/>
      <c r="GL10" s="20"/>
      <c r="GM10" s="20">
        <v>135</v>
      </c>
      <c r="GN10" s="20"/>
      <c r="GO10" s="20">
        <v>135</v>
      </c>
      <c r="GP10" s="20">
        <v>200</v>
      </c>
      <c r="GQ10" s="20"/>
      <c r="GR10" s="20"/>
      <c r="GS10" s="20"/>
      <c r="GT10" s="20"/>
      <c r="GU10" s="20">
        <v>448</v>
      </c>
      <c r="GV10" s="56"/>
      <c r="GW10" s="57">
        <v>448</v>
      </c>
      <c r="GX10" s="57">
        <v>400</v>
      </c>
      <c r="GY10" s="20"/>
      <c r="GZ10" s="20"/>
      <c r="HA10" s="20"/>
      <c r="HB10" s="20"/>
      <c r="HC10" s="20">
        <v>374</v>
      </c>
      <c r="HD10" s="56"/>
      <c r="HE10" s="57">
        <v>374</v>
      </c>
      <c r="HF10" s="57">
        <v>250</v>
      </c>
      <c r="HG10" s="20"/>
      <c r="HH10" s="20"/>
      <c r="HI10" s="20"/>
      <c r="HJ10" s="20"/>
      <c r="HK10" s="20">
        <v>270</v>
      </c>
      <c r="HL10" s="20"/>
      <c r="HM10" s="20">
        <v>270</v>
      </c>
      <c r="HN10" s="20">
        <v>250</v>
      </c>
      <c r="HO10" s="20"/>
      <c r="HP10" s="20"/>
      <c r="HQ10" s="20"/>
      <c r="HR10" s="20"/>
      <c r="HS10" s="20">
        <v>286</v>
      </c>
      <c r="HT10" s="20"/>
      <c r="HU10" s="20">
        <v>286</v>
      </c>
      <c r="HV10" s="20">
        <v>200</v>
      </c>
      <c r="HW10" s="20"/>
      <c r="HX10" s="20"/>
      <c r="HY10" s="20"/>
      <c r="HZ10" s="20"/>
      <c r="IA10" s="20">
        <v>490</v>
      </c>
      <c r="IB10" s="20"/>
      <c r="IC10" s="20">
        <v>490</v>
      </c>
      <c r="ID10" s="20">
        <v>400</v>
      </c>
      <c r="IE10" s="20"/>
      <c r="IF10" s="20"/>
      <c r="IG10" s="20"/>
      <c r="IH10" s="20"/>
      <c r="II10" s="20">
        <v>550</v>
      </c>
      <c r="IJ10" s="20"/>
      <c r="IK10" s="20">
        <v>550</v>
      </c>
      <c r="IL10" s="20">
        <v>400</v>
      </c>
      <c r="IM10" s="20"/>
      <c r="IN10" s="20"/>
      <c r="IO10" s="20"/>
      <c r="IP10" s="20"/>
      <c r="IQ10" s="20">
        <v>686</v>
      </c>
      <c r="IR10" s="20"/>
      <c r="IS10" s="69">
        <v>686</v>
      </c>
      <c r="IT10" s="20">
        <v>200</v>
      </c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>
        <v>317</v>
      </c>
      <c r="KD10" s="20"/>
      <c r="KE10" s="69">
        <v>317</v>
      </c>
      <c r="KF10" s="20">
        <v>300</v>
      </c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>
        <v>190</v>
      </c>
      <c r="LP10" s="20">
        <v>191</v>
      </c>
      <c r="LQ10" s="136">
        <v>191</v>
      </c>
      <c r="LR10" s="136">
        <v>200</v>
      </c>
      <c r="LS10" s="136">
        <v>100</v>
      </c>
      <c r="LT10" s="136">
        <v>150</v>
      </c>
      <c r="LU10" s="136">
        <v>108</v>
      </c>
      <c r="LV10" s="136">
        <v>130</v>
      </c>
      <c r="LW10" s="136">
        <v>170</v>
      </c>
      <c r="LX10" s="136">
        <v>192</v>
      </c>
      <c r="LY10" s="136">
        <v>160</v>
      </c>
      <c r="LZ10" s="136">
        <v>300</v>
      </c>
      <c r="MA10" s="136">
        <v>310</v>
      </c>
      <c r="MB10" s="136">
        <v>281</v>
      </c>
      <c r="MC10" s="137">
        <v>243</v>
      </c>
      <c r="MD10" s="137">
        <v>260</v>
      </c>
      <c r="ME10" s="136">
        <v>250</v>
      </c>
      <c r="MF10" s="137">
        <v>300</v>
      </c>
      <c r="MG10" s="137">
        <v>295</v>
      </c>
      <c r="MH10" s="137">
        <v>300</v>
      </c>
      <c r="MI10" s="137">
        <v>220</v>
      </c>
      <c r="MJ10" s="137">
        <v>450</v>
      </c>
      <c r="MK10" s="137">
        <v>300</v>
      </c>
      <c r="ML10" s="137">
        <v>400</v>
      </c>
      <c r="MM10" s="137">
        <v>600</v>
      </c>
      <c r="MN10" s="137">
        <v>250</v>
      </c>
      <c r="MO10" s="137">
        <v>864</v>
      </c>
      <c r="MP10" s="137">
        <v>900</v>
      </c>
      <c r="MQ10" s="1">
        <v>965</v>
      </c>
      <c r="MR10" s="137">
        <v>850</v>
      </c>
      <c r="MS10" s="1">
        <v>1150</v>
      </c>
      <c r="MT10" s="137">
        <v>943</v>
      </c>
      <c r="MU10" s="138">
        <v>550</v>
      </c>
      <c r="MV10" s="139">
        <f t="shared" si="4"/>
        <v>12382</v>
      </c>
      <c r="MW10" s="121"/>
    </row>
    <row r="11" spans="1:361" s="58" customFormat="1" ht="18.75">
      <c r="A11" s="126" t="s">
        <v>178</v>
      </c>
      <c r="B11" s="46">
        <v>0</v>
      </c>
      <c r="C11" s="20">
        <v>350</v>
      </c>
      <c r="D11" s="20">
        <v>0</v>
      </c>
      <c r="E11" s="20">
        <v>0</v>
      </c>
      <c r="F11" s="20">
        <v>0</v>
      </c>
      <c r="G11" s="47">
        <v>0</v>
      </c>
      <c r="H11" s="48"/>
      <c r="I11" s="46"/>
      <c r="J11" s="20">
        <v>464</v>
      </c>
      <c r="K11" s="20"/>
      <c r="L11" s="20"/>
      <c r="M11" s="20"/>
      <c r="N11" s="47"/>
      <c r="O11" s="49">
        <f t="shared" si="0"/>
        <v>464</v>
      </c>
      <c r="P11" s="46"/>
      <c r="Q11" s="20">
        <v>230</v>
      </c>
      <c r="R11" s="20"/>
      <c r="S11" s="20"/>
      <c r="T11" s="20"/>
      <c r="U11" s="47"/>
      <c r="V11" s="49">
        <f t="shared" si="1"/>
        <v>230</v>
      </c>
      <c r="W11" s="46"/>
      <c r="X11" s="20">
        <v>436</v>
      </c>
      <c r="Y11" s="20"/>
      <c r="Z11" s="20"/>
      <c r="AA11" s="20"/>
      <c r="AB11" s="47"/>
      <c r="AC11" s="49"/>
      <c r="AD11" s="46"/>
      <c r="AE11" s="20">
        <v>670</v>
      </c>
      <c r="AF11" s="20"/>
      <c r="AG11" s="20"/>
      <c r="AH11" s="20"/>
      <c r="AI11" s="47"/>
      <c r="AJ11" s="49"/>
      <c r="AK11" s="46"/>
      <c r="AL11" s="20">
        <v>868</v>
      </c>
      <c r="AM11" s="20"/>
      <c r="AN11" s="20"/>
      <c r="AO11" s="20"/>
      <c r="AP11" s="47"/>
      <c r="AQ11" s="49"/>
      <c r="AR11" s="20"/>
      <c r="AS11" s="20"/>
      <c r="AT11" s="20">
        <v>734</v>
      </c>
      <c r="AU11" s="20"/>
      <c r="AV11" s="20"/>
      <c r="AW11" s="20"/>
      <c r="AX11" s="20"/>
      <c r="AY11" s="49"/>
      <c r="AZ11" s="20">
        <v>750</v>
      </c>
      <c r="BA11" s="20">
        <v>600</v>
      </c>
      <c r="BB11" s="20"/>
      <c r="BC11" s="20"/>
      <c r="BD11" s="20"/>
      <c r="BE11" s="20"/>
      <c r="BF11" s="20"/>
      <c r="BG11" s="49"/>
      <c r="BH11" s="51">
        <v>550</v>
      </c>
      <c r="BI11" s="52"/>
      <c r="BJ11" s="20"/>
      <c r="BK11" s="20"/>
      <c r="BL11" s="20"/>
      <c r="BM11" s="20">
        <v>600</v>
      </c>
      <c r="BN11" s="20"/>
      <c r="BO11" s="49">
        <v>600</v>
      </c>
      <c r="BP11" s="51">
        <v>1200</v>
      </c>
      <c r="BQ11" s="46">
        <v>0</v>
      </c>
      <c r="BR11" s="20">
        <v>350</v>
      </c>
      <c r="BS11" s="20">
        <v>0</v>
      </c>
      <c r="BT11" s="20">
        <v>0</v>
      </c>
      <c r="BU11" s="20">
        <v>0</v>
      </c>
      <c r="BV11" s="47">
        <v>0</v>
      </c>
      <c r="BW11" s="48"/>
      <c r="BX11" s="46"/>
      <c r="BY11" s="20">
        <v>464</v>
      </c>
      <c r="BZ11" s="20"/>
      <c r="CA11" s="20"/>
      <c r="CB11" s="20"/>
      <c r="CC11" s="47"/>
      <c r="CD11" s="49">
        <f t="shared" si="2"/>
        <v>464</v>
      </c>
      <c r="CE11" s="46"/>
      <c r="CF11" s="20">
        <v>230</v>
      </c>
      <c r="CG11" s="20"/>
      <c r="CH11" s="20"/>
      <c r="CI11" s="20"/>
      <c r="CJ11" s="47"/>
      <c r="CK11" s="49">
        <f t="shared" si="3"/>
        <v>230</v>
      </c>
      <c r="CL11" s="46"/>
      <c r="CM11" s="20">
        <v>436</v>
      </c>
      <c r="CN11" s="20"/>
      <c r="CO11" s="20"/>
      <c r="CP11" s="20"/>
      <c r="CQ11" s="47"/>
      <c r="CR11" s="49"/>
      <c r="CS11" s="46"/>
      <c r="CT11" s="20">
        <v>670</v>
      </c>
      <c r="CU11" s="20"/>
      <c r="CV11" s="20"/>
      <c r="CW11" s="20"/>
      <c r="CX11" s="47"/>
      <c r="CY11" s="49"/>
      <c r="CZ11" s="46"/>
      <c r="DA11" s="20">
        <v>868</v>
      </c>
      <c r="DB11" s="20"/>
      <c r="DC11" s="20"/>
      <c r="DD11" s="20"/>
      <c r="DE11" s="47"/>
      <c r="DF11" s="49"/>
      <c r="DG11" s="20"/>
      <c r="DH11" s="20"/>
      <c r="DI11" s="20">
        <v>734</v>
      </c>
      <c r="DJ11" s="20"/>
      <c r="DK11" s="20"/>
      <c r="DL11" s="20"/>
      <c r="DM11" s="20"/>
      <c r="DN11" s="49"/>
      <c r="DO11" s="20">
        <v>750</v>
      </c>
      <c r="DP11" s="20">
        <v>600</v>
      </c>
      <c r="DQ11" s="20"/>
      <c r="DR11" s="20"/>
      <c r="DS11" s="20"/>
      <c r="DT11" s="20"/>
      <c r="DU11" s="20"/>
      <c r="DV11" s="49"/>
      <c r="DW11" s="52"/>
      <c r="DX11" s="20">
        <v>500</v>
      </c>
      <c r="DY11" s="20"/>
      <c r="DZ11" s="20"/>
      <c r="EA11" s="20"/>
      <c r="EB11" s="20"/>
      <c r="EC11" s="70">
        <v>500</v>
      </c>
      <c r="ED11" s="51">
        <v>600</v>
      </c>
      <c r="EE11" s="52"/>
      <c r="EF11" s="20">
        <v>416</v>
      </c>
      <c r="EG11" s="20"/>
      <c r="EH11" s="20"/>
      <c r="EI11" s="20"/>
      <c r="EJ11" s="20"/>
      <c r="EK11" s="70"/>
      <c r="EL11" s="51"/>
      <c r="EM11" s="52"/>
      <c r="EN11" s="20">
        <v>950</v>
      </c>
      <c r="EO11" s="20"/>
      <c r="EP11" s="20"/>
      <c r="EQ11" s="20"/>
      <c r="ER11" s="20"/>
      <c r="ES11" s="70">
        <v>950</v>
      </c>
      <c r="ET11" s="57">
        <v>900</v>
      </c>
      <c r="EU11" s="52"/>
      <c r="EV11" s="20">
        <v>950</v>
      </c>
      <c r="EW11" s="20"/>
      <c r="EX11" s="20"/>
      <c r="EY11" s="20"/>
      <c r="EZ11" s="20"/>
      <c r="FA11" s="70">
        <v>950</v>
      </c>
      <c r="FB11" s="57">
        <v>1100</v>
      </c>
      <c r="FC11" s="52"/>
      <c r="FD11" s="20">
        <v>629</v>
      </c>
      <c r="FE11" s="20"/>
      <c r="FF11" s="20"/>
      <c r="FG11" s="20"/>
      <c r="FH11" s="20"/>
      <c r="FI11" s="70">
        <v>629</v>
      </c>
      <c r="FJ11" s="57">
        <v>750</v>
      </c>
      <c r="FK11" s="52"/>
      <c r="FL11" s="20">
        <v>1250</v>
      </c>
      <c r="FM11" s="20"/>
      <c r="FN11" s="20"/>
      <c r="FO11" s="20"/>
      <c r="FP11" s="20"/>
      <c r="FQ11" s="70">
        <v>1250</v>
      </c>
      <c r="FR11" s="57">
        <v>1400</v>
      </c>
      <c r="FS11" s="52"/>
      <c r="FT11" s="20">
        <v>865</v>
      </c>
      <c r="FU11" s="20"/>
      <c r="FV11" s="20"/>
      <c r="FW11" s="20"/>
      <c r="FX11" s="20"/>
      <c r="FY11" s="70">
        <v>865</v>
      </c>
      <c r="FZ11" s="57">
        <v>1000</v>
      </c>
      <c r="GA11" s="20"/>
      <c r="GB11" s="20">
        <v>1432</v>
      </c>
      <c r="GC11" s="20"/>
      <c r="GD11" s="20"/>
      <c r="GE11" s="20"/>
      <c r="GF11" s="20"/>
      <c r="GG11" s="20">
        <v>1432</v>
      </c>
      <c r="GH11" s="20">
        <v>1400</v>
      </c>
      <c r="GI11" s="20"/>
      <c r="GJ11" s="20">
        <v>1660</v>
      </c>
      <c r="GK11" s="20"/>
      <c r="GL11" s="20"/>
      <c r="GM11" s="20"/>
      <c r="GN11" s="20"/>
      <c r="GO11" s="20">
        <v>1660</v>
      </c>
      <c r="GP11" s="20">
        <v>1800</v>
      </c>
      <c r="GQ11" s="20"/>
      <c r="GR11" s="20">
        <v>1850</v>
      </c>
      <c r="GS11" s="20"/>
      <c r="GT11" s="20"/>
      <c r="GU11" s="20"/>
      <c r="GV11" s="56"/>
      <c r="GW11" s="57">
        <v>1850</v>
      </c>
      <c r="GX11" s="57"/>
      <c r="GY11" s="20"/>
      <c r="GZ11" s="20">
        <v>1430</v>
      </c>
      <c r="HA11" s="20"/>
      <c r="HB11" s="20"/>
      <c r="HC11" s="20"/>
      <c r="HD11" s="56"/>
      <c r="HE11" s="57">
        <v>1430</v>
      </c>
      <c r="HF11" s="57">
        <v>1600</v>
      </c>
      <c r="HG11" s="20"/>
      <c r="HH11" s="20">
        <v>1550</v>
      </c>
      <c r="HI11" s="20"/>
      <c r="HJ11" s="20"/>
      <c r="HK11" s="20"/>
      <c r="HL11" s="20"/>
      <c r="HM11" s="20">
        <v>1550</v>
      </c>
      <c r="HN11" s="20">
        <v>1600</v>
      </c>
      <c r="HO11" s="20"/>
      <c r="HP11" s="20">
        <v>1000</v>
      </c>
      <c r="HQ11" s="20"/>
      <c r="HR11" s="20"/>
      <c r="HS11" s="20"/>
      <c r="HT11" s="20"/>
      <c r="HU11" s="20">
        <v>1000</v>
      </c>
      <c r="HV11" s="20">
        <v>1200</v>
      </c>
      <c r="HW11" s="20"/>
      <c r="HX11" s="20">
        <v>3100</v>
      </c>
      <c r="HY11" s="20"/>
      <c r="HZ11" s="20"/>
      <c r="IA11" s="20"/>
      <c r="IB11" s="20"/>
      <c r="IC11" s="20">
        <v>3100</v>
      </c>
      <c r="ID11" s="20">
        <v>4500</v>
      </c>
      <c r="IE11" s="20"/>
      <c r="IF11" s="20">
        <v>2250</v>
      </c>
      <c r="IG11" s="20"/>
      <c r="IH11" s="20"/>
      <c r="II11" s="20"/>
      <c r="IJ11" s="20"/>
      <c r="IK11" s="20">
        <v>2250</v>
      </c>
      <c r="IL11" s="20">
        <v>1800</v>
      </c>
      <c r="IM11" s="20"/>
      <c r="IN11" s="20">
        <v>2900</v>
      </c>
      <c r="IO11" s="20"/>
      <c r="IP11" s="20"/>
      <c r="IQ11" s="20"/>
      <c r="IR11" s="20"/>
      <c r="IS11" s="69">
        <v>2900</v>
      </c>
      <c r="IT11" s="20">
        <v>2500</v>
      </c>
      <c r="IU11" s="20"/>
      <c r="IV11" s="20">
        <v>2900</v>
      </c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69">
        <v>2900</v>
      </c>
      <c r="KF11" s="20">
        <v>2000</v>
      </c>
      <c r="KG11" s="20"/>
      <c r="KH11" s="20">
        <v>1050</v>
      </c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136">
        <v>1650</v>
      </c>
      <c r="LR11" s="136">
        <v>1350</v>
      </c>
      <c r="LS11" s="136">
        <v>1050</v>
      </c>
      <c r="LT11" s="136">
        <v>1340</v>
      </c>
      <c r="LU11" s="136">
        <v>1000</v>
      </c>
      <c r="LV11" s="136">
        <v>1000</v>
      </c>
      <c r="LW11" s="136">
        <v>700</v>
      </c>
      <c r="LX11" s="136">
        <v>700</v>
      </c>
      <c r="LY11" s="136">
        <v>674</v>
      </c>
      <c r="LZ11" s="136">
        <v>620</v>
      </c>
      <c r="MA11" s="136">
        <v>950</v>
      </c>
      <c r="MB11" s="136">
        <v>484</v>
      </c>
      <c r="MC11" s="137">
        <v>463</v>
      </c>
      <c r="MD11" s="137">
        <v>420</v>
      </c>
      <c r="ME11" s="136">
        <v>440</v>
      </c>
      <c r="MF11" s="137">
        <v>200</v>
      </c>
      <c r="MG11" s="137">
        <v>204</v>
      </c>
      <c r="MH11" s="137">
        <v>300</v>
      </c>
      <c r="MI11" s="137">
        <v>400</v>
      </c>
      <c r="MJ11" s="137">
        <v>328</v>
      </c>
      <c r="MK11" s="137">
        <v>324</v>
      </c>
      <c r="ML11" s="137">
        <v>412</v>
      </c>
      <c r="MM11" s="137">
        <v>434</v>
      </c>
      <c r="MN11" s="137">
        <v>220</v>
      </c>
      <c r="MO11" s="137">
        <v>830</v>
      </c>
      <c r="MP11" s="137">
        <v>1355</v>
      </c>
      <c r="MQ11" s="1">
        <v>2240</v>
      </c>
      <c r="MR11" s="137">
        <v>2740</v>
      </c>
      <c r="MS11" s="1">
        <v>2715</v>
      </c>
      <c r="MT11" s="137">
        <v>2965</v>
      </c>
      <c r="MU11" s="138">
        <v>2230</v>
      </c>
      <c r="MV11" s="139">
        <f t="shared" si="4"/>
        <v>30738</v>
      </c>
      <c r="MW11" s="121"/>
    </row>
    <row r="12" spans="1:361" s="58" customFormat="1" ht="18.75">
      <c r="A12" s="126" t="s">
        <v>179</v>
      </c>
      <c r="B12" s="46">
        <v>0</v>
      </c>
      <c r="C12" s="20">
        <v>0</v>
      </c>
      <c r="D12" s="20">
        <v>0</v>
      </c>
      <c r="E12" s="20">
        <v>0</v>
      </c>
      <c r="F12" s="20">
        <v>0</v>
      </c>
      <c r="G12" s="47">
        <v>0</v>
      </c>
      <c r="H12" s="48"/>
      <c r="I12" s="46"/>
      <c r="J12" s="20"/>
      <c r="K12" s="20"/>
      <c r="L12" s="20"/>
      <c r="M12" s="20"/>
      <c r="N12" s="47"/>
      <c r="O12" s="49">
        <f t="shared" si="0"/>
        <v>0</v>
      </c>
      <c r="P12" s="46"/>
      <c r="Q12" s="20"/>
      <c r="R12" s="20"/>
      <c r="S12" s="20"/>
      <c r="T12" s="20"/>
      <c r="U12" s="47"/>
      <c r="V12" s="49">
        <f t="shared" si="1"/>
        <v>0</v>
      </c>
      <c r="W12" s="46"/>
      <c r="X12" s="20"/>
      <c r="Y12" s="20"/>
      <c r="Z12" s="20"/>
      <c r="AA12" s="20"/>
      <c r="AB12" s="47"/>
      <c r="AC12" s="49"/>
      <c r="AD12" s="46"/>
      <c r="AE12" s="20"/>
      <c r="AF12" s="20"/>
      <c r="AG12" s="20"/>
      <c r="AH12" s="20"/>
      <c r="AI12" s="47"/>
      <c r="AJ12" s="49"/>
      <c r="AK12" s="46"/>
      <c r="AL12" s="20"/>
      <c r="AM12" s="20"/>
      <c r="AN12" s="20"/>
      <c r="AO12" s="20"/>
      <c r="AP12" s="47"/>
      <c r="AQ12" s="49"/>
      <c r="AR12" s="20"/>
      <c r="AS12" s="20"/>
      <c r="AT12" s="20"/>
      <c r="AU12" s="20"/>
      <c r="AV12" s="20"/>
      <c r="AW12" s="20"/>
      <c r="AX12" s="20"/>
      <c r="AY12" s="49"/>
      <c r="AZ12" s="20"/>
      <c r="BA12" s="20"/>
      <c r="BB12" s="20"/>
      <c r="BC12" s="20"/>
      <c r="BD12" s="20"/>
      <c r="BE12" s="20"/>
      <c r="BF12" s="20"/>
      <c r="BG12" s="49"/>
      <c r="BH12" s="51">
        <v>20</v>
      </c>
      <c r="BI12" s="52"/>
      <c r="BJ12" s="20"/>
      <c r="BK12" s="20"/>
      <c r="BL12" s="20"/>
      <c r="BM12" s="20"/>
      <c r="BN12" s="20"/>
      <c r="BO12" s="49">
        <v>0</v>
      </c>
      <c r="BP12" s="51"/>
      <c r="BQ12" s="46">
        <v>0</v>
      </c>
      <c r="BR12" s="20">
        <v>0</v>
      </c>
      <c r="BS12" s="20">
        <v>0</v>
      </c>
      <c r="BT12" s="20">
        <v>0</v>
      </c>
      <c r="BU12" s="20">
        <v>0</v>
      </c>
      <c r="BV12" s="47">
        <v>0</v>
      </c>
      <c r="BW12" s="48"/>
      <c r="BX12" s="46"/>
      <c r="BY12" s="20"/>
      <c r="BZ12" s="20"/>
      <c r="CA12" s="20"/>
      <c r="CB12" s="20"/>
      <c r="CC12" s="47"/>
      <c r="CD12" s="49">
        <f t="shared" si="2"/>
        <v>0</v>
      </c>
      <c r="CE12" s="46"/>
      <c r="CF12" s="20"/>
      <c r="CG12" s="20"/>
      <c r="CH12" s="20"/>
      <c r="CI12" s="20"/>
      <c r="CJ12" s="47"/>
      <c r="CK12" s="49">
        <f t="shared" si="3"/>
        <v>0</v>
      </c>
      <c r="CL12" s="46"/>
      <c r="CM12" s="20"/>
      <c r="CN12" s="20"/>
      <c r="CO12" s="20"/>
      <c r="CP12" s="20"/>
      <c r="CQ12" s="47"/>
      <c r="CR12" s="49"/>
      <c r="CS12" s="46"/>
      <c r="CT12" s="20"/>
      <c r="CU12" s="20"/>
      <c r="CV12" s="20"/>
      <c r="CW12" s="20"/>
      <c r="CX12" s="47"/>
      <c r="CY12" s="49"/>
      <c r="CZ12" s="46"/>
      <c r="DA12" s="20"/>
      <c r="DB12" s="20"/>
      <c r="DC12" s="20"/>
      <c r="DD12" s="20"/>
      <c r="DE12" s="47"/>
      <c r="DF12" s="49"/>
      <c r="DG12" s="20"/>
      <c r="DH12" s="20"/>
      <c r="DI12" s="20"/>
      <c r="DJ12" s="20"/>
      <c r="DK12" s="20"/>
      <c r="DL12" s="20"/>
      <c r="DM12" s="20"/>
      <c r="DN12" s="49"/>
      <c r="DO12" s="20"/>
      <c r="DP12" s="20"/>
      <c r="DQ12" s="20"/>
      <c r="DR12" s="20"/>
      <c r="DS12" s="20"/>
      <c r="DT12" s="20"/>
      <c r="DU12" s="20"/>
      <c r="DV12" s="49"/>
      <c r="DW12" s="52"/>
      <c r="DX12" s="20"/>
      <c r="DY12" s="20"/>
      <c r="DZ12" s="20"/>
      <c r="EA12" s="20"/>
      <c r="EB12" s="20"/>
      <c r="EC12" s="70"/>
      <c r="ED12" s="51"/>
      <c r="EE12" s="52"/>
      <c r="EF12" s="20"/>
      <c r="EG12" s="20"/>
      <c r="EH12" s="20"/>
      <c r="EI12" s="20"/>
      <c r="EJ12" s="20"/>
      <c r="EK12" s="70"/>
      <c r="EL12" s="51"/>
      <c r="EM12" s="52"/>
      <c r="EN12" s="20"/>
      <c r="EO12" s="20"/>
      <c r="EP12" s="20"/>
      <c r="EQ12" s="20"/>
      <c r="ER12" s="20"/>
      <c r="ES12" s="70"/>
      <c r="ET12" s="57"/>
      <c r="EU12" s="52"/>
      <c r="EV12" s="20"/>
      <c r="EW12" s="20"/>
      <c r="EX12" s="20"/>
      <c r="EY12" s="20"/>
      <c r="EZ12" s="20"/>
      <c r="FA12" s="70">
        <v>0</v>
      </c>
      <c r="FB12" s="57"/>
      <c r="FC12" s="52"/>
      <c r="FD12" s="20"/>
      <c r="FE12" s="20"/>
      <c r="FF12" s="20"/>
      <c r="FG12" s="20"/>
      <c r="FH12" s="20"/>
      <c r="FI12" s="70"/>
      <c r="FJ12" s="57"/>
      <c r="FK12" s="52"/>
      <c r="FL12" s="20"/>
      <c r="FM12" s="20"/>
      <c r="FN12" s="20"/>
      <c r="FO12" s="20"/>
      <c r="FP12" s="20"/>
      <c r="FQ12" s="70"/>
      <c r="FR12" s="57"/>
      <c r="FS12" s="52"/>
      <c r="FT12" s="20"/>
      <c r="FU12" s="20"/>
      <c r="FV12" s="20"/>
      <c r="FW12" s="20"/>
      <c r="FX12" s="20"/>
      <c r="FY12" s="70"/>
      <c r="FZ12" s="57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>
        <v>37</v>
      </c>
      <c r="GL12" s="20"/>
      <c r="GM12" s="20"/>
      <c r="GN12" s="20"/>
      <c r="GO12" s="20">
        <v>37</v>
      </c>
      <c r="GP12" s="20">
        <v>50</v>
      </c>
      <c r="GQ12" s="20"/>
      <c r="GR12" s="20"/>
      <c r="GS12" s="20">
        <v>60</v>
      </c>
      <c r="GT12" s="20"/>
      <c r="GU12" s="20"/>
      <c r="GV12" s="56"/>
      <c r="GW12" s="57">
        <v>60</v>
      </c>
      <c r="GX12" s="57">
        <v>100</v>
      </c>
      <c r="GY12" s="20"/>
      <c r="GZ12" s="20"/>
      <c r="HA12" s="20">
        <v>80</v>
      </c>
      <c r="HB12" s="20"/>
      <c r="HC12" s="20"/>
      <c r="HD12" s="56"/>
      <c r="HE12" s="57">
        <v>80</v>
      </c>
      <c r="HF12" s="57">
        <v>100</v>
      </c>
      <c r="HG12" s="20"/>
      <c r="HH12" s="20"/>
      <c r="HI12" s="20">
        <v>59</v>
      </c>
      <c r="HJ12" s="20"/>
      <c r="HK12" s="20"/>
      <c r="HL12" s="20"/>
      <c r="HM12" s="20">
        <v>59</v>
      </c>
      <c r="HN12" s="20">
        <v>100</v>
      </c>
      <c r="HO12" s="20"/>
      <c r="HP12" s="20"/>
      <c r="HQ12" s="20">
        <v>112</v>
      </c>
      <c r="HR12" s="20"/>
      <c r="HS12" s="20"/>
      <c r="HT12" s="20"/>
      <c r="HU12" s="20">
        <v>112</v>
      </c>
      <c r="HV12" s="20">
        <v>120</v>
      </c>
      <c r="HW12" s="20"/>
      <c r="HX12" s="20"/>
      <c r="HY12" s="20">
        <v>150</v>
      </c>
      <c r="HZ12" s="20"/>
      <c r="IA12" s="20"/>
      <c r="IB12" s="20"/>
      <c r="IC12" s="20">
        <v>150</v>
      </c>
      <c r="ID12" s="20">
        <v>200</v>
      </c>
      <c r="IE12" s="20"/>
      <c r="IF12" s="20"/>
      <c r="IG12" s="20">
        <v>150</v>
      </c>
      <c r="IH12" s="20"/>
      <c r="II12" s="20"/>
      <c r="IJ12" s="20"/>
      <c r="IK12" s="20">
        <v>150</v>
      </c>
      <c r="IL12" s="20">
        <v>150</v>
      </c>
      <c r="IM12" s="20"/>
      <c r="IN12" s="20"/>
      <c r="IO12" s="20">
        <v>250</v>
      </c>
      <c r="IP12" s="20"/>
      <c r="IQ12" s="20"/>
      <c r="IR12" s="20"/>
      <c r="IS12" s="69">
        <v>250</v>
      </c>
      <c r="IT12" s="20">
        <v>280</v>
      </c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>
        <v>180</v>
      </c>
      <c r="KB12" s="20"/>
      <c r="KC12" s="20"/>
      <c r="KD12" s="20"/>
      <c r="KE12" s="69">
        <v>180</v>
      </c>
      <c r="KF12" s="20">
        <v>200</v>
      </c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>
        <v>200</v>
      </c>
      <c r="LN12" s="20"/>
      <c r="LO12" s="20"/>
      <c r="LP12" s="20"/>
      <c r="LQ12" s="136">
        <v>95</v>
      </c>
      <c r="LR12" s="136">
        <v>98</v>
      </c>
      <c r="LS12" s="136">
        <v>26</v>
      </c>
      <c r="LT12" s="136">
        <v>54</v>
      </c>
      <c r="LU12" s="136">
        <v>68</v>
      </c>
      <c r="LV12" s="136">
        <v>30</v>
      </c>
      <c r="LW12" s="136">
        <v>75</v>
      </c>
      <c r="LX12" s="136"/>
      <c r="LY12" s="136">
        <v>60</v>
      </c>
      <c r="LZ12" s="136">
        <v>40</v>
      </c>
      <c r="MA12" s="136">
        <v>25</v>
      </c>
      <c r="MB12" s="136">
        <v>45</v>
      </c>
      <c r="MC12" s="137">
        <v>37</v>
      </c>
      <c r="MD12" s="137">
        <v>59</v>
      </c>
      <c r="ME12" s="136">
        <v>67</v>
      </c>
      <c r="MF12" s="137">
        <v>140</v>
      </c>
      <c r="MG12" s="137">
        <v>20</v>
      </c>
      <c r="MH12" s="137">
        <v>314</v>
      </c>
      <c r="MI12" s="137">
        <v>254</v>
      </c>
      <c r="MJ12" s="137">
        <v>300</v>
      </c>
      <c r="MK12" s="137">
        <v>350</v>
      </c>
      <c r="ML12" s="137">
        <v>345</v>
      </c>
      <c r="MM12" s="137">
        <v>309</v>
      </c>
      <c r="MN12" s="137">
        <v>254</v>
      </c>
      <c r="MO12" s="137">
        <v>212</v>
      </c>
      <c r="MP12" s="137">
        <v>724</v>
      </c>
      <c r="MQ12" s="1">
        <v>492</v>
      </c>
      <c r="MR12" s="137">
        <v>1100</v>
      </c>
      <c r="MS12" s="1">
        <v>390</v>
      </c>
      <c r="MT12" s="137">
        <v>650</v>
      </c>
      <c r="MU12" s="138">
        <v>530</v>
      </c>
      <c r="MV12" s="139">
        <f t="shared" si="4"/>
        <v>7163</v>
      </c>
      <c r="MW12" s="121"/>
    </row>
    <row r="13" spans="1:361" s="58" customFormat="1" ht="18.75">
      <c r="A13" s="126" t="s">
        <v>180</v>
      </c>
      <c r="B13" s="46">
        <v>0</v>
      </c>
      <c r="C13" s="20">
        <v>0</v>
      </c>
      <c r="D13" s="20">
        <v>200</v>
      </c>
      <c r="E13" s="20">
        <v>0</v>
      </c>
      <c r="F13" s="20">
        <v>0</v>
      </c>
      <c r="G13" s="47">
        <v>0</v>
      </c>
      <c r="H13" s="48"/>
      <c r="I13" s="46"/>
      <c r="J13" s="20"/>
      <c r="K13" s="20">
        <v>100</v>
      </c>
      <c r="L13" s="20"/>
      <c r="M13" s="20"/>
      <c r="N13" s="47"/>
      <c r="O13" s="49">
        <f t="shared" si="0"/>
        <v>100</v>
      </c>
      <c r="P13" s="46"/>
      <c r="Q13" s="20"/>
      <c r="R13" s="20">
        <v>160</v>
      </c>
      <c r="S13" s="20"/>
      <c r="T13" s="20"/>
      <c r="U13" s="47"/>
      <c r="V13" s="49">
        <f t="shared" si="1"/>
        <v>160</v>
      </c>
      <c r="W13" s="46"/>
      <c r="X13" s="20"/>
      <c r="Y13" s="20">
        <v>150</v>
      </c>
      <c r="Z13" s="20"/>
      <c r="AA13" s="20"/>
      <c r="AB13" s="47"/>
      <c r="AC13" s="49"/>
      <c r="AD13" s="46"/>
      <c r="AE13" s="20"/>
      <c r="AF13" s="20">
        <v>166</v>
      </c>
      <c r="AG13" s="20"/>
      <c r="AH13" s="20"/>
      <c r="AI13" s="47"/>
      <c r="AJ13" s="49"/>
      <c r="AK13" s="46"/>
      <c r="AL13" s="20"/>
      <c r="AM13" s="20">
        <v>150</v>
      </c>
      <c r="AN13" s="20"/>
      <c r="AO13" s="20"/>
      <c r="AP13" s="47"/>
      <c r="AQ13" s="49"/>
      <c r="AR13" s="20"/>
      <c r="AS13" s="20"/>
      <c r="AT13" s="20"/>
      <c r="AU13" s="20">
        <v>194</v>
      </c>
      <c r="AV13" s="20"/>
      <c r="AW13" s="20"/>
      <c r="AX13" s="20"/>
      <c r="AY13" s="49"/>
      <c r="AZ13" s="20">
        <v>250</v>
      </c>
      <c r="BA13" s="20"/>
      <c r="BB13" s="20"/>
      <c r="BC13" s="20">
        <v>186</v>
      </c>
      <c r="BD13" s="20"/>
      <c r="BE13" s="20"/>
      <c r="BF13" s="20"/>
      <c r="BG13" s="49"/>
      <c r="BH13" s="51">
        <v>150</v>
      </c>
      <c r="BI13" s="52"/>
      <c r="BJ13" s="20">
        <v>150</v>
      </c>
      <c r="BK13" s="20"/>
      <c r="BL13" s="20"/>
      <c r="BM13" s="20"/>
      <c r="BN13" s="20"/>
      <c r="BO13" s="49">
        <v>150</v>
      </c>
      <c r="BP13" s="51">
        <v>200</v>
      </c>
      <c r="BQ13" s="46">
        <v>0</v>
      </c>
      <c r="BR13" s="20">
        <v>0</v>
      </c>
      <c r="BS13" s="20">
        <v>200</v>
      </c>
      <c r="BT13" s="20">
        <v>0</v>
      </c>
      <c r="BU13" s="20">
        <v>0</v>
      </c>
      <c r="BV13" s="47">
        <v>0</v>
      </c>
      <c r="BW13" s="48"/>
      <c r="BX13" s="46"/>
      <c r="BY13" s="20"/>
      <c r="BZ13" s="20">
        <v>100</v>
      </c>
      <c r="CA13" s="20"/>
      <c r="CB13" s="20"/>
      <c r="CC13" s="47"/>
      <c r="CD13" s="49">
        <f t="shared" si="2"/>
        <v>100</v>
      </c>
      <c r="CE13" s="46"/>
      <c r="CF13" s="20"/>
      <c r="CG13" s="20">
        <v>160</v>
      </c>
      <c r="CH13" s="20"/>
      <c r="CI13" s="20"/>
      <c r="CJ13" s="47"/>
      <c r="CK13" s="49">
        <f t="shared" si="3"/>
        <v>160</v>
      </c>
      <c r="CL13" s="46"/>
      <c r="CM13" s="20"/>
      <c r="CN13" s="20">
        <v>150</v>
      </c>
      <c r="CO13" s="20"/>
      <c r="CP13" s="20"/>
      <c r="CQ13" s="47"/>
      <c r="CR13" s="49"/>
      <c r="CS13" s="46"/>
      <c r="CT13" s="20"/>
      <c r="CU13" s="20">
        <v>166</v>
      </c>
      <c r="CV13" s="20"/>
      <c r="CW13" s="20"/>
      <c r="CX13" s="47"/>
      <c r="CY13" s="49"/>
      <c r="CZ13" s="46"/>
      <c r="DA13" s="20"/>
      <c r="DB13" s="20">
        <v>150</v>
      </c>
      <c r="DC13" s="20"/>
      <c r="DD13" s="20"/>
      <c r="DE13" s="47"/>
      <c r="DF13" s="49"/>
      <c r="DG13" s="20"/>
      <c r="DH13" s="20"/>
      <c r="DI13" s="20"/>
      <c r="DJ13" s="20">
        <v>194</v>
      </c>
      <c r="DK13" s="20"/>
      <c r="DL13" s="20"/>
      <c r="DM13" s="20"/>
      <c r="DN13" s="49"/>
      <c r="DO13" s="20">
        <v>250</v>
      </c>
      <c r="DP13" s="20"/>
      <c r="DQ13" s="20"/>
      <c r="DR13" s="20">
        <v>186</v>
      </c>
      <c r="DS13" s="20"/>
      <c r="DT13" s="20"/>
      <c r="DU13" s="20"/>
      <c r="DV13" s="49"/>
      <c r="DW13" s="52"/>
      <c r="DX13" s="20"/>
      <c r="DY13" s="20">
        <v>140</v>
      </c>
      <c r="DZ13" s="20"/>
      <c r="EA13" s="20"/>
      <c r="EB13" s="20"/>
      <c r="EC13" s="70">
        <v>140</v>
      </c>
      <c r="ED13" s="51">
        <v>150</v>
      </c>
      <c r="EE13" s="52"/>
      <c r="EF13" s="20"/>
      <c r="EG13" s="20"/>
      <c r="EH13" s="20"/>
      <c r="EI13" s="20"/>
      <c r="EJ13" s="20"/>
      <c r="EK13" s="70"/>
      <c r="EL13" s="51"/>
      <c r="EM13" s="52"/>
      <c r="EN13" s="20"/>
      <c r="EO13" s="20">
        <v>200</v>
      </c>
      <c r="EP13" s="20"/>
      <c r="EQ13" s="20"/>
      <c r="ER13" s="20"/>
      <c r="ES13" s="70">
        <v>200</v>
      </c>
      <c r="ET13" s="57">
        <v>200</v>
      </c>
      <c r="EU13" s="52"/>
      <c r="EV13" s="20"/>
      <c r="EW13" s="20">
        <v>100</v>
      </c>
      <c r="EX13" s="20"/>
      <c r="EY13" s="20"/>
      <c r="EZ13" s="20"/>
      <c r="FA13" s="70">
        <v>100</v>
      </c>
      <c r="FB13" s="57">
        <v>150</v>
      </c>
      <c r="FC13" s="52"/>
      <c r="FD13" s="20"/>
      <c r="FE13" s="20">
        <v>130</v>
      </c>
      <c r="FF13" s="20"/>
      <c r="FG13" s="20"/>
      <c r="FH13" s="20"/>
      <c r="FI13" s="70">
        <v>130</v>
      </c>
      <c r="FJ13" s="57">
        <v>150</v>
      </c>
      <c r="FK13" s="52"/>
      <c r="FL13" s="20"/>
      <c r="FM13" s="20">
        <v>100</v>
      </c>
      <c r="FN13" s="20"/>
      <c r="FO13" s="20"/>
      <c r="FP13" s="20"/>
      <c r="FQ13" s="70">
        <v>100</v>
      </c>
      <c r="FR13" s="57">
        <v>150</v>
      </c>
      <c r="FS13" s="52"/>
      <c r="FT13" s="20"/>
      <c r="FU13" s="20">
        <v>100</v>
      </c>
      <c r="FV13" s="20"/>
      <c r="FW13" s="20"/>
      <c r="FX13" s="20"/>
      <c r="FY13" s="70">
        <v>100</v>
      </c>
      <c r="FZ13" s="57">
        <v>120</v>
      </c>
      <c r="GA13" s="20"/>
      <c r="GB13" s="20"/>
      <c r="GC13" s="20">
        <v>100</v>
      </c>
      <c r="GD13" s="20"/>
      <c r="GE13" s="20"/>
      <c r="GF13" s="20"/>
      <c r="GG13" s="20">
        <v>100</v>
      </c>
      <c r="GH13" s="20">
        <v>130</v>
      </c>
      <c r="GI13" s="20"/>
      <c r="GJ13" s="20"/>
      <c r="GK13" s="20">
        <v>137</v>
      </c>
      <c r="GL13" s="20"/>
      <c r="GM13" s="20"/>
      <c r="GN13" s="20"/>
      <c r="GO13" s="20">
        <v>137</v>
      </c>
      <c r="GP13" s="20">
        <v>150</v>
      </c>
      <c r="GQ13" s="20"/>
      <c r="GR13" s="20"/>
      <c r="GS13" s="20"/>
      <c r="GT13" s="20">
        <v>100</v>
      </c>
      <c r="GU13" s="20"/>
      <c r="GV13" s="56"/>
      <c r="GW13" s="57">
        <v>100</v>
      </c>
      <c r="GX13" s="57">
        <v>120</v>
      </c>
      <c r="GY13" s="20"/>
      <c r="GZ13" s="20"/>
      <c r="HA13" s="20">
        <v>75</v>
      </c>
      <c r="HB13" s="20"/>
      <c r="HC13" s="20"/>
      <c r="HD13" s="56"/>
      <c r="HE13" s="57">
        <v>75</v>
      </c>
      <c r="HF13" s="57">
        <v>100</v>
      </c>
      <c r="HG13" s="20"/>
      <c r="HH13" s="20"/>
      <c r="HI13" s="20">
        <v>35</v>
      </c>
      <c r="HJ13" s="20"/>
      <c r="HK13" s="20"/>
      <c r="HL13" s="20"/>
      <c r="HM13" s="20">
        <v>35</v>
      </c>
      <c r="HN13" s="20">
        <v>50</v>
      </c>
      <c r="HO13" s="20"/>
      <c r="HP13" s="20"/>
      <c r="HQ13" s="20">
        <v>42</v>
      </c>
      <c r="HR13" s="20"/>
      <c r="HS13" s="20"/>
      <c r="HT13" s="20"/>
      <c r="HU13" s="20">
        <v>42</v>
      </c>
      <c r="HV13" s="20">
        <v>80</v>
      </c>
      <c r="HW13" s="20"/>
      <c r="HX13" s="20"/>
      <c r="HY13" s="20">
        <v>20</v>
      </c>
      <c r="HZ13" s="20"/>
      <c r="IA13" s="20"/>
      <c r="IB13" s="20"/>
      <c r="IC13" s="20">
        <v>20</v>
      </c>
      <c r="ID13" s="20">
        <v>50</v>
      </c>
      <c r="IE13" s="20"/>
      <c r="IF13" s="20"/>
      <c r="IG13" s="20">
        <v>70</v>
      </c>
      <c r="IH13" s="20"/>
      <c r="II13" s="20"/>
      <c r="IJ13" s="20"/>
      <c r="IK13" s="20">
        <v>70</v>
      </c>
      <c r="IL13" s="20">
        <v>50</v>
      </c>
      <c r="IM13" s="20"/>
      <c r="IN13" s="20"/>
      <c r="IO13" s="20">
        <v>139</v>
      </c>
      <c r="IP13" s="20"/>
      <c r="IQ13" s="20"/>
      <c r="IR13" s="20"/>
      <c r="IS13" s="69">
        <v>139</v>
      </c>
      <c r="IT13" s="20">
        <v>150</v>
      </c>
      <c r="IU13" s="20"/>
      <c r="IV13" s="20">
        <v>20</v>
      </c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>
        <v>158</v>
      </c>
      <c r="KB13" s="20"/>
      <c r="KC13" s="20"/>
      <c r="KD13" s="20"/>
      <c r="KE13" s="69">
        <v>178</v>
      </c>
      <c r="KF13" s="20">
        <v>235</v>
      </c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>
        <v>180</v>
      </c>
      <c r="LN13" s="20"/>
      <c r="LO13" s="20"/>
      <c r="LP13" s="20"/>
      <c r="LQ13" s="136">
        <v>210</v>
      </c>
      <c r="LR13" s="136">
        <v>150</v>
      </c>
      <c r="LS13" s="136">
        <v>310</v>
      </c>
      <c r="LT13" s="136">
        <v>274</v>
      </c>
      <c r="LU13" s="136">
        <v>250</v>
      </c>
      <c r="LV13" s="136">
        <v>135</v>
      </c>
      <c r="LW13" s="136">
        <v>200</v>
      </c>
      <c r="LX13" s="136">
        <v>200</v>
      </c>
      <c r="LY13" s="136">
        <v>100</v>
      </c>
      <c r="LZ13" s="136">
        <v>140</v>
      </c>
      <c r="MA13" s="136">
        <v>142</v>
      </c>
      <c r="MB13" s="136">
        <v>150</v>
      </c>
      <c r="MC13" s="137">
        <v>150</v>
      </c>
      <c r="MD13" s="137">
        <v>80</v>
      </c>
      <c r="ME13" s="136">
        <v>22</v>
      </c>
      <c r="MF13" s="137">
        <v>111</v>
      </c>
      <c r="MG13" s="137">
        <v>35</v>
      </c>
      <c r="MH13" s="137">
        <v>198</v>
      </c>
      <c r="MI13" s="137">
        <v>150</v>
      </c>
      <c r="MJ13" s="137">
        <v>187</v>
      </c>
      <c r="MK13" s="137">
        <v>220</v>
      </c>
      <c r="ML13" s="137">
        <v>350</v>
      </c>
      <c r="MM13" s="137">
        <v>150</v>
      </c>
      <c r="MN13" s="137">
        <v>436</v>
      </c>
      <c r="MO13" s="137">
        <v>430</v>
      </c>
      <c r="MP13" s="137">
        <v>1050</v>
      </c>
      <c r="MQ13" s="1">
        <v>630</v>
      </c>
      <c r="MR13" s="137">
        <v>500</v>
      </c>
      <c r="MS13" s="1">
        <v>842</v>
      </c>
      <c r="MT13" s="137">
        <v>1050</v>
      </c>
      <c r="MU13" s="138">
        <v>0</v>
      </c>
      <c r="MV13" s="139">
        <f t="shared" si="4"/>
        <v>8852</v>
      </c>
      <c r="MW13" s="121"/>
    </row>
    <row r="14" spans="1:361" s="58" customFormat="1" ht="18.75">
      <c r="A14" s="126" t="s">
        <v>181</v>
      </c>
      <c r="B14" s="46">
        <v>0</v>
      </c>
      <c r="C14" s="20">
        <v>0</v>
      </c>
      <c r="D14" s="20">
        <v>0</v>
      </c>
      <c r="E14" s="20">
        <v>450</v>
      </c>
      <c r="F14" s="20">
        <v>0</v>
      </c>
      <c r="G14" s="47">
        <v>0</v>
      </c>
      <c r="H14" s="48"/>
      <c r="I14" s="46"/>
      <c r="J14" s="20"/>
      <c r="K14" s="20"/>
      <c r="L14" s="20">
        <v>474</v>
      </c>
      <c r="M14" s="20"/>
      <c r="N14" s="47"/>
      <c r="O14" s="49">
        <f t="shared" si="0"/>
        <v>474</v>
      </c>
      <c r="P14" s="46"/>
      <c r="Q14" s="20"/>
      <c r="R14" s="20"/>
      <c r="S14" s="20">
        <v>697</v>
      </c>
      <c r="T14" s="20"/>
      <c r="U14" s="47"/>
      <c r="V14" s="49">
        <f t="shared" si="1"/>
        <v>697</v>
      </c>
      <c r="W14" s="46"/>
      <c r="X14" s="20"/>
      <c r="Y14" s="20"/>
      <c r="Z14" s="20">
        <v>1064</v>
      </c>
      <c r="AA14" s="20"/>
      <c r="AB14" s="47"/>
      <c r="AC14" s="49"/>
      <c r="AD14" s="46"/>
      <c r="AE14" s="20"/>
      <c r="AF14" s="20"/>
      <c r="AG14" s="20">
        <v>837</v>
      </c>
      <c r="AH14" s="20"/>
      <c r="AI14" s="47"/>
      <c r="AJ14" s="49"/>
      <c r="AK14" s="46"/>
      <c r="AL14" s="20"/>
      <c r="AM14" s="20"/>
      <c r="AN14" s="20">
        <v>924</v>
      </c>
      <c r="AO14" s="20"/>
      <c r="AP14" s="47"/>
      <c r="AQ14" s="49"/>
      <c r="AR14" s="20"/>
      <c r="AS14" s="20"/>
      <c r="AT14" s="20"/>
      <c r="AU14" s="20"/>
      <c r="AV14" s="20">
        <v>850</v>
      </c>
      <c r="AW14" s="20"/>
      <c r="AX14" s="20"/>
      <c r="AY14" s="49"/>
      <c r="AZ14" s="20">
        <v>600</v>
      </c>
      <c r="BA14" s="20"/>
      <c r="BB14" s="20"/>
      <c r="BC14" s="20"/>
      <c r="BD14" s="20">
        <v>750</v>
      </c>
      <c r="BE14" s="20"/>
      <c r="BF14" s="20"/>
      <c r="BG14" s="49"/>
      <c r="BH14" s="51">
        <v>800</v>
      </c>
      <c r="BI14" s="52"/>
      <c r="BJ14" s="20"/>
      <c r="BK14" s="20"/>
      <c r="BL14" s="20">
        <v>1050</v>
      </c>
      <c r="BM14" s="20"/>
      <c r="BN14" s="20"/>
      <c r="BO14" s="49">
        <v>1050</v>
      </c>
      <c r="BP14" s="51">
        <v>1000</v>
      </c>
      <c r="BQ14" s="46">
        <v>0</v>
      </c>
      <c r="BR14" s="20">
        <v>0</v>
      </c>
      <c r="BS14" s="20">
        <v>0</v>
      </c>
      <c r="BT14" s="20">
        <v>450</v>
      </c>
      <c r="BU14" s="20">
        <v>0</v>
      </c>
      <c r="BV14" s="47">
        <v>0</v>
      </c>
      <c r="BW14" s="48"/>
      <c r="BX14" s="46"/>
      <c r="BY14" s="20"/>
      <c r="BZ14" s="20"/>
      <c r="CA14" s="20">
        <v>474</v>
      </c>
      <c r="CB14" s="20"/>
      <c r="CC14" s="47"/>
      <c r="CD14" s="49">
        <f t="shared" si="2"/>
        <v>474</v>
      </c>
      <c r="CE14" s="46"/>
      <c r="CF14" s="20"/>
      <c r="CG14" s="20"/>
      <c r="CH14" s="20">
        <v>697</v>
      </c>
      <c r="CI14" s="20"/>
      <c r="CJ14" s="47"/>
      <c r="CK14" s="49">
        <f t="shared" si="3"/>
        <v>697</v>
      </c>
      <c r="CL14" s="46"/>
      <c r="CM14" s="20"/>
      <c r="CN14" s="20"/>
      <c r="CO14" s="20">
        <v>1064</v>
      </c>
      <c r="CP14" s="20"/>
      <c r="CQ14" s="47"/>
      <c r="CR14" s="49"/>
      <c r="CS14" s="46"/>
      <c r="CT14" s="20"/>
      <c r="CU14" s="20"/>
      <c r="CV14" s="20">
        <v>837</v>
      </c>
      <c r="CW14" s="20"/>
      <c r="CX14" s="47"/>
      <c r="CY14" s="49"/>
      <c r="CZ14" s="46"/>
      <c r="DA14" s="20"/>
      <c r="DB14" s="20"/>
      <c r="DC14" s="20">
        <v>924</v>
      </c>
      <c r="DD14" s="20"/>
      <c r="DE14" s="47"/>
      <c r="DF14" s="49"/>
      <c r="DG14" s="20"/>
      <c r="DH14" s="20"/>
      <c r="DI14" s="20"/>
      <c r="DJ14" s="20"/>
      <c r="DK14" s="20">
        <v>850</v>
      </c>
      <c r="DL14" s="20"/>
      <c r="DM14" s="20"/>
      <c r="DN14" s="49"/>
      <c r="DO14" s="20">
        <v>600</v>
      </c>
      <c r="DP14" s="20"/>
      <c r="DQ14" s="20"/>
      <c r="DR14" s="20"/>
      <c r="DS14" s="20">
        <v>750</v>
      </c>
      <c r="DT14" s="20"/>
      <c r="DU14" s="20"/>
      <c r="DV14" s="49"/>
      <c r="DW14" s="52"/>
      <c r="DX14" s="20"/>
      <c r="DY14" s="20"/>
      <c r="DZ14" s="20">
        <v>742</v>
      </c>
      <c r="EA14" s="20"/>
      <c r="EB14" s="20"/>
      <c r="EC14" s="70">
        <v>742</v>
      </c>
      <c r="ED14" s="51">
        <v>900</v>
      </c>
      <c r="EE14" s="52"/>
      <c r="EF14" s="20"/>
      <c r="EG14" s="20"/>
      <c r="EH14" s="20">
        <v>250</v>
      </c>
      <c r="EI14" s="20"/>
      <c r="EJ14" s="20"/>
      <c r="EK14" s="70"/>
      <c r="EL14" s="51"/>
      <c r="EM14" s="52"/>
      <c r="EN14" s="20"/>
      <c r="EO14" s="20"/>
      <c r="EP14" s="20">
        <v>810</v>
      </c>
      <c r="EQ14" s="20"/>
      <c r="ER14" s="20"/>
      <c r="ES14" s="70">
        <v>810</v>
      </c>
      <c r="ET14" s="57">
        <v>800</v>
      </c>
      <c r="EU14" s="52"/>
      <c r="EV14" s="20"/>
      <c r="EW14" s="20"/>
      <c r="EX14" s="20">
        <v>600</v>
      </c>
      <c r="EY14" s="20"/>
      <c r="EZ14" s="20"/>
      <c r="FA14" s="70">
        <v>600</v>
      </c>
      <c r="FB14" s="57">
        <v>600</v>
      </c>
      <c r="FC14" s="52"/>
      <c r="FD14" s="20"/>
      <c r="FE14" s="20"/>
      <c r="FF14" s="20">
        <v>600</v>
      </c>
      <c r="FG14" s="20"/>
      <c r="FH14" s="20"/>
      <c r="FI14" s="70">
        <v>600</v>
      </c>
      <c r="FJ14" s="57">
        <v>600</v>
      </c>
      <c r="FK14" s="52"/>
      <c r="FL14" s="20"/>
      <c r="FM14" s="20"/>
      <c r="FN14" s="20">
        <v>900</v>
      </c>
      <c r="FO14" s="20"/>
      <c r="FP14" s="20"/>
      <c r="FQ14" s="70">
        <v>900</v>
      </c>
      <c r="FR14" s="57">
        <v>1000</v>
      </c>
      <c r="FS14" s="52"/>
      <c r="FT14" s="20"/>
      <c r="FU14" s="20"/>
      <c r="FV14" s="20">
        <v>1518</v>
      </c>
      <c r="FW14" s="20"/>
      <c r="FX14" s="20"/>
      <c r="FY14" s="70">
        <v>1518</v>
      </c>
      <c r="FZ14" s="57">
        <v>1200</v>
      </c>
      <c r="GA14" s="20"/>
      <c r="GB14" s="20"/>
      <c r="GC14" s="20"/>
      <c r="GD14" s="20">
        <v>1315</v>
      </c>
      <c r="GE14" s="20"/>
      <c r="GF14" s="20"/>
      <c r="GG14" s="20">
        <v>1315</v>
      </c>
      <c r="GH14" s="20">
        <v>1200</v>
      </c>
      <c r="GI14" s="20"/>
      <c r="GJ14" s="20"/>
      <c r="GK14" s="20"/>
      <c r="GL14" s="20">
        <v>1100</v>
      </c>
      <c r="GM14" s="20"/>
      <c r="GN14" s="20"/>
      <c r="GO14" s="20">
        <v>1100</v>
      </c>
      <c r="GP14" s="20">
        <v>1200</v>
      </c>
      <c r="GQ14" s="20"/>
      <c r="GR14" s="20"/>
      <c r="GS14" s="20"/>
      <c r="GT14" s="20">
        <v>700</v>
      </c>
      <c r="GU14" s="20"/>
      <c r="GV14" s="56"/>
      <c r="GW14" s="57">
        <v>700</v>
      </c>
      <c r="GX14" s="57">
        <v>1000</v>
      </c>
      <c r="GY14" s="20"/>
      <c r="GZ14" s="20"/>
      <c r="HA14" s="20"/>
      <c r="HB14" s="20">
        <v>710</v>
      </c>
      <c r="HC14" s="20"/>
      <c r="HD14" s="56"/>
      <c r="HE14" s="57">
        <v>710</v>
      </c>
      <c r="HF14" s="57">
        <v>900</v>
      </c>
      <c r="HG14" s="20"/>
      <c r="HH14" s="20"/>
      <c r="HI14" s="20"/>
      <c r="HJ14" s="20">
        <v>950</v>
      </c>
      <c r="HK14" s="20"/>
      <c r="HL14" s="20"/>
      <c r="HM14" s="20">
        <v>950</v>
      </c>
      <c r="HN14" s="20">
        <v>800</v>
      </c>
      <c r="HO14" s="20"/>
      <c r="HP14" s="20"/>
      <c r="HQ14" s="20"/>
      <c r="HR14" s="20">
        <v>1128</v>
      </c>
      <c r="HS14" s="20"/>
      <c r="HT14" s="20"/>
      <c r="HU14" s="20">
        <v>1128</v>
      </c>
      <c r="HV14" s="20">
        <v>900</v>
      </c>
      <c r="HW14" s="20"/>
      <c r="HX14" s="20"/>
      <c r="HY14" s="20"/>
      <c r="HZ14" s="20">
        <v>1875</v>
      </c>
      <c r="IA14" s="20"/>
      <c r="IB14" s="20"/>
      <c r="IC14" s="20">
        <v>1875</v>
      </c>
      <c r="ID14" s="20">
        <v>1800</v>
      </c>
      <c r="IE14" s="20"/>
      <c r="IF14" s="20"/>
      <c r="IG14" s="20"/>
      <c r="IH14" s="20">
        <v>1500</v>
      </c>
      <c r="II14" s="20"/>
      <c r="IJ14" s="20"/>
      <c r="IK14" s="20">
        <v>1500</v>
      </c>
      <c r="IL14" s="20">
        <v>1500</v>
      </c>
      <c r="IM14" s="20"/>
      <c r="IN14" s="20"/>
      <c r="IO14" s="20"/>
      <c r="IP14" s="20">
        <v>1620</v>
      </c>
      <c r="IQ14" s="20"/>
      <c r="IR14" s="20"/>
      <c r="IS14" s="69">
        <v>1620</v>
      </c>
      <c r="IT14" s="20">
        <v>1500</v>
      </c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>
        <v>810</v>
      </c>
      <c r="KC14" s="20"/>
      <c r="KD14" s="20"/>
      <c r="KE14" s="69">
        <v>810</v>
      </c>
      <c r="KF14" s="20">
        <v>800</v>
      </c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>
        <v>800</v>
      </c>
      <c r="LO14" s="20"/>
      <c r="LP14" s="20"/>
      <c r="LQ14" s="136">
        <v>944</v>
      </c>
      <c r="LR14" s="136">
        <v>1100</v>
      </c>
      <c r="LS14" s="136">
        <v>600</v>
      </c>
      <c r="LT14" s="136">
        <v>640</v>
      </c>
      <c r="LU14" s="136">
        <v>700</v>
      </c>
      <c r="LV14" s="136">
        <v>340</v>
      </c>
      <c r="LW14" s="136">
        <v>625</v>
      </c>
      <c r="LX14" s="136">
        <v>476</v>
      </c>
      <c r="LY14" s="136">
        <v>630</v>
      </c>
      <c r="LZ14" s="136">
        <v>363</v>
      </c>
      <c r="MA14" s="136">
        <v>150</v>
      </c>
      <c r="MB14" s="136">
        <v>250</v>
      </c>
      <c r="MC14" s="137">
        <v>150</v>
      </c>
      <c r="MD14" s="137">
        <v>260</v>
      </c>
      <c r="ME14" s="136">
        <v>186</v>
      </c>
      <c r="MF14" s="137">
        <v>400</v>
      </c>
      <c r="MG14" s="137">
        <v>355</v>
      </c>
      <c r="MH14" s="137">
        <v>250</v>
      </c>
      <c r="MI14" s="137">
        <v>700</v>
      </c>
      <c r="MJ14" s="137">
        <v>900</v>
      </c>
      <c r="MK14" s="137">
        <v>750</v>
      </c>
      <c r="ML14" s="137">
        <v>1620</v>
      </c>
      <c r="MM14" s="137">
        <v>1200</v>
      </c>
      <c r="MN14" s="137">
        <v>516</v>
      </c>
      <c r="MO14" s="137">
        <v>650</v>
      </c>
      <c r="MP14" s="137">
        <v>400</v>
      </c>
      <c r="MQ14" s="1">
        <v>450</v>
      </c>
      <c r="MR14" s="137">
        <v>360</v>
      </c>
      <c r="MS14" s="1">
        <v>562</v>
      </c>
      <c r="MT14" s="137">
        <v>550</v>
      </c>
      <c r="MU14" s="138">
        <v>417</v>
      </c>
      <c r="MV14" s="139">
        <f t="shared" si="4"/>
        <v>17494</v>
      </c>
      <c r="MW14" s="121"/>
    </row>
    <row r="15" spans="1:361" s="58" customFormat="1" ht="18.75">
      <c r="A15" s="126" t="s">
        <v>182</v>
      </c>
      <c r="B15" s="46">
        <v>0</v>
      </c>
      <c r="C15" s="20">
        <v>0</v>
      </c>
      <c r="D15" s="20">
        <v>0</v>
      </c>
      <c r="E15" s="20">
        <v>400</v>
      </c>
      <c r="F15" s="20">
        <v>0</v>
      </c>
      <c r="G15" s="47">
        <v>0</v>
      </c>
      <c r="H15" s="48"/>
      <c r="I15" s="46"/>
      <c r="J15" s="20"/>
      <c r="K15" s="20"/>
      <c r="L15" s="20">
        <v>350</v>
      </c>
      <c r="M15" s="20"/>
      <c r="N15" s="47"/>
      <c r="O15" s="49">
        <f t="shared" si="0"/>
        <v>350</v>
      </c>
      <c r="P15" s="46"/>
      <c r="Q15" s="20"/>
      <c r="R15" s="20"/>
      <c r="S15" s="20">
        <v>380</v>
      </c>
      <c r="T15" s="20"/>
      <c r="U15" s="47"/>
      <c r="V15" s="49">
        <f t="shared" si="1"/>
        <v>380</v>
      </c>
      <c r="W15" s="46"/>
      <c r="X15" s="20"/>
      <c r="Y15" s="20"/>
      <c r="Z15" s="20">
        <v>800</v>
      </c>
      <c r="AA15" s="20"/>
      <c r="AB15" s="47"/>
      <c r="AC15" s="49"/>
      <c r="AD15" s="46"/>
      <c r="AE15" s="20"/>
      <c r="AF15" s="20"/>
      <c r="AG15" s="20">
        <v>550</v>
      </c>
      <c r="AH15" s="20"/>
      <c r="AI15" s="47"/>
      <c r="AJ15" s="49"/>
      <c r="AK15" s="46"/>
      <c r="AL15" s="20"/>
      <c r="AM15" s="20"/>
      <c r="AN15" s="20">
        <v>380</v>
      </c>
      <c r="AO15" s="20"/>
      <c r="AP15" s="47"/>
      <c r="AQ15" s="49"/>
      <c r="AR15" s="20"/>
      <c r="AS15" s="20"/>
      <c r="AT15" s="20"/>
      <c r="AU15" s="20"/>
      <c r="AV15" s="20">
        <v>480</v>
      </c>
      <c r="AW15" s="20"/>
      <c r="AX15" s="20"/>
      <c r="AY15" s="49"/>
      <c r="AZ15" s="20">
        <v>350</v>
      </c>
      <c r="BA15" s="20"/>
      <c r="BB15" s="20"/>
      <c r="BC15" s="20"/>
      <c r="BD15" s="20">
        <v>450</v>
      </c>
      <c r="BE15" s="20"/>
      <c r="BF15" s="20"/>
      <c r="BG15" s="49"/>
      <c r="BH15" s="51">
        <v>400</v>
      </c>
      <c r="BI15" s="52"/>
      <c r="BJ15" s="20"/>
      <c r="BK15" s="20"/>
      <c r="BL15" s="20">
        <v>387</v>
      </c>
      <c r="BM15" s="20"/>
      <c r="BN15" s="20"/>
      <c r="BO15" s="49">
        <v>387</v>
      </c>
      <c r="BP15" s="51">
        <v>450</v>
      </c>
      <c r="BQ15" s="46">
        <v>0</v>
      </c>
      <c r="BR15" s="20">
        <v>0</v>
      </c>
      <c r="BS15" s="20">
        <v>0</v>
      </c>
      <c r="BT15" s="20">
        <v>400</v>
      </c>
      <c r="BU15" s="20">
        <v>0</v>
      </c>
      <c r="BV15" s="47">
        <v>0</v>
      </c>
      <c r="BW15" s="48"/>
      <c r="BX15" s="46"/>
      <c r="BY15" s="20"/>
      <c r="BZ15" s="20"/>
      <c r="CA15" s="20">
        <v>350</v>
      </c>
      <c r="CB15" s="20"/>
      <c r="CC15" s="47"/>
      <c r="CD15" s="49">
        <f t="shared" si="2"/>
        <v>350</v>
      </c>
      <c r="CE15" s="46"/>
      <c r="CF15" s="20"/>
      <c r="CG15" s="20"/>
      <c r="CH15" s="20">
        <v>380</v>
      </c>
      <c r="CI15" s="20"/>
      <c r="CJ15" s="47"/>
      <c r="CK15" s="49">
        <f t="shared" si="3"/>
        <v>380</v>
      </c>
      <c r="CL15" s="46"/>
      <c r="CM15" s="20"/>
      <c r="CN15" s="20"/>
      <c r="CO15" s="20">
        <v>800</v>
      </c>
      <c r="CP15" s="20"/>
      <c r="CQ15" s="47"/>
      <c r="CR15" s="49"/>
      <c r="CS15" s="46"/>
      <c r="CT15" s="20"/>
      <c r="CU15" s="20"/>
      <c r="CV15" s="20">
        <v>550</v>
      </c>
      <c r="CW15" s="20"/>
      <c r="CX15" s="47"/>
      <c r="CY15" s="49"/>
      <c r="CZ15" s="46"/>
      <c r="DA15" s="20"/>
      <c r="DB15" s="20"/>
      <c r="DC15" s="20">
        <v>380</v>
      </c>
      <c r="DD15" s="20"/>
      <c r="DE15" s="47"/>
      <c r="DF15" s="49"/>
      <c r="DG15" s="20"/>
      <c r="DH15" s="20"/>
      <c r="DI15" s="20"/>
      <c r="DJ15" s="20"/>
      <c r="DK15" s="20">
        <v>480</v>
      </c>
      <c r="DL15" s="20"/>
      <c r="DM15" s="20"/>
      <c r="DN15" s="49"/>
      <c r="DO15" s="20">
        <v>350</v>
      </c>
      <c r="DP15" s="20"/>
      <c r="DQ15" s="20"/>
      <c r="DR15" s="20"/>
      <c r="DS15" s="20">
        <v>450</v>
      </c>
      <c r="DT15" s="20"/>
      <c r="DU15" s="20"/>
      <c r="DV15" s="49"/>
      <c r="DW15" s="52"/>
      <c r="DX15" s="20"/>
      <c r="DY15" s="20"/>
      <c r="DZ15" s="20">
        <v>364</v>
      </c>
      <c r="EA15" s="20"/>
      <c r="EB15" s="20"/>
      <c r="EC15" s="70">
        <v>364</v>
      </c>
      <c r="ED15" s="51">
        <v>300</v>
      </c>
      <c r="EE15" s="52"/>
      <c r="EF15" s="20"/>
      <c r="EG15" s="20"/>
      <c r="EH15" s="20">
        <v>577</v>
      </c>
      <c r="EI15" s="20"/>
      <c r="EJ15" s="20"/>
      <c r="EK15" s="70"/>
      <c r="EL15" s="51"/>
      <c r="EM15" s="52"/>
      <c r="EN15" s="20"/>
      <c r="EO15" s="20"/>
      <c r="EP15" s="20">
        <v>472</v>
      </c>
      <c r="EQ15" s="20"/>
      <c r="ER15" s="20"/>
      <c r="ES15" s="70">
        <v>472</v>
      </c>
      <c r="ET15" s="57">
        <v>350</v>
      </c>
      <c r="EU15" s="52"/>
      <c r="EV15" s="20"/>
      <c r="EW15" s="20"/>
      <c r="EX15" s="20">
        <v>850</v>
      </c>
      <c r="EY15" s="20"/>
      <c r="EZ15" s="20"/>
      <c r="FA15" s="70">
        <v>850</v>
      </c>
      <c r="FB15" s="57">
        <v>700</v>
      </c>
      <c r="FC15" s="52"/>
      <c r="FD15" s="20"/>
      <c r="FE15" s="20"/>
      <c r="FF15" s="20">
        <v>510</v>
      </c>
      <c r="FG15" s="20"/>
      <c r="FH15" s="20"/>
      <c r="FI15" s="70">
        <v>510</v>
      </c>
      <c r="FJ15" s="57">
        <v>500</v>
      </c>
      <c r="FK15" s="52"/>
      <c r="FL15" s="20"/>
      <c r="FM15" s="20"/>
      <c r="FN15" s="20">
        <v>850</v>
      </c>
      <c r="FO15" s="20"/>
      <c r="FP15" s="20"/>
      <c r="FQ15" s="70">
        <v>850</v>
      </c>
      <c r="FR15" s="57">
        <v>600</v>
      </c>
      <c r="FS15" s="52"/>
      <c r="FT15" s="20"/>
      <c r="FU15" s="20"/>
      <c r="FV15" s="20">
        <v>850</v>
      </c>
      <c r="FW15" s="20"/>
      <c r="FX15" s="20"/>
      <c r="FY15" s="70">
        <v>850</v>
      </c>
      <c r="FZ15" s="57">
        <v>650</v>
      </c>
      <c r="GA15" s="20"/>
      <c r="GB15" s="20"/>
      <c r="GC15" s="20"/>
      <c r="GD15" s="20">
        <v>1014</v>
      </c>
      <c r="GE15" s="20"/>
      <c r="GF15" s="20"/>
      <c r="GG15" s="20">
        <v>1014</v>
      </c>
      <c r="GH15" s="20">
        <v>850</v>
      </c>
      <c r="GI15" s="20"/>
      <c r="GJ15" s="20"/>
      <c r="GK15" s="20"/>
      <c r="GL15" s="20">
        <v>893</v>
      </c>
      <c r="GM15" s="20"/>
      <c r="GN15" s="20"/>
      <c r="GO15" s="20">
        <v>893</v>
      </c>
      <c r="GP15" s="20">
        <v>1000</v>
      </c>
      <c r="GQ15" s="20"/>
      <c r="GR15" s="20"/>
      <c r="GS15" s="20"/>
      <c r="GT15" s="20">
        <v>1050</v>
      </c>
      <c r="GU15" s="20"/>
      <c r="GV15" s="56"/>
      <c r="GW15" s="57">
        <v>1050</v>
      </c>
      <c r="GX15" s="57">
        <v>1200</v>
      </c>
      <c r="GY15" s="20"/>
      <c r="GZ15" s="20"/>
      <c r="HA15" s="20"/>
      <c r="HB15" s="20">
        <v>1300</v>
      </c>
      <c r="HC15" s="20"/>
      <c r="HD15" s="56"/>
      <c r="HE15" s="57">
        <v>1300</v>
      </c>
      <c r="HF15" s="57">
        <v>1000</v>
      </c>
      <c r="HG15" s="20"/>
      <c r="HH15" s="20"/>
      <c r="HI15" s="20"/>
      <c r="HJ15" s="20">
        <v>1300</v>
      </c>
      <c r="HK15" s="20"/>
      <c r="HL15" s="20"/>
      <c r="HM15" s="20">
        <v>1300</v>
      </c>
      <c r="HN15" s="20">
        <v>1400</v>
      </c>
      <c r="HO15" s="20"/>
      <c r="HP15" s="20"/>
      <c r="HQ15" s="20"/>
      <c r="HR15" s="20">
        <v>1650</v>
      </c>
      <c r="HS15" s="20"/>
      <c r="HT15" s="20"/>
      <c r="HU15" s="20">
        <v>1650</v>
      </c>
      <c r="HV15" s="20">
        <v>1000</v>
      </c>
      <c r="HW15" s="20"/>
      <c r="HX15" s="20"/>
      <c r="HY15" s="20"/>
      <c r="HZ15" s="20">
        <v>1450</v>
      </c>
      <c r="IA15" s="20"/>
      <c r="IB15" s="20"/>
      <c r="IC15" s="20">
        <v>1450</v>
      </c>
      <c r="ID15" s="20">
        <v>2000</v>
      </c>
      <c r="IE15" s="20"/>
      <c r="IF15" s="20"/>
      <c r="IG15" s="20"/>
      <c r="IH15" s="20">
        <v>2020</v>
      </c>
      <c r="II15" s="20"/>
      <c r="IJ15" s="20"/>
      <c r="IK15" s="20">
        <v>2020</v>
      </c>
      <c r="IL15" s="20">
        <v>1500</v>
      </c>
      <c r="IM15" s="20"/>
      <c r="IN15" s="20"/>
      <c r="IO15" s="20"/>
      <c r="IP15" s="20">
        <v>4673</v>
      </c>
      <c r="IQ15" s="20"/>
      <c r="IR15" s="20"/>
      <c r="IS15" s="69">
        <v>4673</v>
      </c>
      <c r="IT15" s="20">
        <v>2700</v>
      </c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>
        <v>2672</v>
      </c>
      <c r="KC15" s="20"/>
      <c r="KD15" s="20"/>
      <c r="KE15" s="69">
        <v>2672</v>
      </c>
      <c r="KF15" s="20">
        <v>2500</v>
      </c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>
        <v>2150</v>
      </c>
      <c r="LO15" s="20"/>
      <c r="LP15" s="20"/>
      <c r="LQ15" s="136">
        <v>1650</v>
      </c>
      <c r="LR15" s="136">
        <v>2100</v>
      </c>
      <c r="LS15" s="136">
        <v>1420</v>
      </c>
      <c r="LT15" s="136">
        <v>1100</v>
      </c>
      <c r="LU15" s="136">
        <v>1350</v>
      </c>
      <c r="LV15" s="136">
        <v>975</v>
      </c>
      <c r="LW15" s="136">
        <v>950</v>
      </c>
      <c r="LX15" s="136">
        <v>938</v>
      </c>
      <c r="LY15" s="136">
        <v>938</v>
      </c>
      <c r="LZ15" s="136">
        <v>350</v>
      </c>
      <c r="MA15" s="136">
        <v>450</v>
      </c>
      <c r="MB15" s="136">
        <v>490</v>
      </c>
      <c r="MC15" s="137">
        <v>657</v>
      </c>
      <c r="MD15" s="137">
        <v>190</v>
      </c>
      <c r="ME15" s="136">
        <v>339</v>
      </c>
      <c r="MF15" s="137">
        <v>510</v>
      </c>
      <c r="MG15" s="137">
        <v>402</v>
      </c>
      <c r="MH15" s="137">
        <v>550</v>
      </c>
      <c r="MI15" s="137">
        <v>1250</v>
      </c>
      <c r="MJ15" s="137">
        <v>1034</v>
      </c>
      <c r="MK15" s="137">
        <v>850</v>
      </c>
      <c r="ML15" s="137">
        <v>850</v>
      </c>
      <c r="MM15" s="137">
        <v>1321</v>
      </c>
      <c r="MN15" s="137">
        <v>740</v>
      </c>
      <c r="MO15" s="137">
        <v>1300</v>
      </c>
      <c r="MP15" s="137">
        <v>2180</v>
      </c>
      <c r="MQ15" s="1">
        <v>3000</v>
      </c>
      <c r="MR15" s="137">
        <v>900</v>
      </c>
      <c r="MS15" s="1">
        <v>350</v>
      </c>
      <c r="MT15" s="137">
        <v>3600</v>
      </c>
      <c r="MU15" s="138">
        <v>1260</v>
      </c>
      <c r="MV15" s="139">
        <f t="shared" si="4"/>
        <v>33994</v>
      </c>
      <c r="MW15" s="121"/>
    </row>
    <row r="16" spans="1:361" s="58" customFormat="1" ht="18.75">
      <c r="A16" s="126" t="s">
        <v>183</v>
      </c>
      <c r="B16" s="46">
        <v>0</v>
      </c>
      <c r="C16" s="20">
        <v>0</v>
      </c>
      <c r="D16" s="20">
        <v>0</v>
      </c>
      <c r="E16" s="20">
        <v>189</v>
      </c>
      <c r="F16" s="20">
        <v>50</v>
      </c>
      <c r="G16" s="47">
        <v>0</v>
      </c>
      <c r="H16" s="48"/>
      <c r="I16" s="46"/>
      <c r="J16" s="20"/>
      <c r="K16" s="20"/>
      <c r="L16" s="20">
        <v>168</v>
      </c>
      <c r="M16" s="20">
        <v>76</v>
      </c>
      <c r="N16" s="47"/>
      <c r="O16" s="49">
        <f t="shared" si="0"/>
        <v>244</v>
      </c>
      <c r="P16" s="46"/>
      <c r="Q16" s="20"/>
      <c r="R16" s="20"/>
      <c r="S16" s="20">
        <v>217</v>
      </c>
      <c r="T16" s="20">
        <v>96</v>
      </c>
      <c r="U16" s="47"/>
      <c r="V16" s="49">
        <f t="shared" si="1"/>
        <v>313</v>
      </c>
      <c r="W16" s="46"/>
      <c r="X16" s="20"/>
      <c r="Y16" s="20"/>
      <c r="Z16" s="20">
        <v>280</v>
      </c>
      <c r="AA16" s="20">
        <v>50</v>
      </c>
      <c r="AB16" s="47"/>
      <c r="AC16" s="49"/>
      <c r="AD16" s="46"/>
      <c r="AE16" s="20"/>
      <c r="AF16" s="20"/>
      <c r="AG16" s="20">
        <v>300</v>
      </c>
      <c r="AH16" s="20">
        <v>70</v>
      </c>
      <c r="AI16" s="47"/>
      <c r="AJ16" s="49"/>
      <c r="AK16" s="46"/>
      <c r="AL16" s="20"/>
      <c r="AM16" s="20"/>
      <c r="AN16" s="20">
        <v>192</v>
      </c>
      <c r="AO16" s="20">
        <v>120</v>
      </c>
      <c r="AP16" s="47"/>
      <c r="AQ16" s="49"/>
      <c r="AR16" s="20"/>
      <c r="AS16" s="20"/>
      <c r="AT16" s="20"/>
      <c r="AU16" s="20"/>
      <c r="AV16" s="20">
        <v>368</v>
      </c>
      <c r="AW16" s="20">
        <v>42</v>
      </c>
      <c r="AX16" s="20"/>
      <c r="AY16" s="49"/>
      <c r="AZ16" s="20">
        <v>600</v>
      </c>
      <c r="BA16" s="20"/>
      <c r="BB16" s="20"/>
      <c r="BC16" s="20"/>
      <c r="BD16" s="20">
        <v>394</v>
      </c>
      <c r="BE16" s="20">
        <v>56</v>
      </c>
      <c r="BF16" s="20"/>
      <c r="BG16" s="49"/>
      <c r="BH16" s="51">
        <v>400</v>
      </c>
      <c r="BI16" s="52"/>
      <c r="BJ16" s="20"/>
      <c r="BK16" s="20"/>
      <c r="BL16" s="20">
        <v>382</v>
      </c>
      <c r="BM16" s="20">
        <v>76</v>
      </c>
      <c r="BN16" s="20"/>
      <c r="BO16" s="49">
        <v>458</v>
      </c>
      <c r="BP16" s="51">
        <v>580</v>
      </c>
      <c r="BQ16" s="46">
        <v>0</v>
      </c>
      <c r="BR16" s="20">
        <v>0</v>
      </c>
      <c r="BS16" s="20">
        <v>0</v>
      </c>
      <c r="BT16" s="20">
        <v>189</v>
      </c>
      <c r="BU16" s="20">
        <v>50</v>
      </c>
      <c r="BV16" s="47">
        <v>0</v>
      </c>
      <c r="BW16" s="48"/>
      <c r="BX16" s="46"/>
      <c r="BY16" s="20"/>
      <c r="BZ16" s="20"/>
      <c r="CA16" s="20">
        <v>168</v>
      </c>
      <c r="CB16" s="20">
        <v>76</v>
      </c>
      <c r="CC16" s="47"/>
      <c r="CD16" s="49">
        <f t="shared" si="2"/>
        <v>244</v>
      </c>
      <c r="CE16" s="46"/>
      <c r="CF16" s="20"/>
      <c r="CG16" s="20"/>
      <c r="CH16" s="20">
        <v>217</v>
      </c>
      <c r="CI16" s="20">
        <v>96</v>
      </c>
      <c r="CJ16" s="47"/>
      <c r="CK16" s="49">
        <f t="shared" si="3"/>
        <v>313</v>
      </c>
      <c r="CL16" s="46"/>
      <c r="CM16" s="20"/>
      <c r="CN16" s="20"/>
      <c r="CO16" s="20">
        <v>280</v>
      </c>
      <c r="CP16" s="20">
        <v>50</v>
      </c>
      <c r="CQ16" s="47"/>
      <c r="CR16" s="49"/>
      <c r="CS16" s="46"/>
      <c r="CT16" s="20"/>
      <c r="CU16" s="20"/>
      <c r="CV16" s="20">
        <v>300</v>
      </c>
      <c r="CW16" s="20">
        <v>70</v>
      </c>
      <c r="CX16" s="47"/>
      <c r="CY16" s="49"/>
      <c r="CZ16" s="46"/>
      <c r="DA16" s="20"/>
      <c r="DB16" s="20"/>
      <c r="DC16" s="20">
        <v>192</v>
      </c>
      <c r="DD16" s="20">
        <v>120</v>
      </c>
      <c r="DE16" s="47"/>
      <c r="DF16" s="49"/>
      <c r="DG16" s="20"/>
      <c r="DH16" s="20"/>
      <c r="DI16" s="20"/>
      <c r="DJ16" s="20"/>
      <c r="DK16" s="20">
        <v>368</v>
      </c>
      <c r="DL16" s="20">
        <v>42</v>
      </c>
      <c r="DM16" s="20"/>
      <c r="DN16" s="49"/>
      <c r="DO16" s="20">
        <v>600</v>
      </c>
      <c r="DP16" s="20"/>
      <c r="DQ16" s="20"/>
      <c r="DR16" s="20"/>
      <c r="DS16" s="20">
        <v>394</v>
      </c>
      <c r="DT16" s="20">
        <v>56</v>
      </c>
      <c r="DU16" s="20"/>
      <c r="DV16" s="49"/>
      <c r="DW16" s="52"/>
      <c r="DX16" s="20"/>
      <c r="DY16" s="20"/>
      <c r="DZ16" s="20">
        <v>428</v>
      </c>
      <c r="EA16" s="20">
        <v>12</v>
      </c>
      <c r="EB16" s="20"/>
      <c r="EC16" s="70">
        <v>440</v>
      </c>
      <c r="ED16" s="51">
        <v>350</v>
      </c>
      <c r="EE16" s="52"/>
      <c r="EF16" s="20"/>
      <c r="EG16" s="20"/>
      <c r="EH16" s="20">
        <v>575</v>
      </c>
      <c r="EI16" s="20"/>
      <c r="EJ16" s="20"/>
      <c r="EK16" s="70"/>
      <c r="EL16" s="51"/>
      <c r="EM16" s="52"/>
      <c r="EN16" s="20"/>
      <c r="EO16" s="20"/>
      <c r="EP16" s="20">
        <v>600</v>
      </c>
      <c r="EQ16" s="20">
        <v>50</v>
      </c>
      <c r="ER16" s="20"/>
      <c r="ES16" s="70">
        <v>650</v>
      </c>
      <c r="ET16" s="57">
        <v>500</v>
      </c>
      <c r="EU16" s="52"/>
      <c r="EV16" s="20"/>
      <c r="EW16" s="20"/>
      <c r="EX16" s="20">
        <v>530</v>
      </c>
      <c r="EY16" s="20">
        <v>50</v>
      </c>
      <c r="EZ16" s="20"/>
      <c r="FA16" s="70">
        <v>580</v>
      </c>
      <c r="FB16" s="57">
        <v>600</v>
      </c>
      <c r="FC16" s="52"/>
      <c r="FD16" s="20"/>
      <c r="FE16" s="20"/>
      <c r="FF16" s="20">
        <v>430</v>
      </c>
      <c r="FG16" s="20">
        <v>158</v>
      </c>
      <c r="FH16" s="20"/>
      <c r="FI16" s="70">
        <v>588</v>
      </c>
      <c r="FJ16" s="57">
        <v>500</v>
      </c>
      <c r="FK16" s="52"/>
      <c r="FL16" s="20"/>
      <c r="FM16" s="20"/>
      <c r="FN16" s="20"/>
      <c r="FO16" s="20">
        <v>410</v>
      </c>
      <c r="FP16" s="20">
        <v>168</v>
      </c>
      <c r="FQ16" s="70">
        <v>578</v>
      </c>
      <c r="FR16" s="57">
        <v>550</v>
      </c>
      <c r="FS16" s="52"/>
      <c r="FT16" s="20"/>
      <c r="FU16" s="20"/>
      <c r="FV16" s="20">
        <v>450</v>
      </c>
      <c r="FW16" s="20">
        <v>180</v>
      </c>
      <c r="FX16" s="20"/>
      <c r="FY16" s="70">
        <v>630</v>
      </c>
      <c r="FZ16" s="57">
        <v>510</v>
      </c>
      <c r="GA16" s="20"/>
      <c r="GB16" s="20"/>
      <c r="GC16" s="20"/>
      <c r="GD16" s="20">
        <v>450</v>
      </c>
      <c r="GE16" s="20">
        <v>335</v>
      </c>
      <c r="GF16" s="20"/>
      <c r="GG16" s="20">
        <v>785</v>
      </c>
      <c r="GH16" s="20">
        <v>650</v>
      </c>
      <c r="GI16" s="20"/>
      <c r="GJ16" s="20"/>
      <c r="GK16" s="20"/>
      <c r="GL16" s="20">
        <v>516</v>
      </c>
      <c r="GM16" s="20">
        <v>180</v>
      </c>
      <c r="GN16" s="20"/>
      <c r="GO16" s="20">
        <v>696</v>
      </c>
      <c r="GP16" s="20">
        <v>600</v>
      </c>
      <c r="GQ16" s="20"/>
      <c r="GR16" s="20"/>
      <c r="GS16" s="20"/>
      <c r="GT16" s="20">
        <v>350</v>
      </c>
      <c r="GU16" s="20">
        <v>250</v>
      </c>
      <c r="GV16" s="56"/>
      <c r="GW16" s="57">
        <v>600</v>
      </c>
      <c r="GX16" s="57">
        <v>650</v>
      </c>
      <c r="GY16" s="20"/>
      <c r="GZ16" s="20"/>
      <c r="HA16" s="20"/>
      <c r="HB16" s="20">
        <v>400</v>
      </c>
      <c r="HC16" s="20">
        <v>206</v>
      </c>
      <c r="HD16" s="56"/>
      <c r="HE16" s="57">
        <v>606</v>
      </c>
      <c r="HF16" s="57">
        <v>550</v>
      </c>
      <c r="HG16" s="20"/>
      <c r="HH16" s="20"/>
      <c r="HI16" s="20"/>
      <c r="HJ16" s="20">
        <v>400</v>
      </c>
      <c r="HK16" s="20">
        <v>170</v>
      </c>
      <c r="HL16" s="20"/>
      <c r="HM16" s="20">
        <v>570</v>
      </c>
      <c r="HN16" s="20">
        <v>550</v>
      </c>
      <c r="HO16" s="20"/>
      <c r="HP16" s="20"/>
      <c r="HQ16" s="20"/>
      <c r="HR16" s="20">
        <v>366</v>
      </c>
      <c r="HS16" s="20">
        <v>130</v>
      </c>
      <c r="HT16" s="20"/>
      <c r="HU16" s="20">
        <v>496</v>
      </c>
      <c r="HV16" s="20">
        <v>360</v>
      </c>
      <c r="HW16" s="20"/>
      <c r="HX16" s="20"/>
      <c r="HY16" s="20"/>
      <c r="HZ16" s="20">
        <v>218</v>
      </c>
      <c r="IA16" s="20">
        <v>130</v>
      </c>
      <c r="IB16" s="20"/>
      <c r="IC16" s="20">
        <v>348</v>
      </c>
      <c r="ID16" s="20">
        <v>380</v>
      </c>
      <c r="IE16" s="20"/>
      <c r="IF16" s="20"/>
      <c r="IG16" s="20"/>
      <c r="IH16" s="20">
        <v>300</v>
      </c>
      <c r="II16" s="20">
        <v>262</v>
      </c>
      <c r="IJ16" s="20"/>
      <c r="IK16" s="20">
        <v>562</v>
      </c>
      <c r="IL16" s="20">
        <v>450</v>
      </c>
      <c r="IM16" s="20"/>
      <c r="IN16" s="20"/>
      <c r="IO16" s="20"/>
      <c r="IP16" s="20">
        <v>269</v>
      </c>
      <c r="IQ16" s="20">
        <v>160</v>
      </c>
      <c r="IR16" s="20"/>
      <c r="IS16" s="69">
        <v>428</v>
      </c>
      <c r="IT16" s="20">
        <v>400</v>
      </c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>
        <v>128</v>
      </c>
      <c r="KC16" s="20">
        <v>114</v>
      </c>
      <c r="KD16" s="20"/>
      <c r="KE16" s="69">
        <v>242</v>
      </c>
      <c r="KF16" s="20">
        <v>200</v>
      </c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>
        <v>110</v>
      </c>
      <c r="LO16" s="20">
        <v>154</v>
      </c>
      <c r="LP16" s="20">
        <v>102</v>
      </c>
      <c r="LQ16" s="136">
        <v>246</v>
      </c>
      <c r="LR16" s="136">
        <v>132</v>
      </c>
      <c r="LS16" s="136">
        <v>178</v>
      </c>
      <c r="LT16" s="136">
        <v>132</v>
      </c>
      <c r="LU16" s="136">
        <v>178</v>
      </c>
      <c r="LV16" s="136">
        <v>130</v>
      </c>
      <c r="LW16" s="136">
        <v>200</v>
      </c>
      <c r="LX16" s="136">
        <v>86</v>
      </c>
      <c r="LY16" s="136">
        <v>141</v>
      </c>
      <c r="LZ16" s="136">
        <v>108</v>
      </c>
      <c r="MA16" s="136">
        <v>150</v>
      </c>
      <c r="MB16" s="136">
        <v>140</v>
      </c>
      <c r="MC16" s="137">
        <v>130</v>
      </c>
      <c r="MD16" s="137">
        <v>108</v>
      </c>
      <c r="ME16" s="136">
        <v>200</v>
      </c>
      <c r="MF16" s="137">
        <v>131</v>
      </c>
      <c r="MG16" s="137">
        <v>129</v>
      </c>
      <c r="MH16" s="137">
        <v>256</v>
      </c>
      <c r="MI16" s="137">
        <v>263</v>
      </c>
      <c r="MJ16" s="137">
        <v>220</v>
      </c>
      <c r="MK16" s="137">
        <v>424</v>
      </c>
      <c r="ML16" s="137">
        <v>642</v>
      </c>
      <c r="MM16" s="137">
        <v>289</v>
      </c>
      <c r="MN16" s="137">
        <v>362</v>
      </c>
      <c r="MO16" s="137">
        <v>360</v>
      </c>
      <c r="MP16" s="137">
        <v>524</v>
      </c>
      <c r="MQ16" s="1">
        <v>560</v>
      </c>
      <c r="MR16" s="137">
        <v>310</v>
      </c>
      <c r="MS16" s="1">
        <v>450</v>
      </c>
      <c r="MT16" s="137">
        <v>350</v>
      </c>
      <c r="MU16" s="138">
        <v>215</v>
      </c>
      <c r="MV16" s="139">
        <f t="shared" si="4"/>
        <v>7744</v>
      </c>
      <c r="MW16" s="121"/>
    </row>
    <row r="17" spans="1:361" s="58" customFormat="1" ht="18.75">
      <c r="A17" s="126" t="s">
        <v>184</v>
      </c>
      <c r="B17" s="46">
        <v>0</v>
      </c>
      <c r="C17" s="20">
        <v>0</v>
      </c>
      <c r="D17" s="20">
        <v>0</v>
      </c>
      <c r="E17" s="20">
        <v>0</v>
      </c>
      <c r="F17" s="20">
        <v>125</v>
      </c>
      <c r="G17" s="47">
        <v>0</v>
      </c>
      <c r="H17" s="48"/>
      <c r="I17" s="46"/>
      <c r="J17" s="20"/>
      <c r="K17" s="20"/>
      <c r="L17" s="20"/>
      <c r="M17" s="20">
        <v>80</v>
      </c>
      <c r="N17" s="47"/>
      <c r="O17" s="49">
        <f t="shared" si="0"/>
        <v>80</v>
      </c>
      <c r="P17" s="46"/>
      <c r="Q17" s="20"/>
      <c r="R17" s="20"/>
      <c r="S17" s="20"/>
      <c r="T17" s="20">
        <v>90</v>
      </c>
      <c r="U17" s="47"/>
      <c r="V17" s="49">
        <f t="shared" si="1"/>
        <v>90</v>
      </c>
      <c r="W17" s="46"/>
      <c r="X17" s="20"/>
      <c r="Y17" s="20"/>
      <c r="Z17" s="20"/>
      <c r="AA17" s="20">
        <v>230</v>
      </c>
      <c r="AB17" s="47"/>
      <c r="AC17" s="49"/>
      <c r="AD17" s="46"/>
      <c r="AE17" s="20"/>
      <c r="AF17" s="20"/>
      <c r="AG17" s="20"/>
      <c r="AH17" s="20">
        <v>215</v>
      </c>
      <c r="AI17" s="47"/>
      <c r="AJ17" s="49"/>
      <c r="AK17" s="46"/>
      <c r="AL17" s="20"/>
      <c r="AM17" s="20"/>
      <c r="AN17" s="20"/>
      <c r="AO17" s="20">
        <v>205</v>
      </c>
      <c r="AP17" s="47"/>
      <c r="AQ17" s="49"/>
      <c r="AR17" s="20"/>
      <c r="AS17" s="20"/>
      <c r="AT17" s="20"/>
      <c r="AU17" s="20"/>
      <c r="AV17" s="20"/>
      <c r="AW17" s="20">
        <v>130</v>
      </c>
      <c r="AX17" s="20"/>
      <c r="AY17" s="49"/>
      <c r="AZ17" s="20">
        <v>100</v>
      </c>
      <c r="BA17" s="20"/>
      <c r="BB17" s="20"/>
      <c r="BC17" s="20"/>
      <c r="BD17" s="20"/>
      <c r="BE17" s="20">
        <v>80</v>
      </c>
      <c r="BF17" s="20"/>
      <c r="BG17" s="49"/>
      <c r="BH17" s="51">
        <v>100</v>
      </c>
      <c r="BI17" s="52"/>
      <c r="BJ17" s="20"/>
      <c r="BK17" s="20"/>
      <c r="BL17" s="20"/>
      <c r="BM17" s="20">
        <v>228</v>
      </c>
      <c r="BN17" s="20"/>
      <c r="BO17" s="49">
        <v>228</v>
      </c>
      <c r="BP17" s="51">
        <v>260</v>
      </c>
      <c r="BQ17" s="46">
        <v>0</v>
      </c>
      <c r="BR17" s="20">
        <v>0</v>
      </c>
      <c r="BS17" s="20">
        <v>0</v>
      </c>
      <c r="BT17" s="20">
        <v>0</v>
      </c>
      <c r="BU17" s="20">
        <v>125</v>
      </c>
      <c r="BV17" s="47">
        <v>0</v>
      </c>
      <c r="BW17" s="48"/>
      <c r="BX17" s="46"/>
      <c r="BY17" s="20"/>
      <c r="BZ17" s="20"/>
      <c r="CA17" s="20"/>
      <c r="CB17" s="20">
        <v>80</v>
      </c>
      <c r="CC17" s="47"/>
      <c r="CD17" s="49">
        <f t="shared" si="2"/>
        <v>80</v>
      </c>
      <c r="CE17" s="46"/>
      <c r="CF17" s="20"/>
      <c r="CG17" s="20"/>
      <c r="CH17" s="20"/>
      <c r="CI17" s="20">
        <v>90</v>
      </c>
      <c r="CJ17" s="47"/>
      <c r="CK17" s="49">
        <f t="shared" si="3"/>
        <v>90</v>
      </c>
      <c r="CL17" s="46"/>
      <c r="CM17" s="20"/>
      <c r="CN17" s="20"/>
      <c r="CO17" s="20"/>
      <c r="CP17" s="20">
        <v>230</v>
      </c>
      <c r="CQ17" s="47"/>
      <c r="CR17" s="49"/>
      <c r="CS17" s="46"/>
      <c r="CT17" s="20"/>
      <c r="CU17" s="20"/>
      <c r="CV17" s="20"/>
      <c r="CW17" s="20">
        <v>215</v>
      </c>
      <c r="CX17" s="47"/>
      <c r="CY17" s="49"/>
      <c r="CZ17" s="46"/>
      <c r="DA17" s="20"/>
      <c r="DB17" s="20"/>
      <c r="DC17" s="20"/>
      <c r="DD17" s="20">
        <v>205</v>
      </c>
      <c r="DE17" s="47"/>
      <c r="DF17" s="49"/>
      <c r="DG17" s="20"/>
      <c r="DH17" s="20"/>
      <c r="DI17" s="20"/>
      <c r="DJ17" s="20"/>
      <c r="DK17" s="20"/>
      <c r="DL17" s="20">
        <v>130</v>
      </c>
      <c r="DM17" s="20"/>
      <c r="DN17" s="49"/>
      <c r="DO17" s="20">
        <v>100</v>
      </c>
      <c r="DP17" s="20"/>
      <c r="DQ17" s="20"/>
      <c r="DR17" s="20"/>
      <c r="DS17" s="20"/>
      <c r="DT17" s="20">
        <v>80</v>
      </c>
      <c r="DU17" s="20"/>
      <c r="DV17" s="49"/>
      <c r="DW17" s="52"/>
      <c r="DX17" s="20"/>
      <c r="DY17" s="20"/>
      <c r="DZ17" s="20"/>
      <c r="EA17" s="20">
        <v>44</v>
      </c>
      <c r="EB17" s="20"/>
      <c r="EC17" s="70">
        <v>44</v>
      </c>
      <c r="ED17" s="51">
        <v>100</v>
      </c>
      <c r="EE17" s="52"/>
      <c r="EF17" s="20"/>
      <c r="EG17" s="20"/>
      <c r="EH17" s="20"/>
      <c r="EI17" s="20">
        <v>80</v>
      </c>
      <c r="EJ17" s="20"/>
      <c r="EK17" s="70"/>
      <c r="EL17" s="51"/>
      <c r="EM17" s="52"/>
      <c r="EN17" s="20"/>
      <c r="EO17" s="20"/>
      <c r="EP17" s="20"/>
      <c r="EQ17" s="20">
        <v>200</v>
      </c>
      <c r="ER17" s="20"/>
      <c r="ES17" s="70">
        <v>200</v>
      </c>
      <c r="ET17" s="57">
        <v>200</v>
      </c>
      <c r="EU17" s="52"/>
      <c r="EV17" s="20"/>
      <c r="EW17" s="20"/>
      <c r="EX17" s="20"/>
      <c r="EY17" s="20">
        <v>186</v>
      </c>
      <c r="EZ17" s="20"/>
      <c r="FA17" s="70">
        <v>186</v>
      </c>
      <c r="FB17" s="57"/>
      <c r="FC17" s="52"/>
      <c r="FD17" s="20"/>
      <c r="FE17" s="20"/>
      <c r="FF17" s="20"/>
      <c r="FG17" s="20">
        <v>295</v>
      </c>
      <c r="FH17" s="20"/>
      <c r="FI17" s="70">
        <v>295</v>
      </c>
      <c r="FJ17" s="57">
        <v>250</v>
      </c>
      <c r="FK17" s="52"/>
      <c r="FL17" s="20"/>
      <c r="FM17" s="20"/>
      <c r="FN17" s="20"/>
      <c r="FO17" s="20">
        <v>250</v>
      </c>
      <c r="FP17" s="20"/>
      <c r="FQ17" s="70">
        <v>250</v>
      </c>
      <c r="FR17" s="57">
        <v>300</v>
      </c>
      <c r="FS17" s="52"/>
      <c r="FT17" s="20"/>
      <c r="FU17" s="20"/>
      <c r="FV17" s="20"/>
      <c r="FW17" s="20">
        <v>338</v>
      </c>
      <c r="FX17" s="20"/>
      <c r="FY17" s="70">
        <v>338</v>
      </c>
      <c r="FZ17" s="57">
        <v>350</v>
      </c>
      <c r="GA17" s="20"/>
      <c r="GB17" s="20"/>
      <c r="GC17" s="20"/>
      <c r="GD17" s="20"/>
      <c r="GE17" s="20">
        <v>392</v>
      </c>
      <c r="GF17" s="20"/>
      <c r="GG17" s="20">
        <v>392</v>
      </c>
      <c r="GH17" s="20">
        <v>400</v>
      </c>
      <c r="GI17" s="20"/>
      <c r="GJ17" s="20"/>
      <c r="GK17" s="20"/>
      <c r="GL17" s="20"/>
      <c r="GM17" s="20">
        <v>250</v>
      </c>
      <c r="GN17" s="20"/>
      <c r="GO17" s="20">
        <v>250</v>
      </c>
      <c r="GP17" s="20">
        <v>300</v>
      </c>
      <c r="GQ17" s="20"/>
      <c r="GR17" s="20"/>
      <c r="GS17" s="20"/>
      <c r="GT17" s="20">
        <v>100</v>
      </c>
      <c r="GU17" s="20"/>
      <c r="GV17" s="56"/>
      <c r="GW17" s="57">
        <v>100</v>
      </c>
      <c r="GX17" s="57">
        <v>100</v>
      </c>
      <c r="GY17" s="20"/>
      <c r="GZ17" s="20"/>
      <c r="HA17" s="20"/>
      <c r="HB17" s="20"/>
      <c r="HC17" s="20">
        <v>200</v>
      </c>
      <c r="HD17" s="56"/>
      <c r="HE17" s="57">
        <v>200</v>
      </c>
      <c r="HF17" s="57">
        <v>200</v>
      </c>
      <c r="HG17" s="20"/>
      <c r="HH17" s="20"/>
      <c r="HI17" s="20"/>
      <c r="HJ17" s="20"/>
      <c r="HK17" s="20">
        <v>150</v>
      </c>
      <c r="HL17" s="20"/>
      <c r="HM17" s="20">
        <v>150</v>
      </c>
      <c r="HN17" s="20">
        <v>100</v>
      </c>
      <c r="HO17" s="20"/>
      <c r="HP17" s="20"/>
      <c r="HQ17" s="20"/>
      <c r="HR17" s="20"/>
      <c r="HS17" s="20">
        <v>150</v>
      </c>
      <c r="HT17" s="20"/>
      <c r="HU17" s="20">
        <v>150</v>
      </c>
      <c r="HV17" s="20">
        <v>100</v>
      </c>
      <c r="HW17" s="20"/>
      <c r="HX17" s="20"/>
      <c r="HY17" s="20"/>
      <c r="HZ17" s="20"/>
      <c r="IA17" s="20">
        <v>150</v>
      </c>
      <c r="IB17" s="20"/>
      <c r="IC17" s="20">
        <v>150</v>
      </c>
      <c r="ID17" s="20">
        <v>200</v>
      </c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>
        <v>356</v>
      </c>
      <c r="IR17" s="20"/>
      <c r="IS17" s="69">
        <v>356</v>
      </c>
      <c r="IT17" s="20">
        <v>200</v>
      </c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>
        <v>100</v>
      </c>
      <c r="KD17" s="20"/>
      <c r="KE17" s="69">
        <v>100</v>
      </c>
      <c r="KF17" s="20">
        <v>150</v>
      </c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>
        <v>280</v>
      </c>
      <c r="LP17" s="20">
        <v>160</v>
      </c>
      <c r="LQ17" s="136">
        <v>160</v>
      </c>
      <c r="LR17" s="136"/>
      <c r="LS17" s="136">
        <v>210</v>
      </c>
      <c r="LT17" s="136">
        <v>100</v>
      </c>
      <c r="LU17" s="136">
        <v>254</v>
      </c>
      <c r="LV17" s="136">
        <v>150</v>
      </c>
      <c r="LW17" s="136">
        <v>100</v>
      </c>
      <c r="LX17" s="136">
        <v>350</v>
      </c>
      <c r="LY17" s="136">
        <v>190</v>
      </c>
      <c r="LZ17" s="136">
        <v>234</v>
      </c>
      <c r="MA17" s="136">
        <v>350</v>
      </c>
      <c r="MB17" s="136">
        <v>354</v>
      </c>
      <c r="MC17" s="137">
        <v>494</v>
      </c>
      <c r="MD17" s="137">
        <v>500</v>
      </c>
      <c r="ME17" s="136">
        <v>500</v>
      </c>
      <c r="MF17" s="137">
        <v>610</v>
      </c>
      <c r="MG17" s="137">
        <v>736</v>
      </c>
      <c r="MH17" s="137">
        <v>1150</v>
      </c>
      <c r="MI17" s="137">
        <v>1050</v>
      </c>
      <c r="MJ17" s="137">
        <v>1185</v>
      </c>
      <c r="MK17" s="137">
        <v>1019</v>
      </c>
      <c r="ML17" s="137">
        <v>1000</v>
      </c>
      <c r="MM17" s="137">
        <v>600</v>
      </c>
      <c r="MN17" s="137">
        <v>400</v>
      </c>
      <c r="MO17" s="137">
        <v>400</v>
      </c>
      <c r="MP17" s="137">
        <v>800</v>
      </c>
      <c r="MQ17" s="1">
        <v>836</v>
      </c>
      <c r="MR17" s="137">
        <v>500</v>
      </c>
      <c r="MS17" s="1">
        <v>450</v>
      </c>
      <c r="MT17" s="137">
        <v>250</v>
      </c>
      <c r="MU17" s="138">
        <v>550</v>
      </c>
      <c r="MV17" s="139">
        <f t="shared" si="4"/>
        <v>15482</v>
      </c>
      <c r="MW17" s="121"/>
    </row>
    <row r="18" spans="1:361" s="58" customFormat="1" ht="18.75">
      <c r="A18" s="126" t="s">
        <v>185</v>
      </c>
      <c r="B18" s="46">
        <v>0</v>
      </c>
      <c r="C18" s="20">
        <v>0</v>
      </c>
      <c r="D18" s="20">
        <v>0</v>
      </c>
      <c r="E18" s="20">
        <v>0</v>
      </c>
      <c r="F18" s="20">
        <v>40</v>
      </c>
      <c r="G18" s="47">
        <v>0</v>
      </c>
      <c r="H18" s="48"/>
      <c r="I18" s="46"/>
      <c r="J18" s="20"/>
      <c r="K18" s="20"/>
      <c r="L18" s="20"/>
      <c r="M18" s="20">
        <v>66</v>
      </c>
      <c r="N18" s="47"/>
      <c r="O18" s="49">
        <f t="shared" si="0"/>
        <v>66</v>
      </c>
      <c r="P18" s="46"/>
      <c r="Q18" s="20"/>
      <c r="R18" s="20"/>
      <c r="S18" s="20"/>
      <c r="T18" s="20">
        <v>55</v>
      </c>
      <c r="U18" s="47"/>
      <c r="V18" s="49">
        <f t="shared" si="1"/>
        <v>55</v>
      </c>
      <c r="W18" s="46"/>
      <c r="X18" s="20"/>
      <c r="Y18" s="20"/>
      <c r="Z18" s="20"/>
      <c r="AA18" s="20">
        <v>100</v>
      </c>
      <c r="AB18" s="47"/>
      <c r="AC18" s="49"/>
      <c r="AD18" s="46"/>
      <c r="AE18" s="20"/>
      <c r="AF18" s="20"/>
      <c r="AG18" s="20"/>
      <c r="AH18" s="20"/>
      <c r="AI18" s="47"/>
      <c r="AJ18" s="49"/>
      <c r="AK18" s="46"/>
      <c r="AL18" s="20"/>
      <c r="AM18" s="20"/>
      <c r="AN18" s="20"/>
      <c r="AO18" s="20">
        <v>50</v>
      </c>
      <c r="AP18" s="47"/>
      <c r="AQ18" s="49"/>
      <c r="AR18" s="20"/>
      <c r="AS18" s="20"/>
      <c r="AT18" s="20"/>
      <c r="AU18" s="20"/>
      <c r="AV18" s="20"/>
      <c r="AW18" s="20">
        <v>86</v>
      </c>
      <c r="AX18" s="20"/>
      <c r="AY18" s="49"/>
      <c r="AZ18" s="20">
        <v>100</v>
      </c>
      <c r="BA18" s="20"/>
      <c r="BB18" s="20"/>
      <c r="BC18" s="20"/>
      <c r="BD18" s="20"/>
      <c r="BE18" s="20">
        <v>100</v>
      </c>
      <c r="BF18" s="20"/>
      <c r="BG18" s="49"/>
      <c r="BH18" s="51">
        <v>100</v>
      </c>
      <c r="BI18" s="52"/>
      <c r="BJ18" s="20"/>
      <c r="BK18" s="20"/>
      <c r="BL18" s="20"/>
      <c r="BM18" s="20">
        <v>100</v>
      </c>
      <c r="BN18" s="20"/>
      <c r="BO18" s="49">
        <v>100</v>
      </c>
      <c r="BP18" s="51">
        <v>130</v>
      </c>
      <c r="BQ18" s="46">
        <v>0</v>
      </c>
      <c r="BR18" s="20">
        <v>0</v>
      </c>
      <c r="BS18" s="20">
        <v>0</v>
      </c>
      <c r="BT18" s="20">
        <v>0</v>
      </c>
      <c r="BU18" s="20">
        <v>40</v>
      </c>
      <c r="BV18" s="47">
        <v>0</v>
      </c>
      <c r="BW18" s="48"/>
      <c r="BX18" s="46"/>
      <c r="BY18" s="20"/>
      <c r="BZ18" s="20"/>
      <c r="CA18" s="20"/>
      <c r="CB18" s="20">
        <v>66</v>
      </c>
      <c r="CC18" s="47"/>
      <c r="CD18" s="49">
        <f t="shared" si="2"/>
        <v>66</v>
      </c>
      <c r="CE18" s="46"/>
      <c r="CF18" s="20"/>
      <c r="CG18" s="20"/>
      <c r="CH18" s="20"/>
      <c r="CI18" s="20">
        <v>55</v>
      </c>
      <c r="CJ18" s="47"/>
      <c r="CK18" s="49">
        <f t="shared" si="3"/>
        <v>55</v>
      </c>
      <c r="CL18" s="46"/>
      <c r="CM18" s="20"/>
      <c r="CN18" s="20"/>
      <c r="CO18" s="20"/>
      <c r="CP18" s="20">
        <v>100</v>
      </c>
      <c r="CQ18" s="47"/>
      <c r="CR18" s="49"/>
      <c r="CS18" s="46"/>
      <c r="CT18" s="20"/>
      <c r="CU18" s="20"/>
      <c r="CV18" s="20"/>
      <c r="CW18" s="20"/>
      <c r="CX18" s="47"/>
      <c r="CY18" s="49"/>
      <c r="CZ18" s="46"/>
      <c r="DA18" s="20"/>
      <c r="DB18" s="20"/>
      <c r="DC18" s="20"/>
      <c r="DD18" s="20">
        <v>50</v>
      </c>
      <c r="DE18" s="47"/>
      <c r="DF18" s="49"/>
      <c r="DG18" s="20"/>
      <c r="DH18" s="20"/>
      <c r="DI18" s="20"/>
      <c r="DJ18" s="20"/>
      <c r="DK18" s="20"/>
      <c r="DL18" s="20">
        <v>86</v>
      </c>
      <c r="DM18" s="20"/>
      <c r="DN18" s="49"/>
      <c r="DO18" s="20">
        <v>100</v>
      </c>
      <c r="DP18" s="20"/>
      <c r="DQ18" s="20"/>
      <c r="DR18" s="20"/>
      <c r="DS18" s="20"/>
      <c r="DT18" s="20">
        <v>100</v>
      </c>
      <c r="DU18" s="20"/>
      <c r="DV18" s="49"/>
      <c r="DW18" s="52"/>
      <c r="DX18" s="20"/>
      <c r="DY18" s="20"/>
      <c r="DZ18" s="20"/>
      <c r="EA18" s="20">
        <v>56</v>
      </c>
      <c r="EB18" s="20"/>
      <c r="EC18" s="70">
        <v>56</v>
      </c>
      <c r="ED18" s="51">
        <v>50</v>
      </c>
      <c r="EE18" s="52"/>
      <c r="EF18" s="20"/>
      <c r="EG18" s="20"/>
      <c r="EH18" s="20"/>
      <c r="EI18" s="20">
        <v>46</v>
      </c>
      <c r="EJ18" s="20"/>
      <c r="EK18" s="70"/>
      <c r="EL18" s="51"/>
      <c r="EM18" s="52"/>
      <c r="EN18" s="20"/>
      <c r="EO18" s="20"/>
      <c r="EP18" s="20"/>
      <c r="EQ18" s="20">
        <v>67</v>
      </c>
      <c r="ER18" s="20"/>
      <c r="ES18" s="70">
        <v>67</v>
      </c>
      <c r="ET18" s="57">
        <v>50</v>
      </c>
      <c r="EU18" s="52"/>
      <c r="EV18" s="20"/>
      <c r="EW18" s="20"/>
      <c r="EX18" s="20"/>
      <c r="EY18" s="20">
        <v>150</v>
      </c>
      <c r="EZ18" s="20"/>
      <c r="FA18" s="70">
        <v>150</v>
      </c>
      <c r="FB18" s="57">
        <v>100</v>
      </c>
      <c r="FC18" s="52"/>
      <c r="FD18" s="20"/>
      <c r="FE18" s="20"/>
      <c r="FF18" s="20"/>
      <c r="FG18" s="20">
        <v>100</v>
      </c>
      <c r="FH18" s="20"/>
      <c r="FI18" s="70">
        <v>100</v>
      </c>
      <c r="FJ18" s="57">
        <v>50</v>
      </c>
      <c r="FK18" s="52"/>
      <c r="FL18" s="20"/>
      <c r="FM18" s="20"/>
      <c r="FN18" s="20"/>
      <c r="FO18" s="20">
        <v>82</v>
      </c>
      <c r="FP18" s="20"/>
      <c r="FQ18" s="70">
        <v>82</v>
      </c>
      <c r="FR18" s="57">
        <v>80</v>
      </c>
      <c r="FS18" s="52"/>
      <c r="FT18" s="20"/>
      <c r="FU18" s="20"/>
      <c r="FV18" s="20"/>
      <c r="FW18" s="20">
        <v>80</v>
      </c>
      <c r="FX18" s="20"/>
      <c r="FY18" s="70">
        <v>80</v>
      </c>
      <c r="FZ18" s="57">
        <v>100</v>
      </c>
      <c r="GA18" s="20"/>
      <c r="GB18" s="20"/>
      <c r="GC18" s="20"/>
      <c r="GD18" s="20"/>
      <c r="GE18" s="20">
        <v>178</v>
      </c>
      <c r="GF18" s="20"/>
      <c r="GG18" s="20">
        <v>178</v>
      </c>
      <c r="GH18" s="20">
        <v>150</v>
      </c>
      <c r="GI18" s="20"/>
      <c r="GJ18" s="20"/>
      <c r="GK18" s="20"/>
      <c r="GL18" s="20"/>
      <c r="GM18" s="20">
        <v>150</v>
      </c>
      <c r="GN18" s="20"/>
      <c r="GO18" s="20">
        <v>150</v>
      </c>
      <c r="GP18" s="20">
        <v>100</v>
      </c>
      <c r="GQ18" s="20"/>
      <c r="GR18" s="20"/>
      <c r="GS18" s="20"/>
      <c r="GT18" s="20">
        <v>260</v>
      </c>
      <c r="GU18" s="20"/>
      <c r="GV18" s="56"/>
      <c r="GW18" s="57">
        <v>260</v>
      </c>
      <c r="GX18" s="57">
        <v>250</v>
      </c>
      <c r="GY18" s="20"/>
      <c r="GZ18" s="20"/>
      <c r="HA18" s="20"/>
      <c r="HB18" s="20"/>
      <c r="HC18" s="20">
        <v>277</v>
      </c>
      <c r="HD18" s="56"/>
      <c r="HE18" s="57">
        <v>227</v>
      </c>
      <c r="HF18" s="57">
        <v>250</v>
      </c>
      <c r="HG18" s="20"/>
      <c r="HH18" s="20"/>
      <c r="HI18" s="20"/>
      <c r="HJ18" s="20"/>
      <c r="HK18" s="20">
        <v>450</v>
      </c>
      <c r="HL18" s="20"/>
      <c r="HM18" s="20">
        <v>450</v>
      </c>
      <c r="HN18" s="20">
        <v>300</v>
      </c>
      <c r="HO18" s="20"/>
      <c r="HP18" s="20"/>
      <c r="HQ18" s="20"/>
      <c r="HR18" s="20"/>
      <c r="HS18" s="20">
        <v>198</v>
      </c>
      <c r="HT18" s="20"/>
      <c r="HU18" s="20">
        <v>198</v>
      </c>
      <c r="HV18" s="20">
        <v>200</v>
      </c>
      <c r="HW18" s="20"/>
      <c r="HX18" s="20"/>
      <c r="HY18" s="20"/>
      <c r="HZ18" s="20"/>
      <c r="IA18" s="20">
        <v>230</v>
      </c>
      <c r="IB18" s="20"/>
      <c r="IC18" s="20">
        <v>230</v>
      </c>
      <c r="ID18" s="20">
        <v>250</v>
      </c>
      <c r="IE18" s="20"/>
      <c r="IF18" s="20"/>
      <c r="IG18" s="20"/>
      <c r="IH18" s="20"/>
      <c r="II18" s="20">
        <v>376</v>
      </c>
      <c r="IJ18" s="20"/>
      <c r="IK18" s="20">
        <v>376</v>
      </c>
      <c r="IL18" s="20">
        <v>300</v>
      </c>
      <c r="IM18" s="20"/>
      <c r="IN18" s="20"/>
      <c r="IO18" s="20"/>
      <c r="IP18" s="20"/>
      <c r="IQ18" s="20">
        <v>524</v>
      </c>
      <c r="IR18" s="20"/>
      <c r="IS18" s="69">
        <v>524</v>
      </c>
      <c r="IT18" s="20">
        <v>200</v>
      </c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>
        <v>250</v>
      </c>
      <c r="KD18" s="20"/>
      <c r="KE18" s="69">
        <v>250</v>
      </c>
      <c r="KF18" s="20">
        <v>150</v>
      </c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>
        <v>180</v>
      </c>
      <c r="LP18" s="20"/>
      <c r="LQ18" s="136"/>
      <c r="LR18" s="136">
        <v>230</v>
      </c>
      <c r="LS18" s="136">
        <v>150</v>
      </c>
      <c r="LT18" s="136">
        <v>170</v>
      </c>
      <c r="LU18" s="136"/>
      <c r="LV18" s="136">
        <v>40</v>
      </c>
      <c r="LW18" s="136">
        <v>20</v>
      </c>
      <c r="LX18" s="136"/>
      <c r="LY18" s="136">
        <v>164</v>
      </c>
      <c r="LZ18" s="136"/>
      <c r="MA18" s="136">
        <v>200</v>
      </c>
      <c r="MB18" s="136">
        <v>150</v>
      </c>
      <c r="MC18" s="137">
        <v>80</v>
      </c>
      <c r="MD18" s="137">
        <v>100</v>
      </c>
      <c r="ME18" s="136">
        <v>112</v>
      </c>
      <c r="MF18" s="137">
        <v>92</v>
      </c>
      <c r="MG18" s="137">
        <v>154</v>
      </c>
      <c r="MH18" s="137">
        <v>150</v>
      </c>
      <c r="MI18" s="137">
        <v>165</v>
      </c>
      <c r="MJ18" s="137">
        <v>200</v>
      </c>
      <c r="MK18" s="137">
        <v>100</v>
      </c>
      <c r="ML18" s="137">
        <v>232</v>
      </c>
      <c r="MM18" s="137">
        <v>100</v>
      </c>
      <c r="MN18" s="137">
        <v>150</v>
      </c>
      <c r="MO18" s="137">
        <v>200</v>
      </c>
      <c r="MP18" s="137">
        <v>350</v>
      </c>
      <c r="MQ18" s="1">
        <v>450</v>
      </c>
      <c r="MR18" s="137">
        <v>170</v>
      </c>
      <c r="MS18" s="1">
        <v>250</v>
      </c>
      <c r="MT18" s="137">
        <v>250</v>
      </c>
      <c r="MU18" s="138">
        <v>250</v>
      </c>
      <c r="MV18" s="139">
        <f t="shared" si="4"/>
        <v>4679</v>
      </c>
      <c r="MW18" s="121"/>
    </row>
    <row r="19" spans="1:361" s="58" customFormat="1" ht="18.75">
      <c r="A19" s="126" t="s">
        <v>186</v>
      </c>
      <c r="B19" s="46">
        <v>0</v>
      </c>
      <c r="C19" s="20">
        <v>0</v>
      </c>
      <c r="D19" s="20">
        <v>0</v>
      </c>
      <c r="E19" s="20">
        <v>0</v>
      </c>
      <c r="F19" s="20">
        <v>125</v>
      </c>
      <c r="G19" s="47">
        <v>0</v>
      </c>
      <c r="H19" s="48"/>
      <c r="I19" s="46"/>
      <c r="J19" s="20"/>
      <c r="K19" s="20"/>
      <c r="L19" s="20"/>
      <c r="M19" s="20">
        <v>250</v>
      </c>
      <c r="N19" s="47"/>
      <c r="O19" s="49">
        <f t="shared" si="0"/>
        <v>250</v>
      </c>
      <c r="P19" s="46"/>
      <c r="Q19" s="20"/>
      <c r="R19" s="20"/>
      <c r="S19" s="20"/>
      <c r="T19" s="20">
        <v>258</v>
      </c>
      <c r="U19" s="47"/>
      <c r="V19" s="49">
        <f t="shared" si="1"/>
        <v>258</v>
      </c>
      <c r="W19" s="46"/>
      <c r="X19" s="20"/>
      <c r="Y19" s="20"/>
      <c r="Z19" s="20"/>
      <c r="AA19" s="20">
        <v>200</v>
      </c>
      <c r="AB19" s="47"/>
      <c r="AC19" s="49"/>
      <c r="AD19" s="46"/>
      <c r="AE19" s="20"/>
      <c r="AF19" s="20"/>
      <c r="AG19" s="20"/>
      <c r="AH19" s="20">
        <v>260</v>
      </c>
      <c r="AI19" s="47"/>
      <c r="AJ19" s="49"/>
      <c r="AK19" s="46"/>
      <c r="AL19" s="20"/>
      <c r="AM19" s="20"/>
      <c r="AN19" s="20"/>
      <c r="AO19" s="20">
        <v>225</v>
      </c>
      <c r="AP19" s="47"/>
      <c r="AQ19" s="49"/>
      <c r="AR19" s="20"/>
      <c r="AS19" s="20"/>
      <c r="AT19" s="20"/>
      <c r="AU19" s="20"/>
      <c r="AV19" s="20"/>
      <c r="AW19" s="20">
        <v>136</v>
      </c>
      <c r="AX19" s="20"/>
      <c r="AY19" s="49"/>
      <c r="AZ19" s="20">
        <v>130</v>
      </c>
      <c r="BA19" s="20"/>
      <c r="BB19" s="20"/>
      <c r="BC19" s="20"/>
      <c r="BD19" s="20"/>
      <c r="BE19" s="20">
        <v>200</v>
      </c>
      <c r="BF19" s="20"/>
      <c r="BG19" s="49"/>
      <c r="BH19" s="51">
        <v>150</v>
      </c>
      <c r="BI19" s="52"/>
      <c r="BJ19" s="20"/>
      <c r="BK19" s="20"/>
      <c r="BL19" s="20"/>
      <c r="BM19" s="20">
        <v>200</v>
      </c>
      <c r="BN19" s="20"/>
      <c r="BO19" s="49">
        <v>200</v>
      </c>
      <c r="BP19" s="51">
        <v>230</v>
      </c>
      <c r="BQ19" s="46">
        <v>0</v>
      </c>
      <c r="BR19" s="20">
        <v>0</v>
      </c>
      <c r="BS19" s="20">
        <v>0</v>
      </c>
      <c r="BT19" s="20">
        <v>0</v>
      </c>
      <c r="BU19" s="20">
        <v>125</v>
      </c>
      <c r="BV19" s="47">
        <v>0</v>
      </c>
      <c r="BW19" s="48"/>
      <c r="BX19" s="46"/>
      <c r="BY19" s="20"/>
      <c r="BZ19" s="20"/>
      <c r="CA19" s="20"/>
      <c r="CB19" s="20">
        <v>250</v>
      </c>
      <c r="CC19" s="47"/>
      <c r="CD19" s="49">
        <f t="shared" si="2"/>
        <v>250</v>
      </c>
      <c r="CE19" s="46"/>
      <c r="CF19" s="20"/>
      <c r="CG19" s="20"/>
      <c r="CH19" s="20"/>
      <c r="CI19" s="20">
        <v>258</v>
      </c>
      <c r="CJ19" s="47"/>
      <c r="CK19" s="49">
        <f t="shared" si="3"/>
        <v>258</v>
      </c>
      <c r="CL19" s="46"/>
      <c r="CM19" s="20"/>
      <c r="CN19" s="20"/>
      <c r="CO19" s="20"/>
      <c r="CP19" s="20">
        <v>200</v>
      </c>
      <c r="CQ19" s="47"/>
      <c r="CR19" s="49"/>
      <c r="CS19" s="46"/>
      <c r="CT19" s="20"/>
      <c r="CU19" s="20"/>
      <c r="CV19" s="20"/>
      <c r="CW19" s="20">
        <v>260</v>
      </c>
      <c r="CX19" s="47"/>
      <c r="CY19" s="49"/>
      <c r="CZ19" s="46"/>
      <c r="DA19" s="20"/>
      <c r="DB19" s="20"/>
      <c r="DC19" s="20"/>
      <c r="DD19" s="20">
        <v>225</v>
      </c>
      <c r="DE19" s="47"/>
      <c r="DF19" s="49"/>
      <c r="DG19" s="20"/>
      <c r="DH19" s="20"/>
      <c r="DI19" s="20"/>
      <c r="DJ19" s="20"/>
      <c r="DK19" s="20"/>
      <c r="DL19" s="20">
        <v>136</v>
      </c>
      <c r="DM19" s="20"/>
      <c r="DN19" s="49"/>
      <c r="DO19" s="20">
        <v>130</v>
      </c>
      <c r="DP19" s="20"/>
      <c r="DQ19" s="20"/>
      <c r="DR19" s="20"/>
      <c r="DS19" s="20"/>
      <c r="DT19" s="20">
        <v>200</v>
      </c>
      <c r="DU19" s="20"/>
      <c r="DV19" s="49"/>
      <c r="DW19" s="52"/>
      <c r="DX19" s="20"/>
      <c r="DY19" s="20"/>
      <c r="DZ19" s="20"/>
      <c r="EA19" s="20">
        <v>200</v>
      </c>
      <c r="EB19" s="20"/>
      <c r="EC19" s="70">
        <v>200</v>
      </c>
      <c r="ED19" s="51">
        <v>200</v>
      </c>
      <c r="EE19" s="52"/>
      <c r="EF19" s="20"/>
      <c r="EG19" s="20"/>
      <c r="EH19" s="20"/>
      <c r="EI19" s="20">
        <v>222</v>
      </c>
      <c r="EJ19" s="20"/>
      <c r="EK19" s="70"/>
      <c r="EL19" s="51"/>
      <c r="EM19" s="52"/>
      <c r="EN19" s="20"/>
      <c r="EO19" s="20"/>
      <c r="EP19" s="20"/>
      <c r="EQ19" s="20">
        <v>225</v>
      </c>
      <c r="ER19" s="20"/>
      <c r="ES19" s="70">
        <v>225</v>
      </c>
      <c r="ET19" s="57">
        <v>250</v>
      </c>
      <c r="EU19" s="52"/>
      <c r="EV19" s="20"/>
      <c r="EW19" s="20"/>
      <c r="EX19" s="20"/>
      <c r="EY19" s="20">
        <v>382</v>
      </c>
      <c r="EZ19" s="20"/>
      <c r="FA19" s="70">
        <v>382</v>
      </c>
      <c r="FB19" s="57"/>
      <c r="FC19" s="52"/>
      <c r="FD19" s="20"/>
      <c r="FE19" s="20"/>
      <c r="FF19" s="20"/>
      <c r="FG19" s="20">
        <v>450</v>
      </c>
      <c r="FH19" s="20"/>
      <c r="FI19" s="70">
        <v>450</v>
      </c>
      <c r="FJ19" s="57">
        <v>400</v>
      </c>
      <c r="FK19" s="52"/>
      <c r="FL19" s="20"/>
      <c r="FM19" s="20"/>
      <c r="FN19" s="20"/>
      <c r="FO19" s="20">
        <v>460</v>
      </c>
      <c r="FP19" s="20"/>
      <c r="FQ19" s="70">
        <v>460</v>
      </c>
      <c r="FR19" s="57">
        <v>400</v>
      </c>
      <c r="FS19" s="52"/>
      <c r="FT19" s="20"/>
      <c r="FU19" s="20"/>
      <c r="FV19" s="20"/>
      <c r="FW19" s="20">
        <v>318</v>
      </c>
      <c r="FX19" s="20"/>
      <c r="FY19" s="70">
        <v>318</v>
      </c>
      <c r="FZ19" s="57">
        <v>350</v>
      </c>
      <c r="GA19" s="20"/>
      <c r="GB19" s="20"/>
      <c r="GC19" s="20"/>
      <c r="GD19" s="20"/>
      <c r="GE19" s="20">
        <v>540</v>
      </c>
      <c r="GF19" s="20"/>
      <c r="GG19" s="20">
        <v>540</v>
      </c>
      <c r="GH19" s="20">
        <v>550</v>
      </c>
      <c r="GI19" s="20"/>
      <c r="GJ19" s="20"/>
      <c r="GK19" s="20"/>
      <c r="GL19" s="20"/>
      <c r="GM19" s="20">
        <v>500</v>
      </c>
      <c r="GN19" s="20"/>
      <c r="GO19" s="20">
        <v>500</v>
      </c>
      <c r="GP19" s="20">
        <v>500</v>
      </c>
      <c r="GQ19" s="20"/>
      <c r="GR19" s="20"/>
      <c r="GS19" s="20"/>
      <c r="GT19" s="20">
        <v>570</v>
      </c>
      <c r="GU19" s="20"/>
      <c r="GV19" s="56"/>
      <c r="GW19" s="57">
        <v>570</v>
      </c>
      <c r="GX19" s="57">
        <v>500</v>
      </c>
      <c r="GY19" s="20"/>
      <c r="GZ19" s="20"/>
      <c r="HA19" s="20"/>
      <c r="HB19" s="20"/>
      <c r="HC19" s="20">
        <v>730</v>
      </c>
      <c r="HD19" s="56"/>
      <c r="HE19" s="57">
        <v>730</v>
      </c>
      <c r="HF19" s="57">
        <v>450</v>
      </c>
      <c r="HG19" s="20"/>
      <c r="HH19" s="20"/>
      <c r="HI19" s="20"/>
      <c r="HJ19" s="20"/>
      <c r="HK19" s="20">
        <v>559</v>
      </c>
      <c r="HL19" s="20"/>
      <c r="HM19" s="20">
        <v>559</v>
      </c>
      <c r="HN19" s="20">
        <v>400</v>
      </c>
      <c r="HO19" s="20"/>
      <c r="HP19" s="20"/>
      <c r="HQ19" s="20"/>
      <c r="HR19" s="20"/>
      <c r="HS19" s="20">
        <v>450</v>
      </c>
      <c r="HT19" s="20"/>
      <c r="HU19" s="20">
        <v>450</v>
      </c>
      <c r="HV19" s="20">
        <v>250</v>
      </c>
      <c r="HW19" s="20"/>
      <c r="HX19" s="20"/>
      <c r="HY19" s="20"/>
      <c r="HZ19" s="20"/>
      <c r="IA19" s="20">
        <v>400</v>
      </c>
      <c r="IB19" s="20"/>
      <c r="IC19" s="20">
        <v>400</v>
      </c>
      <c r="ID19" s="20">
        <v>400</v>
      </c>
      <c r="IE19" s="20"/>
      <c r="IF19" s="20"/>
      <c r="IG19" s="20"/>
      <c r="IH19" s="20"/>
      <c r="II19" s="20">
        <v>550</v>
      </c>
      <c r="IJ19" s="20"/>
      <c r="IK19" s="20">
        <v>550</v>
      </c>
      <c r="IL19" s="20">
        <v>450</v>
      </c>
      <c r="IM19" s="20"/>
      <c r="IN19" s="20"/>
      <c r="IO19" s="20"/>
      <c r="IP19" s="20"/>
      <c r="IQ19" s="20">
        <v>730</v>
      </c>
      <c r="IR19" s="20"/>
      <c r="IS19" s="69">
        <v>730</v>
      </c>
      <c r="IT19" s="20">
        <v>500</v>
      </c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>
        <v>550</v>
      </c>
      <c r="KD19" s="20"/>
      <c r="KE19" s="69">
        <v>550</v>
      </c>
      <c r="KF19" s="20">
        <v>600</v>
      </c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>
        <v>590</v>
      </c>
      <c r="LP19" s="20">
        <v>476</v>
      </c>
      <c r="LQ19" s="136">
        <v>476</v>
      </c>
      <c r="LR19" s="136">
        <v>325</v>
      </c>
      <c r="LS19" s="136">
        <v>450</v>
      </c>
      <c r="LT19" s="136">
        <v>370</v>
      </c>
      <c r="LU19" s="136">
        <v>236</v>
      </c>
      <c r="LV19" s="136">
        <v>300</v>
      </c>
      <c r="LW19" s="136">
        <v>480</v>
      </c>
      <c r="LX19" s="136">
        <v>350</v>
      </c>
      <c r="LY19" s="136">
        <v>520</v>
      </c>
      <c r="LZ19" s="136">
        <v>706</v>
      </c>
      <c r="MA19" s="136">
        <v>615</v>
      </c>
      <c r="MB19" s="136">
        <v>685</v>
      </c>
      <c r="MC19" s="137">
        <v>800</v>
      </c>
      <c r="MD19" s="137">
        <v>800</v>
      </c>
      <c r="ME19" s="136">
        <v>700</v>
      </c>
      <c r="MF19" s="137">
        <v>650</v>
      </c>
      <c r="MG19" s="137">
        <v>784</v>
      </c>
      <c r="MH19" s="137">
        <v>1518</v>
      </c>
      <c r="MI19" s="137">
        <v>1600</v>
      </c>
      <c r="MJ19" s="137">
        <v>2094</v>
      </c>
      <c r="MK19" s="137">
        <v>2096</v>
      </c>
      <c r="ML19" s="137">
        <v>2050</v>
      </c>
      <c r="MM19" s="137">
        <v>1250</v>
      </c>
      <c r="MN19" s="137">
        <v>1250</v>
      </c>
      <c r="MO19" s="137">
        <v>650</v>
      </c>
      <c r="MP19" s="137">
        <v>1500</v>
      </c>
      <c r="MQ19" s="1">
        <v>1000</v>
      </c>
      <c r="MR19" s="137">
        <v>900</v>
      </c>
      <c r="MS19" s="1">
        <v>400</v>
      </c>
      <c r="MT19" s="137">
        <v>400</v>
      </c>
      <c r="MU19" s="138">
        <v>600</v>
      </c>
      <c r="MV19" s="139">
        <f t="shared" si="4"/>
        <v>26555</v>
      </c>
      <c r="MW19" s="121"/>
    </row>
    <row r="20" spans="1:361" s="58" customFormat="1" ht="18.75">
      <c r="A20" s="126" t="s">
        <v>187</v>
      </c>
      <c r="B20" s="46">
        <v>0</v>
      </c>
      <c r="C20" s="20">
        <v>0</v>
      </c>
      <c r="D20" s="20">
        <v>0</v>
      </c>
      <c r="E20" s="20">
        <v>0</v>
      </c>
      <c r="F20" s="20">
        <v>100</v>
      </c>
      <c r="G20" s="47">
        <v>0</v>
      </c>
      <c r="H20" s="48"/>
      <c r="I20" s="46"/>
      <c r="J20" s="20"/>
      <c r="K20" s="20"/>
      <c r="L20" s="20"/>
      <c r="M20" s="20">
        <v>118</v>
      </c>
      <c r="N20" s="47"/>
      <c r="O20" s="49">
        <f t="shared" si="0"/>
        <v>118</v>
      </c>
      <c r="P20" s="46"/>
      <c r="Q20" s="20"/>
      <c r="R20" s="20"/>
      <c r="S20" s="20"/>
      <c r="T20" s="20">
        <v>115</v>
      </c>
      <c r="U20" s="47"/>
      <c r="V20" s="49">
        <f t="shared" si="1"/>
        <v>115</v>
      </c>
      <c r="W20" s="46"/>
      <c r="X20" s="20"/>
      <c r="Y20" s="20"/>
      <c r="Z20" s="20"/>
      <c r="AA20" s="20">
        <v>178</v>
      </c>
      <c r="AB20" s="47"/>
      <c r="AC20" s="49"/>
      <c r="AD20" s="46"/>
      <c r="AE20" s="20"/>
      <c r="AF20" s="20"/>
      <c r="AG20" s="20"/>
      <c r="AH20" s="20">
        <v>100</v>
      </c>
      <c r="AI20" s="47"/>
      <c r="AJ20" s="49"/>
      <c r="AK20" s="46"/>
      <c r="AL20" s="20"/>
      <c r="AM20" s="20"/>
      <c r="AN20" s="20">
        <v>25</v>
      </c>
      <c r="AO20" s="20">
        <v>130</v>
      </c>
      <c r="AP20" s="47"/>
      <c r="AQ20" s="49"/>
      <c r="AR20" s="20"/>
      <c r="AS20" s="20"/>
      <c r="AT20" s="20"/>
      <c r="AU20" s="20"/>
      <c r="AV20" s="20">
        <v>50</v>
      </c>
      <c r="AW20" s="20">
        <v>241</v>
      </c>
      <c r="AX20" s="20"/>
      <c r="AY20" s="49"/>
      <c r="AZ20" s="20">
        <v>310</v>
      </c>
      <c r="BA20" s="20"/>
      <c r="BB20" s="20"/>
      <c r="BC20" s="20"/>
      <c r="BD20" s="20">
        <v>100</v>
      </c>
      <c r="BE20" s="20">
        <v>290</v>
      </c>
      <c r="BF20" s="20"/>
      <c r="BG20" s="49"/>
      <c r="BH20" s="51">
        <v>450</v>
      </c>
      <c r="BI20" s="52"/>
      <c r="BJ20" s="20"/>
      <c r="BK20" s="20"/>
      <c r="BL20" s="20">
        <v>85</v>
      </c>
      <c r="BM20" s="20">
        <v>300</v>
      </c>
      <c r="BN20" s="20"/>
      <c r="BO20" s="49">
        <v>385</v>
      </c>
      <c r="BP20" s="51">
        <v>500</v>
      </c>
      <c r="BQ20" s="46">
        <v>0</v>
      </c>
      <c r="BR20" s="20">
        <v>0</v>
      </c>
      <c r="BS20" s="20">
        <v>0</v>
      </c>
      <c r="BT20" s="20">
        <v>0</v>
      </c>
      <c r="BU20" s="20">
        <v>100</v>
      </c>
      <c r="BV20" s="47">
        <v>0</v>
      </c>
      <c r="BW20" s="48"/>
      <c r="BX20" s="46"/>
      <c r="BY20" s="20"/>
      <c r="BZ20" s="20"/>
      <c r="CA20" s="20"/>
      <c r="CB20" s="20">
        <v>118</v>
      </c>
      <c r="CC20" s="47"/>
      <c r="CD20" s="49">
        <f t="shared" si="2"/>
        <v>118</v>
      </c>
      <c r="CE20" s="46"/>
      <c r="CF20" s="20"/>
      <c r="CG20" s="20"/>
      <c r="CH20" s="20"/>
      <c r="CI20" s="20">
        <v>115</v>
      </c>
      <c r="CJ20" s="47"/>
      <c r="CK20" s="49">
        <f t="shared" si="3"/>
        <v>115</v>
      </c>
      <c r="CL20" s="46"/>
      <c r="CM20" s="20"/>
      <c r="CN20" s="20"/>
      <c r="CO20" s="20"/>
      <c r="CP20" s="20">
        <v>178</v>
      </c>
      <c r="CQ20" s="47"/>
      <c r="CR20" s="49"/>
      <c r="CS20" s="46"/>
      <c r="CT20" s="20"/>
      <c r="CU20" s="20"/>
      <c r="CV20" s="20"/>
      <c r="CW20" s="20">
        <v>100</v>
      </c>
      <c r="CX20" s="47"/>
      <c r="CY20" s="49"/>
      <c r="CZ20" s="46"/>
      <c r="DA20" s="20"/>
      <c r="DB20" s="20"/>
      <c r="DC20" s="20">
        <v>25</v>
      </c>
      <c r="DD20" s="20">
        <v>130</v>
      </c>
      <c r="DE20" s="47"/>
      <c r="DF20" s="49"/>
      <c r="DG20" s="20"/>
      <c r="DH20" s="20"/>
      <c r="DI20" s="20"/>
      <c r="DJ20" s="20"/>
      <c r="DK20" s="20">
        <v>50</v>
      </c>
      <c r="DL20" s="20">
        <v>241</v>
      </c>
      <c r="DM20" s="20"/>
      <c r="DN20" s="49"/>
      <c r="DO20" s="20">
        <v>310</v>
      </c>
      <c r="DP20" s="20"/>
      <c r="DQ20" s="20"/>
      <c r="DR20" s="20"/>
      <c r="DS20" s="20">
        <v>100</v>
      </c>
      <c r="DT20" s="20">
        <v>290</v>
      </c>
      <c r="DU20" s="20"/>
      <c r="DV20" s="49"/>
      <c r="DW20" s="52"/>
      <c r="DX20" s="20"/>
      <c r="DY20" s="20"/>
      <c r="DZ20" s="20">
        <v>60</v>
      </c>
      <c r="EA20" s="20"/>
      <c r="EB20" s="20"/>
      <c r="EC20" s="70">
        <v>60</v>
      </c>
      <c r="ED20" s="51">
        <v>50</v>
      </c>
      <c r="EE20" s="52"/>
      <c r="EF20" s="20"/>
      <c r="EG20" s="20"/>
      <c r="EH20" s="20">
        <v>94</v>
      </c>
      <c r="EI20" s="20">
        <v>628</v>
      </c>
      <c r="EJ20" s="20"/>
      <c r="EK20" s="70"/>
      <c r="EL20" s="51"/>
      <c r="EM20" s="52"/>
      <c r="EN20" s="20"/>
      <c r="EO20" s="20"/>
      <c r="EP20" s="20">
        <v>150</v>
      </c>
      <c r="EQ20" s="20">
        <v>200</v>
      </c>
      <c r="ER20" s="20"/>
      <c r="ES20" s="70">
        <v>350</v>
      </c>
      <c r="ET20" s="57">
        <v>350</v>
      </c>
      <c r="EU20" s="52"/>
      <c r="EV20" s="20"/>
      <c r="EW20" s="20"/>
      <c r="EX20" s="20">
        <v>140</v>
      </c>
      <c r="EY20" s="20">
        <v>700</v>
      </c>
      <c r="EZ20" s="20"/>
      <c r="FA20" s="70">
        <v>840</v>
      </c>
      <c r="FB20" s="57">
        <v>600</v>
      </c>
      <c r="FC20" s="52"/>
      <c r="FD20" s="20"/>
      <c r="FE20" s="20">
        <v>100</v>
      </c>
      <c r="FF20" s="20"/>
      <c r="FG20" s="20">
        <v>453</v>
      </c>
      <c r="FH20" s="20"/>
      <c r="FI20" s="70">
        <v>553</v>
      </c>
      <c r="FJ20" s="57">
        <v>350</v>
      </c>
      <c r="FK20" s="52"/>
      <c r="FL20" s="20"/>
      <c r="FM20" s="20"/>
      <c r="FN20" s="20">
        <v>100</v>
      </c>
      <c r="FO20" s="20">
        <v>341</v>
      </c>
      <c r="FP20" s="20"/>
      <c r="FQ20" s="70">
        <v>341</v>
      </c>
      <c r="FR20" s="57">
        <v>400</v>
      </c>
      <c r="FS20" s="52"/>
      <c r="FT20" s="20"/>
      <c r="FU20" s="20"/>
      <c r="FV20" s="20">
        <v>80</v>
      </c>
      <c r="FW20" s="20">
        <v>700</v>
      </c>
      <c r="FX20" s="20"/>
      <c r="FY20" s="70">
        <v>780</v>
      </c>
      <c r="FZ20" s="57">
        <v>450</v>
      </c>
      <c r="GA20" s="20"/>
      <c r="GB20" s="20"/>
      <c r="GC20" s="20"/>
      <c r="GD20" s="20">
        <v>90</v>
      </c>
      <c r="GE20" s="20">
        <v>650</v>
      </c>
      <c r="GF20" s="20"/>
      <c r="GG20" s="20">
        <v>740</v>
      </c>
      <c r="GH20" s="20">
        <v>700</v>
      </c>
      <c r="GI20" s="20"/>
      <c r="GJ20" s="20"/>
      <c r="GK20" s="20"/>
      <c r="GL20" s="20">
        <v>90</v>
      </c>
      <c r="GM20" s="20">
        <v>480</v>
      </c>
      <c r="GN20" s="20"/>
      <c r="GO20" s="20">
        <v>570</v>
      </c>
      <c r="GP20" s="20">
        <v>500</v>
      </c>
      <c r="GQ20" s="20"/>
      <c r="GR20" s="20"/>
      <c r="GS20" s="20"/>
      <c r="GT20" s="20">
        <v>80</v>
      </c>
      <c r="GU20" s="20">
        <v>456</v>
      </c>
      <c r="GV20" s="56"/>
      <c r="GW20" s="57">
        <v>536</v>
      </c>
      <c r="GX20" s="57">
        <v>490</v>
      </c>
      <c r="GY20" s="20"/>
      <c r="GZ20" s="20"/>
      <c r="HA20" s="20"/>
      <c r="HB20" s="20">
        <v>110</v>
      </c>
      <c r="HC20" s="20">
        <v>950</v>
      </c>
      <c r="HD20" s="56"/>
      <c r="HE20" s="57">
        <v>1060</v>
      </c>
      <c r="HF20" s="57">
        <v>880</v>
      </c>
      <c r="HG20" s="20"/>
      <c r="HH20" s="20"/>
      <c r="HI20" s="20"/>
      <c r="HJ20" s="20">
        <v>70</v>
      </c>
      <c r="HK20" s="20">
        <v>660</v>
      </c>
      <c r="HL20" s="20"/>
      <c r="HM20" s="20">
        <v>730</v>
      </c>
      <c r="HN20" s="20">
        <v>650</v>
      </c>
      <c r="HO20" s="20"/>
      <c r="HP20" s="20"/>
      <c r="HQ20" s="20"/>
      <c r="HR20" s="20">
        <v>150</v>
      </c>
      <c r="HS20" s="20">
        <v>580</v>
      </c>
      <c r="HT20" s="20"/>
      <c r="HU20" s="20">
        <v>730</v>
      </c>
      <c r="HV20" s="20">
        <v>600</v>
      </c>
      <c r="HW20" s="20"/>
      <c r="HX20" s="20"/>
      <c r="HY20" s="20"/>
      <c r="HZ20" s="20">
        <v>112</v>
      </c>
      <c r="IA20" s="20">
        <v>850</v>
      </c>
      <c r="IB20" s="20"/>
      <c r="IC20" s="20">
        <v>962</v>
      </c>
      <c r="ID20" s="20">
        <v>900</v>
      </c>
      <c r="IE20" s="20"/>
      <c r="IF20" s="20"/>
      <c r="IG20" s="20"/>
      <c r="IH20" s="20"/>
      <c r="II20" s="20">
        <v>1650</v>
      </c>
      <c r="IJ20" s="20"/>
      <c r="IK20" s="20">
        <v>1650</v>
      </c>
      <c r="IL20" s="20">
        <v>1400</v>
      </c>
      <c r="IM20" s="20"/>
      <c r="IN20" s="20"/>
      <c r="IO20" s="20"/>
      <c r="IP20" s="20">
        <v>185</v>
      </c>
      <c r="IQ20" s="20">
        <v>1616</v>
      </c>
      <c r="IR20" s="20"/>
      <c r="IS20" s="69">
        <v>1801</v>
      </c>
      <c r="IT20" s="20">
        <v>1100</v>
      </c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>
        <v>100</v>
      </c>
      <c r="KC20" s="20">
        <v>650</v>
      </c>
      <c r="KD20" s="20"/>
      <c r="KE20" s="69">
        <v>750</v>
      </c>
      <c r="KF20" s="20">
        <v>1280</v>
      </c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>
        <v>33</v>
      </c>
      <c r="LO20" s="20">
        <v>380</v>
      </c>
      <c r="LP20" s="20">
        <v>160</v>
      </c>
      <c r="LQ20" s="136">
        <v>210</v>
      </c>
      <c r="LR20" s="136">
        <v>1700</v>
      </c>
      <c r="LS20" s="136">
        <v>1383</v>
      </c>
      <c r="LT20" s="136">
        <v>848</v>
      </c>
      <c r="LU20" s="136">
        <v>1350</v>
      </c>
      <c r="LV20" s="136">
        <v>500</v>
      </c>
      <c r="LW20" s="136">
        <v>657</v>
      </c>
      <c r="LX20" s="136">
        <v>620</v>
      </c>
      <c r="LY20" s="136">
        <v>415</v>
      </c>
      <c r="LZ20" s="136">
        <v>520</v>
      </c>
      <c r="MA20" s="136">
        <v>500</v>
      </c>
      <c r="MB20" s="136">
        <v>250</v>
      </c>
      <c r="MC20" s="137">
        <v>400</v>
      </c>
      <c r="MD20" s="137">
        <v>368</v>
      </c>
      <c r="ME20" s="136">
        <v>350</v>
      </c>
      <c r="MF20" s="137">
        <v>400</v>
      </c>
      <c r="MG20" s="137">
        <v>750</v>
      </c>
      <c r="MH20" s="137">
        <v>850</v>
      </c>
      <c r="MI20" s="137">
        <v>1200</v>
      </c>
      <c r="MJ20" s="137">
        <v>1684</v>
      </c>
      <c r="MK20" s="137">
        <v>1350</v>
      </c>
      <c r="ML20" s="137">
        <v>1750</v>
      </c>
      <c r="MM20" s="137">
        <v>1600</v>
      </c>
      <c r="MN20" s="137">
        <v>819</v>
      </c>
      <c r="MO20" s="137">
        <v>2150</v>
      </c>
      <c r="MP20" s="137">
        <v>2250</v>
      </c>
      <c r="MQ20" s="1">
        <v>2050</v>
      </c>
      <c r="MR20" s="137">
        <v>1350</v>
      </c>
      <c r="MS20" s="1">
        <v>1250</v>
      </c>
      <c r="MT20" s="137">
        <v>998</v>
      </c>
      <c r="MU20" s="138">
        <v>464</v>
      </c>
      <c r="MV20" s="139">
        <f t="shared" si="4"/>
        <v>30986</v>
      </c>
      <c r="MW20" s="121"/>
    </row>
    <row r="21" spans="1:361" s="58" customFormat="1" ht="18.75">
      <c r="A21" s="126" t="s">
        <v>188</v>
      </c>
      <c r="B21" s="46"/>
      <c r="C21" s="20"/>
      <c r="D21" s="20"/>
      <c r="E21" s="20"/>
      <c r="F21" s="20"/>
      <c r="G21" s="47"/>
      <c r="H21" s="48"/>
      <c r="I21" s="46"/>
      <c r="J21" s="20"/>
      <c r="K21" s="20"/>
      <c r="L21" s="20"/>
      <c r="M21" s="20"/>
      <c r="N21" s="47"/>
      <c r="O21" s="49"/>
      <c r="P21" s="46"/>
      <c r="Q21" s="20"/>
      <c r="R21" s="20"/>
      <c r="S21" s="20"/>
      <c r="T21" s="20"/>
      <c r="U21" s="47"/>
      <c r="V21" s="49"/>
      <c r="W21" s="46"/>
      <c r="X21" s="20"/>
      <c r="Y21" s="20"/>
      <c r="Z21" s="20"/>
      <c r="AA21" s="20"/>
      <c r="AB21" s="47"/>
      <c r="AC21" s="49"/>
      <c r="AD21" s="46"/>
      <c r="AE21" s="20"/>
      <c r="AF21" s="20"/>
      <c r="AG21" s="20"/>
      <c r="AH21" s="20"/>
      <c r="AI21" s="47"/>
      <c r="AJ21" s="49"/>
      <c r="AK21" s="46"/>
      <c r="AL21" s="20"/>
      <c r="AM21" s="20"/>
      <c r="AN21" s="20"/>
      <c r="AO21" s="20"/>
      <c r="AP21" s="47"/>
      <c r="AQ21" s="49"/>
      <c r="AR21" s="20"/>
      <c r="AS21" s="20"/>
      <c r="AT21" s="20"/>
      <c r="AU21" s="20"/>
      <c r="AV21" s="20">
        <v>100</v>
      </c>
      <c r="AW21" s="20"/>
      <c r="AX21" s="20"/>
      <c r="AY21" s="49"/>
      <c r="AZ21" s="20">
        <v>50</v>
      </c>
      <c r="BA21" s="20"/>
      <c r="BB21" s="20"/>
      <c r="BC21" s="20"/>
      <c r="BD21" s="20">
        <v>50</v>
      </c>
      <c r="BE21" s="20"/>
      <c r="BF21" s="20"/>
      <c r="BG21" s="49"/>
      <c r="BH21" s="51">
        <v>50</v>
      </c>
      <c r="BI21" s="52"/>
      <c r="BJ21" s="20"/>
      <c r="BK21" s="20"/>
      <c r="BL21" s="20">
        <v>52</v>
      </c>
      <c r="BM21" s="20"/>
      <c r="BN21" s="20"/>
      <c r="BO21" s="49">
        <v>52</v>
      </c>
      <c r="BP21" s="51">
        <v>65</v>
      </c>
      <c r="BQ21" s="46"/>
      <c r="BR21" s="20"/>
      <c r="BS21" s="20"/>
      <c r="BT21" s="20"/>
      <c r="BU21" s="20"/>
      <c r="BV21" s="47"/>
      <c r="BW21" s="48"/>
      <c r="BX21" s="46"/>
      <c r="BY21" s="20"/>
      <c r="BZ21" s="20"/>
      <c r="CA21" s="20"/>
      <c r="CB21" s="20"/>
      <c r="CC21" s="47"/>
      <c r="CD21" s="49"/>
      <c r="CE21" s="46"/>
      <c r="CF21" s="20"/>
      <c r="CG21" s="20"/>
      <c r="CH21" s="20"/>
      <c r="CI21" s="20"/>
      <c r="CJ21" s="47"/>
      <c r="CK21" s="49"/>
      <c r="CL21" s="46"/>
      <c r="CM21" s="20"/>
      <c r="CN21" s="20"/>
      <c r="CO21" s="20"/>
      <c r="CP21" s="20"/>
      <c r="CQ21" s="47"/>
      <c r="CR21" s="49"/>
      <c r="CS21" s="46"/>
      <c r="CT21" s="20"/>
      <c r="CU21" s="20"/>
      <c r="CV21" s="20"/>
      <c r="CW21" s="20"/>
      <c r="CX21" s="47"/>
      <c r="CY21" s="49"/>
      <c r="CZ21" s="46"/>
      <c r="DA21" s="20"/>
      <c r="DB21" s="20"/>
      <c r="DC21" s="20"/>
      <c r="DD21" s="20"/>
      <c r="DE21" s="47"/>
      <c r="DF21" s="49"/>
      <c r="DG21" s="20"/>
      <c r="DH21" s="20"/>
      <c r="DI21" s="20"/>
      <c r="DJ21" s="20"/>
      <c r="DK21" s="20">
        <v>100</v>
      </c>
      <c r="DL21" s="20"/>
      <c r="DM21" s="20"/>
      <c r="DN21" s="49"/>
      <c r="DO21" s="20">
        <v>50</v>
      </c>
      <c r="DP21" s="20"/>
      <c r="DQ21" s="20"/>
      <c r="DR21" s="20"/>
      <c r="DS21" s="20">
        <v>50</v>
      </c>
      <c r="DT21" s="20"/>
      <c r="DU21" s="20"/>
      <c r="DV21" s="49"/>
      <c r="DW21" s="52"/>
      <c r="DX21" s="20"/>
      <c r="DY21" s="20"/>
      <c r="DZ21" s="20">
        <v>30</v>
      </c>
      <c r="EA21" s="20"/>
      <c r="EB21" s="20"/>
      <c r="EC21" s="70">
        <v>30</v>
      </c>
      <c r="ED21" s="51">
        <v>40</v>
      </c>
      <c r="EE21" s="52"/>
      <c r="EF21" s="20"/>
      <c r="EG21" s="20"/>
      <c r="EH21" s="20"/>
      <c r="EI21" s="20"/>
      <c r="EJ21" s="20"/>
      <c r="EK21" s="70"/>
      <c r="EL21" s="51"/>
      <c r="EM21" s="52"/>
      <c r="EN21" s="20"/>
      <c r="EO21" s="20"/>
      <c r="EP21" s="20">
        <v>120</v>
      </c>
      <c r="EQ21" s="20"/>
      <c r="ER21" s="20"/>
      <c r="ES21" s="70">
        <v>120</v>
      </c>
      <c r="ET21" s="57">
        <v>100</v>
      </c>
      <c r="EU21" s="52"/>
      <c r="EV21" s="20"/>
      <c r="EW21" s="20"/>
      <c r="EX21" s="20">
        <v>30</v>
      </c>
      <c r="EY21" s="20"/>
      <c r="EZ21" s="20"/>
      <c r="FA21" s="70">
        <v>30</v>
      </c>
      <c r="FB21" s="57">
        <v>50</v>
      </c>
      <c r="FC21" s="52"/>
      <c r="FD21" s="20"/>
      <c r="FE21" s="20"/>
      <c r="FF21" s="20">
        <v>65</v>
      </c>
      <c r="FG21" s="20"/>
      <c r="FH21" s="20"/>
      <c r="FI21" s="70">
        <v>65</v>
      </c>
      <c r="FJ21" s="57">
        <v>50</v>
      </c>
      <c r="FK21" s="52"/>
      <c r="FL21" s="20"/>
      <c r="FM21" s="20"/>
      <c r="FN21" s="20">
        <v>35</v>
      </c>
      <c r="FO21" s="20"/>
      <c r="FP21" s="20"/>
      <c r="FQ21" s="70">
        <v>35</v>
      </c>
      <c r="FR21" s="57">
        <v>50</v>
      </c>
      <c r="FS21" s="52"/>
      <c r="FT21" s="20"/>
      <c r="FU21" s="20"/>
      <c r="FV21" s="20">
        <v>50</v>
      </c>
      <c r="FW21" s="20"/>
      <c r="FX21" s="20"/>
      <c r="FY21" s="70">
        <v>50</v>
      </c>
      <c r="FZ21" s="57">
        <v>50</v>
      </c>
      <c r="GA21" s="20"/>
      <c r="GB21" s="20"/>
      <c r="GC21" s="20"/>
      <c r="GD21" s="20">
        <v>67</v>
      </c>
      <c r="GE21" s="20"/>
      <c r="GF21" s="20"/>
      <c r="GG21" s="20">
        <v>67</v>
      </c>
      <c r="GH21" s="20">
        <v>70</v>
      </c>
      <c r="GI21" s="20"/>
      <c r="GJ21" s="20"/>
      <c r="GK21" s="20"/>
      <c r="GL21" s="20">
        <v>68</v>
      </c>
      <c r="GM21" s="20"/>
      <c r="GN21" s="20"/>
      <c r="GO21" s="20">
        <v>68</v>
      </c>
      <c r="GP21" s="20">
        <v>70</v>
      </c>
      <c r="GQ21" s="20"/>
      <c r="GR21" s="20"/>
      <c r="GS21" s="20"/>
      <c r="GT21" s="20">
        <v>150</v>
      </c>
      <c r="GU21" s="20"/>
      <c r="GV21" s="56"/>
      <c r="GW21" s="57">
        <v>150</v>
      </c>
      <c r="GX21" s="57">
        <v>150</v>
      </c>
      <c r="GY21" s="20"/>
      <c r="GZ21" s="20"/>
      <c r="HA21" s="20"/>
      <c r="HB21" s="20">
        <v>150</v>
      </c>
      <c r="HC21" s="20"/>
      <c r="HD21" s="56"/>
      <c r="HE21" s="57">
        <v>150</v>
      </c>
      <c r="HF21" s="57">
        <v>150</v>
      </c>
      <c r="HG21" s="20"/>
      <c r="HH21" s="20"/>
      <c r="HI21" s="20"/>
      <c r="HJ21" s="20">
        <f>50</f>
        <v>50</v>
      </c>
      <c r="HK21" s="20"/>
      <c r="HL21" s="20"/>
      <c r="HM21" s="20">
        <v>50</v>
      </c>
      <c r="HN21" s="20">
        <v>50</v>
      </c>
      <c r="HO21" s="20"/>
      <c r="HP21" s="20"/>
      <c r="HQ21" s="20"/>
      <c r="HR21" s="20">
        <v>60</v>
      </c>
      <c r="HS21" s="20"/>
      <c r="HT21" s="20"/>
      <c r="HU21" s="20">
        <v>60</v>
      </c>
      <c r="HV21" s="20">
        <v>70</v>
      </c>
      <c r="HW21" s="20"/>
      <c r="HX21" s="20"/>
      <c r="HY21" s="20"/>
      <c r="HZ21" s="20">
        <v>85</v>
      </c>
      <c r="IA21" s="20"/>
      <c r="IB21" s="20"/>
      <c r="IC21" s="20">
        <v>85</v>
      </c>
      <c r="ID21" s="20">
        <v>100</v>
      </c>
      <c r="IE21" s="20"/>
      <c r="IF21" s="20"/>
      <c r="IG21" s="20"/>
      <c r="IH21" s="20">
        <v>64</v>
      </c>
      <c r="II21" s="20"/>
      <c r="IJ21" s="20"/>
      <c r="IK21" s="20">
        <v>64</v>
      </c>
      <c r="IL21" s="20">
        <v>100</v>
      </c>
      <c r="IM21" s="20"/>
      <c r="IN21" s="20"/>
      <c r="IO21" s="20"/>
      <c r="IP21" s="20">
        <v>128</v>
      </c>
      <c r="IQ21" s="20"/>
      <c r="IR21" s="20"/>
      <c r="IS21" s="69">
        <v>128</v>
      </c>
      <c r="IT21" s="20">
        <v>100</v>
      </c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>
        <v>75</v>
      </c>
      <c r="KC21" s="20"/>
      <c r="KD21" s="20"/>
      <c r="KE21" s="69">
        <v>75</v>
      </c>
      <c r="KF21" s="20">
        <v>80</v>
      </c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>
        <v>20</v>
      </c>
      <c r="LO21" s="20"/>
      <c r="LP21" s="20"/>
      <c r="LQ21" s="136"/>
      <c r="LR21" s="136">
        <v>38</v>
      </c>
      <c r="LS21" s="136">
        <v>100</v>
      </c>
      <c r="LT21" s="136">
        <v>170</v>
      </c>
      <c r="LU21" s="136"/>
      <c r="LV21" s="136">
        <v>60</v>
      </c>
      <c r="LW21" s="136">
        <v>60</v>
      </c>
      <c r="LX21" s="136">
        <v>58</v>
      </c>
      <c r="LY21" s="136">
        <v>22</v>
      </c>
      <c r="LZ21" s="136"/>
      <c r="MA21" s="136"/>
      <c r="MB21" s="136">
        <v>10</v>
      </c>
      <c r="MC21" s="137"/>
      <c r="MD21" s="137"/>
      <c r="ME21" s="136"/>
      <c r="MF21" s="137"/>
      <c r="MG21" s="137"/>
      <c r="MH21" s="137"/>
      <c r="MI21" s="137">
        <v>55</v>
      </c>
      <c r="MJ21" s="137">
        <v>26</v>
      </c>
      <c r="MK21" s="137">
        <v>50</v>
      </c>
      <c r="ML21" s="137">
        <v>32</v>
      </c>
      <c r="MM21" s="137">
        <v>90</v>
      </c>
      <c r="MN21" s="137"/>
      <c r="MO21" s="137"/>
      <c r="MP21" s="137">
        <v>80</v>
      </c>
      <c r="MQ21" s="1">
        <v>0</v>
      </c>
      <c r="MR21" s="137">
        <v>10</v>
      </c>
      <c r="MS21" s="1">
        <v>0</v>
      </c>
      <c r="MT21" s="137">
        <v>50</v>
      </c>
      <c r="MU21" s="138">
        <v>40</v>
      </c>
      <c r="MV21" s="139">
        <f t="shared" si="4"/>
        <v>951</v>
      </c>
      <c r="MW21" s="121"/>
    </row>
    <row r="22" spans="1:361" s="58" customFormat="1" ht="18.75">
      <c r="A22" s="126" t="s">
        <v>189</v>
      </c>
      <c r="B22" s="46">
        <v>0</v>
      </c>
      <c r="C22" s="20">
        <v>0</v>
      </c>
      <c r="D22" s="20">
        <v>0</v>
      </c>
      <c r="E22" s="20">
        <v>0</v>
      </c>
      <c r="F22" s="20">
        <v>0</v>
      </c>
      <c r="G22" s="47">
        <v>0</v>
      </c>
      <c r="H22" s="48"/>
      <c r="I22" s="46"/>
      <c r="J22" s="20"/>
      <c r="K22" s="20"/>
      <c r="L22" s="20"/>
      <c r="M22" s="20"/>
      <c r="N22" s="47"/>
      <c r="O22" s="49">
        <f>I22+J22+K22+L22+M22+N22</f>
        <v>0</v>
      </c>
      <c r="P22" s="46"/>
      <c r="Q22" s="20"/>
      <c r="R22" s="20">
        <v>12</v>
      </c>
      <c r="S22" s="20"/>
      <c r="T22" s="20"/>
      <c r="U22" s="47"/>
      <c r="V22" s="49">
        <f>P22+Q22+R22+S22+T22+U22</f>
        <v>12</v>
      </c>
      <c r="W22" s="46"/>
      <c r="X22" s="20"/>
      <c r="Y22" s="20"/>
      <c r="Z22" s="20"/>
      <c r="AA22" s="20"/>
      <c r="AB22" s="47"/>
      <c r="AC22" s="49"/>
      <c r="AD22" s="46"/>
      <c r="AE22" s="20"/>
      <c r="AF22" s="20"/>
      <c r="AG22" s="20"/>
      <c r="AH22" s="20"/>
      <c r="AI22" s="47"/>
      <c r="AJ22" s="49"/>
      <c r="AK22" s="46"/>
      <c r="AL22" s="20"/>
      <c r="AM22" s="20">
        <v>20</v>
      </c>
      <c r="AN22" s="20"/>
      <c r="AO22" s="20"/>
      <c r="AP22" s="47"/>
      <c r="AQ22" s="49"/>
      <c r="AR22" s="20"/>
      <c r="AS22" s="20"/>
      <c r="AT22" s="20"/>
      <c r="AU22" s="20"/>
      <c r="AV22" s="20"/>
      <c r="AW22" s="20"/>
      <c r="AX22" s="20"/>
      <c r="AY22" s="49"/>
      <c r="AZ22" s="20">
        <v>0</v>
      </c>
      <c r="BA22" s="20"/>
      <c r="BB22" s="20"/>
      <c r="BC22" s="20"/>
      <c r="BD22" s="20"/>
      <c r="BE22" s="20"/>
      <c r="BF22" s="20"/>
      <c r="BG22" s="49"/>
      <c r="BH22" s="51"/>
      <c r="BI22" s="52"/>
      <c r="BJ22" s="20"/>
      <c r="BK22" s="20">
        <v>68</v>
      </c>
      <c r="BL22" s="20"/>
      <c r="BM22" s="20"/>
      <c r="BN22" s="20"/>
      <c r="BO22" s="49">
        <v>68</v>
      </c>
      <c r="BP22" s="51">
        <v>100</v>
      </c>
      <c r="BQ22" s="46">
        <v>0</v>
      </c>
      <c r="BR22" s="20">
        <v>0</v>
      </c>
      <c r="BS22" s="20">
        <v>0</v>
      </c>
      <c r="BT22" s="20">
        <v>0</v>
      </c>
      <c r="BU22" s="20">
        <v>0</v>
      </c>
      <c r="BV22" s="47">
        <v>0</v>
      </c>
      <c r="BW22" s="48"/>
      <c r="BX22" s="46"/>
      <c r="BY22" s="20"/>
      <c r="BZ22" s="20"/>
      <c r="CA22" s="20"/>
      <c r="CB22" s="20"/>
      <c r="CC22" s="47"/>
      <c r="CD22" s="49">
        <f>BX22+BY22+BZ22+CA22+CB22+CC22</f>
        <v>0</v>
      </c>
      <c r="CE22" s="46"/>
      <c r="CF22" s="20"/>
      <c r="CG22" s="20">
        <v>12</v>
      </c>
      <c r="CH22" s="20"/>
      <c r="CI22" s="20"/>
      <c r="CJ22" s="47"/>
      <c r="CK22" s="49">
        <f>CE22+CF22+CG22+CH22+CI22+CJ22</f>
        <v>12</v>
      </c>
      <c r="CL22" s="46"/>
      <c r="CM22" s="20"/>
      <c r="CN22" s="20"/>
      <c r="CO22" s="20"/>
      <c r="CP22" s="20"/>
      <c r="CQ22" s="47"/>
      <c r="CR22" s="49"/>
      <c r="CS22" s="46"/>
      <c r="CT22" s="20"/>
      <c r="CU22" s="20"/>
      <c r="CV22" s="20"/>
      <c r="CW22" s="20"/>
      <c r="CX22" s="47"/>
      <c r="CY22" s="49"/>
      <c r="CZ22" s="46"/>
      <c r="DA22" s="20"/>
      <c r="DB22" s="20">
        <v>20</v>
      </c>
      <c r="DC22" s="20"/>
      <c r="DD22" s="20"/>
      <c r="DE22" s="47"/>
      <c r="DF22" s="49"/>
      <c r="DG22" s="20"/>
      <c r="DH22" s="20"/>
      <c r="DI22" s="20"/>
      <c r="DJ22" s="20"/>
      <c r="DK22" s="20"/>
      <c r="DL22" s="20"/>
      <c r="DM22" s="20"/>
      <c r="DN22" s="49"/>
      <c r="DO22" s="20">
        <v>0</v>
      </c>
      <c r="DP22" s="20"/>
      <c r="DQ22" s="20"/>
      <c r="DR22" s="20"/>
      <c r="DS22" s="20"/>
      <c r="DT22" s="20"/>
      <c r="DU22" s="20"/>
      <c r="DV22" s="49"/>
      <c r="DW22" s="52"/>
      <c r="DX22" s="20"/>
      <c r="DY22" s="20"/>
      <c r="DZ22" s="20"/>
      <c r="EA22" s="20"/>
      <c r="EB22" s="20"/>
      <c r="EC22" s="70"/>
      <c r="ED22" s="51"/>
      <c r="EE22" s="52"/>
      <c r="EF22" s="20"/>
      <c r="EG22" s="20">
        <v>60</v>
      </c>
      <c r="EH22" s="20"/>
      <c r="EI22" s="20"/>
      <c r="EJ22" s="20"/>
      <c r="EK22" s="70"/>
      <c r="EL22" s="51"/>
      <c r="EM22" s="52"/>
      <c r="EN22" s="20"/>
      <c r="EO22" s="20">
        <v>44</v>
      </c>
      <c r="EP22" s="20"/>
      <c r="EQ22" s="20"/>
      <c r="ER22" s="20"/>
      <c r="ES22" s="70">
        <v>44</v>
      </c>
      <c r="ET22" s="57">
        <v>100</v>
      </c>
      <c r="EU22" s="52"/>
      <c r="EV22" s="20"/>
      <c r="EW22" s="20">
        <v>240</v>
      </c>
      <c r="EX22" s="20"/>
      <c r="EY22" s="20"/>
      <c r="EZ22" s="20"/>
      <c r="FA22" s="70">
        <v>240</v>
      </c>
      <c r="FB22" s="57">
        <v>280</v>
      </c>
      <c r="FC22" s="52"/>
      <c r="FD22" s="20"/>
      <c r="FE22" s="20">
        <v>30</v>
      </c>
      <c r="FF22" s="20"/>
      <c r="FG22" s="20"/>
      <c r="FH22" s="20"/>
      <c r="FI22" s="70">
        <v>30</v>
      </c>
      <c r="FJ22" s="57">
        <v>100</v>
      </c>
      <c r="FK22" s="52"/>
      <c r="FL22" s="20"/>
      <c r="FM22" s="20">
        <v>60</v>
      </c>
      <c r="FN22" s="20"/>
      <c r="FO22" s="20"/>
      <c r="FP22" s="20"/>
      <c r="FQ22" s="70">
        <v>60</v>
      </c>
      <c r="FR22" s="57">
        <v>100</v>
      </c>
      <c r="FS22" s="52"/>
      <c r="FT22" s="20">
        <v>110</v>
      </c>
      <c r="FU22" s="20"/>
      <c r="FV22" s="20"/>
      <c r="FW22" s="20"/>
      <c r="FX22" s="20"/>
      <c r="FY22" s="70">
        <v>110</v>
      </c>
      <c r="FZ22" s="57">
        <v>100</v>
      </c>
      <c r="GA22" s="20"/>
      <c r="GB22" s="20"/>
      <c r="GC22" s="20">
        <v>36</v>
      </c>
      <c r="GD22" s="20"/>
      <c r="GE22" s="20"/>
      <c r="GF22" s="20"/>
      <c r="GG22" s="20">
        <v>36</v>
      </c>
      <c r="GH22" s="20">
        <v>30</v>
      </c>
      <c r="GI22" s="20"/>
      <c r="GJ22" s="20"/>
      <c r="GK22" s="20">
        <v>80</v>
      </c>
      <c r="GL22" s="20"/>
      <c r="GM22" s="20"/>
      <c r="GN22" s="20"/>
      <c r="GO22" s="20">
        <v>80</v>
      </c>
      <c r="GP22" s="20">
        <v>100</v>
      </c>
      <c r="GQ22" s="20"/>
      <c r="GR22" s="20"/>
      <c r="GS22" s="20"/>
      <c r="GT22" s="20">
        <v>50</v>
      </c>
      <c r="GU22" s="20"/>
      <c r="GV22" s="56"/>
      <c r="GW22" s="57">
        <v>50</v>
      </c>
      <c r="GX22" s="57">
        <v>80</v>
      </c>
      <c r="GY22" s="20"/>
      <c r="GZ22" s="20"/>
      <c r="HA22" s="20">
        <v>70</v>
      </c>
      <c r="HB22" s="20"/>
      <c r="HC22" s="20"/>
      <c r="HD22" s="56"/>
      <c r="HE22" s="57">
        <v>70</v>
      </c>
      <c r="HF22" s="57"/>
      <c r="HG22" s="20"/>
      <c r="HH22" s="20"/>
      <c r="HI22" s="20">
        <v>25</v>
      </c>
      <c r="HJ22" s="20"/>
      <c r="HK22" s="20"/>
      <c r="HL22" s="20"/>
      <c r="HM22" s="20">
        <v>25</v>
      </c>
      <c r="HN22" s="20">
        <v>80</v>
      </c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>
        <v>100</v>
      </c>
      <c r="HZ22" s="20"/>
      <c r="IA22" s="20"/>
      <c r="IB22" s="20"/>
      <c r="IC22" s="20">
        <v>100</v>
      </c>
      <c r="ID22" s="20">
        <v>200</v>
      </c>
      <c r="IE22" s="20"/>
      <c r="IF22" s="20"/>
      <c r="IG22" s="20">
        <v>100</v>
      </c>
      <c r="IH22" s="20"/>
      <c r="II22" s="20"/>
      <c r="IJ22" s="20"/>
      <c r="IK22" s="20">
        <v>100</v>
      </c>
      <c r="IL22" s="20">
        <v>100</v>
      </c>
      <c r="IM22" s="20"/>
      <c r="IN22" s="20"/>
      <c r="IO22" s="20">
        <v>130</v>
      </c>
      <c r="IP22" s="20"/>
      <c r="IQ22" s="20"/>
      <c r="IR22" s="20"/>
      <c r="IS22" s="69">
        <v>130</v>
      </c>
      <c r="IT22" s="20">
        <v>200</v>
      </c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>
        <v>60</v>
      </c>
      <c r="KB22" s="20"/>
      <c r="KC22" s="20"/>
      <c r="KD22" s="20"/>
      <c r="KE22" s="69">
        <v>60</v>
      </c>
      <c r="KF22" s="20">
        <v>100</v>
      </c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136">
        <v>73</v>
      </c>
      <c r="LR22" s="136">
        <v>42</v>
      </c>
      <c r="LS22" s="136">
        <v>100</v>
      </c>
      <c r="LT22" s="136"/>
      <c r="LU22" s="136"/>
      <c r="LV22" s="136"/>
      <c r="LW22" s="136">
        <v>26</v>
      </c>
      <c r="LX22" s="136"/>
      <c r="LY22" s="136"/>
      <c r="LZ22" s="136"/>
      <c r="MA22" s="136"/>
      <c r="MB22" s="136">
        <v>15</v>
      </c>
      <c r="MC22" s="137"/>
      <c r="MD22" s="137"/>
      <c r="ME22" s="136"/>
      <c r="MF22" s="137">
        <v>10</v>
      </c>
      <c r="MG22" s="137"/>
      <c r="MH22" s="137">
        <v>20</v>
      </c>
      <c r="MI22" s="137">
        <v>120</v>
      </c>
      <c r="MJ22" s="137">
        <v>100</v>
      </c>
      <c r="MK22" s="137">
        <v>62</v>
      </c>
      <c r="ML22" s="137">
        <v>80</v>
      </c>
      <c r="MM22" s="137">
        <v>225</v>
      </c>
      <c r="MN22" s="137">
        <v>130</v>
      </c>
      <c r="MO22" s="137">
        <v>260</v>
      </c>
      <c r="MP22" s="137">
        <v>295</v>
      </c>
      <c r="MQ22" s="1">
        <v>376</v>
      </c>
      <c r="MR22" s="137">
        <v>145</v>
      </c>
      <c r="MS22" s="1">
        <v>287</v>
      </c>
      <c r="MT22" s="137">
        <v>135</v>
      </c>
      <c r="MU22" s="138">
        <v>155</v>
      </c>
      <c r="MV22" s="139">
        <f t="shared" si="4"/>
        <v>2656</v>
      </c>
      <c r="MW22" s="121"/>
    </row>
    <row r="23" spans="1:361" s="58" customFormat="1" ht="18.75">
      <c r="A23" s="126" t="s">
        <v>190</v>
      </c>
      <c r="B23" s="46">
        <v>0</v>
      </c>
      <c r="C23" s="20">
        <v>0</v>
      </c>
      <c r="D23" s="20">
        <v>0</v>
      </c>
      <c r="E23" s="20">
        <v>450</v>
      </c>
      <c r="F23" s="20">
        <v>0</v>
      </c>
      <c r="G23" s="47">
        <v>0</v>
      </c>
      <c r="H23" s="48"/>
      <c r="I23" s="46"/>
      <c r="J23" s="20"/>
      <c r="K23" s="20"/>
      <c r="L23" s="20">
        <v>111</v>
      </c>
      <c r="M23" s="20"/>
      <c r="N23" s="47"/>
      <c r="O23" s="49">
        <f>I23+J23+K23+L23+M23+N23</f>
        <v>111</v>
      </c>
      <c r="P23" s="46"/>
      <c r="Q23" s="20"/>
      <c r="R23" s="20"/>
      <c r="S23" s="20">
        <v>300</v>
      </c>
      <c r="T23" s="20"/>
      <c r="U23" s="47"/>
      <c r="V23" s="49">
        <f>P23+Q23+R23+S23+T23+U23</f>
        <v>300</v>
      </c>
      <c r="W23" s="46"/>
      <c r="X23" s="20"/>
      <c r="Y23" s="20"/>
      <c r="Z23" s="20">
        <v>275</v>
      </c>
      <c r="AA23" s="20"/>
      <c r="AB23" s="47"/>
      <c r="AC23" s="49"/>
      <c r="AD23" s="46"/>
      <c r="AE23" s="20"/>
      <c r="AF23" s="20"/>
      <c r="AG23" s="20">
        <v>364</v>
      </c>
      <c r="AH23" s="20"/>
      <c r="AI23" s="47"/>
      <c r="AJ23" s="49"/>
      <c r="AK23" s="46"/>
      <c r="AL23" s="20"/>
      <c r="AM23" s="20"/>
      <c r="AN23" s="20">
        <v>200</v>
      </c>
      <c r="AO23" s="20"/>
      <c r="AP23" s="47"/>
      <c r="AQ23" s="49"/>
      <c r="AR23" s="20"/>
      <c r="AS23" s="20"/>
      <c r="AT23" s="20"/>
      <c r="AU23" s="20"/>
      <c r="AV23" s="20">
        <v>519</v>
      </c>
      <c r="AW23" s="20"/>
      <c r="AX23" s="20"/>
      <c r="AY23" s="49"/>
      <c r="AZ23" s="20">
        <v>700</v>
      </c>
      <c r="BA23" s="20"/>
      <c r="BB23" s="20"/>
      <c r="BC23" s="20"/>
      <c r="BD23" s="20">
        <v>686</v>
      </c>
      <c r="BE23" s="20"/>
      <c r="BF23" s="20"/>
      <c r="BG23" s="49"/>
      <c r="BH23" s="51">
        <v>600</v>
      </c>
      <c r="BI23" s="52"/>
      <c r="BJ23" s="20"/>
      <c r="BK23" s="20"/>
      <c r="BL23" s="20">
        <v>500</v>
      </c>
      <c r="BM23" s="20"/>
      <c r="BN23" s="20"/>
      <c r="BO23" s="49">
        <v>500</v>
      </c>
      <c r="BP23" s="51">
        <v>600</v>
      </c>
      <c r="BQ23" s="46">
        <v>0</v>
      </c>
      <c r="BR23" s="20">
        <v>0</v>
      </c>
      <c r="BS23" s="20">
        <v>0</v>
      </c>
      <c r="BT23" s="20">
        <v>450</v>
      </c>
      <c r="BU23" s="20">
        <v>0</v>
      </c>
      <c r="BV23" s="47">
        <v>0</v>
      </c>
      <c r="BW23" s="48"/>
      <c r="BX23" s="46"/>
      <c r="BY23" s="20"/>
      <c r="BZ23" s="20"/>
      <c r="CA23" s="20">
        <v>111</v>
      </c>
      <c r="CB23" s="20"/>
      <c r="CC23" s="47"/>
      <c r="CD23" s="49">
        <f>BX23+BY23+BZ23+CA23+CB23+CC23</f>
        <v>111</v>
      </c>
      <c r="CE23" s="46"/>
      <c r="CF23" s="20"/>
      <c r="CG23" s="20"/>
      <c r="CH23" s="20">
        <v>300</v>
      </c>
      <c r="CI23" s="20"/>
      <c r="CJ23" s="47"/>
      <c r="CK23" s="49">
        <f>CE23+CF23+CG23+CH23+CI23+CJ23</f>
        <v>300</v>
      </c>
      <c r="CL23" s="46"/>
      <c r="CM23" s="20"/>
      <c r="CN23" s="20"/>
      <c r="CO23" s="20">
        <v>275</v>
      </c>
      <c r="CP23" s="20"/>
      <c r="CQ23" s="47"/>
      <c r="CR23" s="49"/>
      <c r="CS23" s="46"/>
      <c r="CT23" s="20"/>
      <c r="CU23" s="20"/>
      <c r="CV23" s="20">
        <v>364</v>
      </c>
      <c r="CW23" s="20"/>
      <c r="CX23" s="47"/>
      <c r="CY23" s="49"/>
      <c r="CZ23" s="46"/>
      <c r="DA23" s="20"/>
      <c r="DB23" s="20"/>
      <c r="DC23" s="20">
        <v>200</v>
      </c>
      <c r="DD23" s="20"/>
      <c r="DE23" s="47"/>
      <c r="DF23" s="49"/>
      <c r="DG23" s="20"/>
      <c r="DH23" s="20"/>
      <c r="DI23" s="20"/>
      <c r="DJ23" s="20"/>
      <c r="DK23" s="20">
        <v>519</v>
      </c>
      <c r="DL23" s="20"/>
      <c r="DM23" s="20"/>
      <c r="DN23" s="49"/>
      <c r="DO23" s="20">
        <v>700</v>
      </c>
      <c r="DP23" s="20"/>
      <c r="DQ23" s="20"/>
      <c r="DR23" s="20"/>
      <c r="DS23" s="20">
        <v>686</v>
      </c>
      <c r="DT23" s="20"/>
      <c r="DU23" s="20"/>
      <c r="DV23" s="49"/>
      <c r="DW23" s="52"/>
      <c r="DX23" s="20"/>
      <c r="DY23" s="20"/>
      <c r="DZ23" s="20">
        <v>625</v>
      </c>
      <c r="EA23" s="20"/>
      <c r="EB23" s="20"/>
      <c r="EC23" s="70">
        <v>625</v>
      </c>
      <c r="ED23" s="51">
        <v>500</v>
      </c>
      <c r="EE23" s="52"/>
      <c r="EF23" s="20"/>
      <c r="EG23" s="20"/>
      <c r="EH23" s="20">
        <v>630</v>
      </c>
      <c r="EI23" s="20"/>
      <c r="EJ23" s="20"/>
      <c r="EK23" s="70"/>
      <c r="EL23" s="51"/>
      <c r="EM23" s="52"/>
      <c r="EN23" s="20"/>
      <c r="EO23" s="20"/>
      <c r="EP23" s="20">
        <v>1000</v>
      </c>
      <c r="EQ23" s="20"/>
      <c r="ER23" s="20"/>
      <c r="ES23" s="70">
        <v>1000</v>
      </c>
      <c r="ET23" s="57">
        <v>800</v>
      </c>
      <c r="EU23" s="52"/>
      <c r="EV23" s="20"/>
      <c r="EW23" s="20"/>
      <c r="EX23" s="20">
        <v>580</v>
      </c>
      <c r="EY23" s="20"/>
      <c r="EZ23" s="20"/>
      <c r="FA23" s="70">
        <v>580</v>
      </c>
      <c r="FB23" s="57">
        <v>500</v>
      </c>
      <c r="FC23" s="52"/>
      <c r="FD23" s="20"/>
      <c r="FE23" s="20"/>
      <c r="FF23" s="20">
        <v>640</v>
      </c>
      <c r="FG23" s="20"/>
      <c r="FH23" s="20"/>
      <c r="FI23" s="70">
        <v>640</v>
      </c>
      <c r="FJ23" s="57">
        <v>600</v>
      </c>
      <c r="FK23" s="52"/>
      <c r="FL23" s="20"/>
      <c r="FM23" s="20">
        <v>10</v>
      </c>
      <c r="FN23" s="20">
        <v>550</v>
      </c>
      <c r="FO23" s="20"/>
      <c r="FP23" s="20"/>
      <c r="FQ23" s="70">
        <v>560</v>
      </c>
      <c r="FR23" s="57">
        <v>525</v>
      </c>
      <c r="FS23" s="52"/>
      <c r="FT23" s="20"/>
      <c r="FU23" s="20">
        <v>25</v>
      </c>
      <c r="FV23" s="20">
        <v>650</v>
      </c>
      <c r="FW23" s="20">
        <v>11</v>
      </c>
      <c r="FX23" s="20"/>
      <c r="FY23" s="70">
        <v>668</v>
      </c>
      <c r="FZ23" s="57">
        <v>650</v>
      </c>
      <c r="GA23" s="20"/>
      <c r="GB23" s="20"/>
      <c r="GC23" s="20"/>
      <c r="GD23" s="20">
        <v>500</v>
      </c>
      <c r="GE23" s="20">
        <v>10</v>
      </c>
      <c r="GF23" s="20"/>
      <c r="GG23" s="20">
        <v>510</v>
      </c>
      <c r="GH23" s="20">
        <v>710</v>
      </c>
      <c r="GI23" s="20"/>
      <c r="GJ23" s="20"/>
      <c r="GK23" s="20"/>
      <c r="GL23" s="20">
        <v>517</v>
      </c>
      <c r="GM23" s="20">
        <v>11</v>
      </c>
      <c r="GN23" s="20"/>
      <c r="GO23" s="20">
        <v>528</v>
      </c>
      <c r="GP23" s="20">
        <v>10</v>
      </c>
      <c r="GQ23" s="20"/>
      <c r="GR23" s="20"/>
      <c r="GS23" s="20">
        <v>30</v>
      </c>
      <c r="GT23" s="20">
        <v>603</v>
      </c>
      <c r="GU23" s="20">
        <v>10</v>
      </c>
      <c r="GV23" s="56"/>
      <c r="GW23" s="57">
        <v>643</v>
      </c>
      <c r="GX23" s="57">
        <v>560</v>
      </c>
      <c r="GY23" s="20"/>
      <c r="GZ23" s="20"/>
      <c r="HA23" s="20"/>
      <c r="HB23" s="20">
        <v>550</v>
      </c>
      <c r="HC23" s="20">
        <v>28</v>
      </c>
      <c r="HD23" s="56"/>
      <c r="HE23" s="57">
        <v>578</v>
      </c>
      <c r="HF23" s="57">
        <v>630</v>
      </c>
      <c r="HG23" s="20"/>
      <c r="HH23" s="20"/>
      <c r="HI23" s="20">
        <v>15</v>
      </c>
      <c r="HJ23" s="20">
        <v>450</v>
      </c>
      <c r="HK23" s="20">
        <v>30</v>
      </c>
      <c r="HL23" s="20"/>
      <c r="HM23" s="20">
        <v>495</v>
      </c>
      <c r="HN23" s="20">
        <v>550</v>
      </c>
      <c r="HO23" s="20"/>
      <c r="HP23" s="20"/>
      <c r="HQ23" s="20"/>
      <c r="HR23" s="20">
        <v>442</v>
      </c>
      <c r="HS23" s="20">
        <v>42</v>
      </c>
      <c r="HT23" s="20"/>
      <c r="HU23" s="20">
        <v>482</v>
      </c>
      <c r="HV23" s="20">
        <v>395</v>
      </c>
      <c r="HW23" s="20"/>
      <c r="HX23" s="20"/>
      <c r="HY23" s="20">
        <v>110</v>
      </c>
      <c r="HZ23" s="20">
        <v>751</v>
      </c>
      <c r="IA23" s="20">
        <v>50</v>
      </c>
      <c r="IB23" s="20"/>
      <c r="IC23" s="20">
        <v>911</v>
      </c>
      <c r="ID23" s="20">
        <v>1300</v>
      </c>
      <c r="IE23" s="20"/>
      <c r="IF23" s="20"/>
      <c r="IG23" s="20">
        <v>50</v>
      </c>
      <c r="IH23" s="20">
        <v>349</v>
      </c>
      <c r="II23" s="20">
        <v>50</v>
      </c>
      <c r="IJ23" s="20"/>
      <c r="IK23" s="20">
        <v>449</v>
      </c>
      <c r="IL23" s="20">
        <v>400</v>
      </c>
      <c r="IM23" s="20"/>
      <c r="IN23" s="20"/>
      <c r="IO23" s="20">
        <v>40</v>
      </c>
      <c r="IP23" s="20">
        <v>942</v>
      </c>
      <c r="IQ23" s="20">
        <v>86</v>
      </c>
      <c r="IR23" s="20"/>
      <c r="IS23" s="69">
        <v>1068</v>
      </c>
      <c r="IT23" s="20">
        <v>720</v>
      </c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>
        <v>90</v>
      </c>
      <c r="KB23" s="20">
        <v>630</v>
      </c>
      <c r="KC23" s="20">
        <v>92</v>
      </c>
      <c r="KD23" s="20"/>
      <c r="KE23" s="69">
        <v>812</v>
      </c>
      <c r="KF23" s="20">
        <v>730</v>
      </c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>
        <v>150</v>
      </c>
      <c r="LO23" s="20">
        <v>100</v>
      </c>
      <c r="LP23" s="20"/>
      <c r="LQ23" s="136">
        <v>196</v>
      </c>
      <c r="LR23" s="136">
        <v>246</v>
      </c>
      <c r="LS23" s="136">
        <v>170</v>
      </c>
      <c r="LT23" s="136">
        <v>367</v>
      </c>
      <c r="LU23" s="136">
        <v>43</v>
      </c>
      <c r="LV23" s="136">
        <v>174</v>
      </c>
      <c r="LW23" s="136">
        <v>200</v>
      </c>
      <c r="LX23" s="136">
        <v>157</v>
      </c>
      <c r="LY23" s="136">
        <v>240</v>
      </c>
      <c r="LZ23" s="136">
        <v>68</v>
      </c>
      <c r="MA23" s="136">
        <v>420</v>
      </c>
      <c r="MB23" s="136">
        <v>341</v>
      </c>
      <c r="MC23" s="137">
        <v>406</v>
      </c>
      <c r="MD23" s="137">
        <v>475</v>
      </c>
      <c r="ME23" s="136">
        <v>123</v>
      </c>
      <c r="MF23" s="137">
        <v>420</v>
      </c>
      <c r="MG23" s="137">
        <v>655</v>
      </c>
      <c r="MH23" s="137">
        <v>985</v>
      </c>
      <c r="MI23" s="137">
        <v>1416</v>
      </c>
      <c r="MJ23" s="137">
        <v>1165</v>
      </c>
      <c r="MK23" s="137">
        <v>954</v>
      </c>
      <c r="ML23" s="137">
        <v>915</v>
      </c>
      <c r="MM23" s="137">
        <v>1164</v>
      </c>
      <c r="MN23" s="137">
        <v>507</v>
      </c>
      <c r="MO23" s="137">
        <v>1276</v>
      </c>
      <c r="MP23" s="137">
        <v>915</v>
      </c>
      <c r="MQ23" s="1">
        <v>1387</v>
      </c>
      <c r="MR23" s="137">
        <v>935</v>
      </c>
      <c r="MS23" s="1">
        <v>655</v>
      </c>
      <c r="MT23" s="137">
        <v>872</v>
      </c>
      <c r="MU23" s="138">
        <v>330</v>
      </c>
      <c r="MV23" s="139">
        <f t="shared" si="4"/>
        <v>18177</v>
      </c>
      <c r="MW23" s="121"/>
    </row>
    <row r="24" spans="1:361" s="58" customFormat="1" ht="18.75">
      <c r="A24" s="126" t="s">
        <v>191</v>
      </c>
      <c r="B24" s="46">
        <v>0</v>
      </c>
      <c r="C24" s="20">
        <v>0</v>
      </c>
      <c r="D24" s="20">
        <v>0</v>
      </c>
      <c r="E24" s="20">
        <v>0</v>
      </c>
      <c r="F24" s="20">
        <v>0</v>
      </c>
      <c r="G24" s="47">
        <v>0</v>
      </c>
      <c r="H24" s="48"/>
      <c r="I24" s="46"/>
      <c r="J24" s="20">
        <v>11</v>
      </c>
      <c r="K24" s="20"/>
      <c r="L24" s="20"/>
      <c r="M24" s="20"/>
      <c r="N24" s="47"/>
      <c r="O24" s="49">
        <f>I24+J24+K24+L24+M24+N24</f>
        <v>11</v>
      </c>
      <c r="P24" s="46"/>
      <c r="Q24" s="20"/>
      <c r="R24" s="20"/>
      <c r="S24" s="20"/>
      <c r="T24" s="20"/>
      <c r="U24" s="47"/>
      <c r="V24" s="49">
        <f>P24+Q24+R24+S24+T24+U24</f>
        <v>0</v>
      </c>
      <c r="W24" s="46"/>
      <c r="X24" s="20"/>
      <c r="Y24" s="20"/>
      <c r="Z24" s="20"/>
      <c r="AA24" s="20"/>
      <c r="AB24" s="47"/>
      <c r="AC24" s="49"/>
      <c r="AD24" s="46"/>
      <c r="AE24" s="20"/>
      <c r="AF24" s="20"/>
      <c r="AG24" s="20"/>
      <c r="AH24" s="20"/>
      <c r="AI24" s="47"/>
      <c r="AJ24" s="49"/>
      <c r="AK24" s="46"/>
      <c r="AL24" s="20"/>
      <c r="AM24" s="20">
        <v>15</v>
      </c>
      <c r="AN24" s="20"/>
      <c r="AO24" s="20"/>
      <c r="AP24" s="47"/>
      <c r="AQ24" s="49"/>
      <c r="AR24" s="20"/>
      <c r="AS24" s="20"/>
      <c r="AT24" s="20">
        <v>20</v>
      </c>
      <c r="AU24" s="20"/>
      <c r="AV24" s="20"/>
      <c r="AW24" s="20"/>
      <c r="AX24" s="20"/>
      <c r="AY24" s="49"/>
      <c r="AZ24" s="20">
        <v>20</v>
      </c>
      <c r="BA24" s="20">
        <v>20</v>
      </c>
      <c r="BB24" s="20"/>
      <c r="BC24" s="20"/>
      <c r="BD24" s="20">
        <v>15</v>
      </c>
      <c r="BE24" s="20"/>
      <c r="BF24" s="20"/>
      <c r="BG24" s="49"/>
      <c r="BH24" s="51">
        <v>55</v>
      </c>
      <c r="BI24" s="52"/>
      <c r="BJ24" s="20"/>
      <c r="BK24" s="20">
        <v>21</v>
      </c>
      <c r="BL24" s="20"/>
      <c r="BM24" s="20"/>
      <c r="BN24" s="20"/>
      <c r="BO24" s="49">
        <v>21</v>
      </c>
      <c r="BP24" s="51">
        <v>50</v>
      </c>
      <c r="BQ24" s="46">
        <v>0</v>
      </c>
      <c r="BR24" s="20">
        <v>0</v>
      </c>
      <c r="BS24" s="20">
        <v>0</v>
      </c>
      <c r="BT24" s="20">
        <v>0</v>
      </c>
      <c r="BU24" s="20">
        <v>0</v>
      </c>
      <c r="BV24" s="47">
        <v>0</v>
      </c>
      <c r="BW24" s="48"/>
      <c r="BX24" s="46"/>
      <c r="BY24" s="20">
        <v>11</v>
      </c>
      <c r="BZ24" s="20"/>
      <c r="CA24" s="20"/>
      <c r="CB24" s="20"/>
      <c r="CC24" s="47"/>
      <c r="CD24" s="49">
        <f>BX24+BY24+BZ24+CA24+CB24+CC24</f>
        <v>11</v>
      </c>
      <c r="CE24" s="46"/>
      <c r="CF24" s="20"/>
      <c r="CG24" s="20"/>
      <c r="CH24" s="20"/>
      <c r="CI24" s="20"/>
      <c r="CJ24" s="47"/>
      <c r="CK24" s="49">
        <f>CE24+CF24+CG24+CH24+CI24+CJ24</f>
        <v>0</v>
      </c>
      <c r="CL24" s="46"/>
      <c r="CM24" s="20"/>
      <c r="CN24" s="20"/>
      <c r="CO24" s="20"/>
      <c r="CP24" s="20"/>
      <c r="CQ24" s="47"/>
      <c r="CR24" s="49"/>
      <c r="CS24" s="46"/>
      <c r="CT24" s="20"/>
      <c r="CU24" s="20"/>
      <c r="CV24" s="20"/>
      <c r="CW24" s="20"/>
      <c r="CX24" s="47"/>
      <c r="CY24" s="49"/>
      <c r="CZ24" s="46"/>
      <c r="DA24" s="20"/>
      <c r="DB24" s="20">
        <v>15</v>
      </c>
      <c r="DC24" s="20"/>
      <c r="DD24" s="20"/>
      <c r="DE24" s="47"/>
      <c r="DF24" s="49"/>
      <c r="DG24" s="20"/>
      <c r="DH24" s="20"/>
      <c r="DI24" s="20">
        <v>20</v>
      </c>
      <c r="DJ24" s="20"/>
      <c r="DK24" s="20"/>
      <c r="DL24" s="20"/>
      <c r="DM24" s="20"/>
      <c r="DN24" s="49"/>
      <c r="DO24" s="20">
        <v>20</v>
      </c>
      <c r="DP24" s="20">
        <v>20</v>
      </c>
      <c r="DQ24" s="20"/>
      <c r="DR24" s="20"/>
      <c r="DS24" s="20">
        <v>15</v>
      </c>
      <c r="DT24" s="20"/>
      <c r="DU24" s="20"/>
      <c r="DV24" s="49"/>
      <c r="DW24" s="52"/>
      <c r="DX24" s="20"/>
      <c r="DY24" s="20"/>
      <c r="DZ24" s="20"/>
      <c r="EA24" s="20"/>
      <c r="EB24" s="20"/>
      <c r="EC24" s="70"/>
      <c r="ED24" s="51"/>
      <c r="EE24" s="52"/>
      <c r="EF24" s="20"/>
      <c r="EG24" s="20"/>
      <c r="EH24" s="20"/>
      <c r="EI24" s="20"/>
      <c r="EJ24" s="20"/>
      <c r="EK24" s="70"/>
      <c r="EL24" s="51"/>
      <c r="EM24" s="52"/>
      <c r="EN24" s="20"/>
      <c r="EO24" s="20">
        <v>30</v>
      </c>
      <c r="EP24" s="20"/>
      <c r="EQ24" s="20"/>
      <c r="ER24" s="20"/>
      <c r="ES24" s="70">
        <v>30</v>
      </c>
      <c r="ET24" s="57">
        <v>50</v>
      </c>
      <c r="EU24" s="52"/>
      <c r="EV24" s="20">
        <v>22</v>
      </c>
      <c r="EW24" s="20">
        <v>100</v>
      </c>
      <c r="EX24" s="20"/>
      <c r="EY24" s="20"/>
      <c r="EZ24" s="20"/>
      <c r="FA24" s="70">
        <v>122</v>
      </c>
      <c r="FB24" s="57">
        <v>150</v>
      </c>
      <c r="FC24" s="52"/>
      <c r="FD24" s="20">
        <v>34</v>
      </c>
      <c r="FE24" s="20">
        <v>50</v>
      </c>
      <c r="FF24" s="20"/>
      <c r="FG24" s="20"/>
      <c r="FH24" s="20"/>
      <c r="FI24" s="70">
        <v>84</v>
      </c>
      <c r="FJ24" s="57">
        <v>140</v>
      </c>
      <c r="FK24" s="52"/>
      <c r="FL24" s="20">
        <v>29</v>
      </c>
      <c r="FM24" s="20">
        <v>50</v>
      </c>
      <c r="FN24" s="20"/>
      <c r="FO24" s="20"/>
      <c r="FP24" s="20"/>
      <c r="FQ24" s="70">
        <v>79</v>
      </c>
      <c r="FR24" s="57">
        <v>130</v>
      </c>
      <c r="FS24" s="52"/>
      <c r="FT24" s="20">
        <v>50</v>
      </c>
      <c r="FU24" s="20">
        <v>23</v>
      </c>
      <c r="FV24" s="20"/>
      <c r="FW24" s="20"/>
      <c r="FX24" s="20"/>
      <c r="FY24" s="70">
        <v>73</v>
      </c>
      <c r="FZ24" s="57">
        <v>90</v>
      </c>
      <c r="GA24" s="20"/>
      <c r="GB24" s="20">
        <v>39</v>
      </c>
      <c r="GC24" s="20">
        <v>80</v>
      </c>
      <c r="GD24" s="20"/>
      <c r="GE24" s="20"/>
      <c r="GF24" s="20"/>
      <c r="GG24" s="20">
        <v>119</v>
      </c>
      <c r="GH24" s="20">
        <v>140</v>
      </c>
      <c r="GI24" s="20"/>
      <c r="GJ24" s="20">
        <v>11</v>
      </c>
      <c r="GK24" s="20">
        <v>62</v>
      </c>
      <c r="GL24" s="20"/>
      <c r="GM24" s="20"/>
      <c r="GN24" s="20"/>
      <c r="GO24" s="20">
        <v>73</v>
      </c>
      <c r="GP24" s="20">
        <v>20</v>
      </c>
      <c r="GQ24" s="20"/>
      <c r="GR24" s="20">
        <v>40</v>
      </c>
      <c r="GS24" s="20"/>
      <c r="GT24" s="20"/>
      <c r="GU24" s="20">
        <v>50</v>
      </c>
      <c r="GV24" s="56"/>
      <c r="GW24" s="57">
        <v>90</v>
      </c>
      <c r="GX24" s="57">
        <v>70</v>
      </c>
      <c r="GY24" s="20"/>
      <c r="GZ24" s="20">
        <v>40</v>
      </c>
      <c r="HA24" s="20">
        <v>25</v>
      </c>
      <c r="HB24" s="20"/>
      <c r="HC24" s="20"/>
      <c r="HD24" s="56"/>
      <c r="HE24" s="57">
        <v>65</v>
      </c>
      <c r="HF24" s="57">
        <v>100</v>
      </c>
      <c r="HG24" s="20"/>
      <c r="HH24" s="20">
        <v>40</v>
      </c>
      <c r="HI24" s="20">
        <v>70</v>
      </c>
      <c r="HJ24" s="20"/>
      <c r="HK24" s="20"/>
      <c r="HL24" s="20"/>
      <c r="HM24" s="20">
        <v>110</v>
      </c>
      <c r="HN24" s="20">
        <v>100</v>
      </c>
      <c r="HO24" s="20"/>
      <c r="HP24" s="20">
        <v>34</v>
      </c>
      <c r="HQ24" s="20">
        <v>35</v>
      </c>
      <c r="HR24" s="20"/>
      <c r="HS24" s="20"/>
      <c r="HT24" s="20"/>
      <c r="HU24" s="20">
        <v>69</v>
      </c>
      <c r="HV24" s="20">
        <v>80</v>
      </c>
      <c r="HW24" s="20"/>
      <c r="HX24" s="20">
        <v>32</v>
      </c>
      <c r="HY24" s="20">
        <v>30</v>
      </c>
      <c r="HZ24" s="20"/>
      <c r="IA24" s="20"/>
      <c r="IB24" s="20"/>
      <c r="IC24" s="20">
        <v>62</v>
      </c>
      <c r="ID24" s="20">
        <v>100</v>
      </c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>
        <v>100</v>
      </c>
      <c r="IP24" s="20"/>
      <c r="IQ24" s="20"/>
      <c r="IR24" s="20"/>
      <c r="IS24" s="69">
        <v>100</v>
      </c>
      <c r="IT24" s="20">
        <v>150</v>
      </c>
      <c r="IU24" s="20"/>
      <c r="IV24" s="20">
        <v>30</v>
      </c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>
        <v>70</v>
      </c>
      <c r="KB24" s="20"/>
      <c r="KC24" s="20"/>
      <c r="KD24" s="20"/>
      <c r="KE24" s="69">
        <v>100</v>
      </c>
      <c r="KF24" s="20">
        <v>140</v>
      </c>
      <c r="KG24" s="20"/>
      <c r="KH24" s="20">
        <v>22</v>
      </c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>
        <v>200</v>
      </c>
      <c r="LN24" s="20"/>
      <c r="LO24" s="20"/>
      <c r="LP24" s="20"/>
      <c r="LQ24" s="136">
        <v>210</v>
      </c>
      <c r="LR24" s="136">
        <v>100</v>
      </c>
      <c r="LS24" s="136">
        <v>268</v>
      </c>
      <c r="LT24" s="136">
        <v>140</v>
      </c>
      <c r="LU24" s="136">
        <v>180</v>
      </c>
      <c r="LV24" s="136">
        <v>135</v>
      </c>
      <c r="LW24" s="136">
        <v>100</v>
      </c>
      <c r="LX24" s="136">
        <v>156</v>
      </c>
      <c r="LY24" s="136">
        <v>100</v>
      </c>
      <c r="LZ24" s="136">
        <v>87</v>
      </c>
      <c r="MA24" s="136">
        <v>94</v>
      </c>
      <c r="MB24" s="136">
        <v>18</v>
      </c>
      <c r="MC24" s="137">
        <v>30</v>
      </c>
      <c r="MD24" s="137">
        <v>25</v>
      </c>
      <c r="ME24" s="136">
        <v>50</v>
      </c>
      <c r="MF24" s="137">
        <v>70</v>
      </c>
      <c r="MG24" s="137">
        <v>50</v>
      </c>
      <c r="MH24" s="137">
        <v>50</v>
      </c>
      <c r="MI24" s="137">
        <v>130</v>
      </c>
      <c r="MJ24" s="137">
        <v>80</v>
      </c>
      <c r="MK24" s="137">
        <v>40</v>
      </c>
      <c r="ML24" s="137">
        <v>176</v>
      </c>
      <c r="MM24" s="137">
        <v>190</v>
      </c>
      <c r="MN24" s="137">
        <v>30</v>
      </c>
      <c r="MO24" s="137">
        <v>212</v>
      </c>
      <c r="MP24" s="137">
        <v>198</v>
      </c>
      <c r="MQ24" s="1">
        <v>244</v>
      </c>
      <c r="MR24" s="137">
        <v>233</v>
      </c>
      <c r="MS24" s="1">
        <v>320</v>
      </c>
      <c r="MT24" s="137">
        <v>175</v>
      </c>
      <c r="MU24" s="138">
        <v>330</v>
      </c>
      <c r="MV24" s="139">
        <f t="shared" si="4"/>
        <v>4221</v>
      </c>
      <c r="MW24" s="121"/>
    </row>
    <row r="25" spans="1:361" s="58" customFormat="1" ht="18.75">
      <c r="A25" s="126" t="s">
        <v>192</v>
      </c>
      <c r="B25" s="46">
        <v>0</v>
      </c>
      <c r="C25" s="20">
        <v>0</v>
      </c>
      <c r="D25" s="20">
        <v>0</v>
      </c>
      <c r="E25" s="20">
        <v>100</v>
      </c>
      <c r="F25" s="20">
        <v>0</v>
      </c>
      <c r="G25" s="47">
        <v>0</v>
      </c>
      <c r="H25" s="48"/>
      <c r="I25" s="46"/>
      <c r="J25" s="20"/>
      <c r="K25" s="20">
        <v>13</v>
      </c>
      <c r="L25" s="20">
        <v>172</v>
      </c>
      <c r="M25" s="20"/>
      <c r="N25" s="47"/>
      <c r="O25" s="49">
        <f>I25+J25+K25+L25+M25+N25</f>
        <v>185</v>
      </c>
      <c r="P25" s="46"/>
      <c r="Q25" s="20"/>
      <c r="R25" s="20">
        <v>40</v>
      </c>
      <c r="S25" s="20">
        <v>200</v>
      </c>
      <c r="T25" s="20"/>
      <c r="U25" s="47"/>
      <c r="V25" s="49">
        <f>P25+Q25+R25+S25+T25+U25</f>
        <v>240</v>
      </c>
      <c r="W25" s="46"/>
      <c r="X25" s="20"/>
      <c r="Y25" s="20"/>
      <c r="Z25" s="20">
        <v>274</v>
      </c>
      <c r="AA25" s="20"/>
      <c r="AB25" s="47"/>
      <c r="AC25" s="49"/>
      <c r="AD25" s="46"/>
      <c r="AE25" s="20"/>
      <c r="AF25" s="20"/>
      <c r="AG25" s="20"/>
      <c r="AH25" s="20"/>
      <c r="AI25" s="47"/>
      <c r="AJ25" s="49"/>
      <c r="AK25" s="46"/>
      <c r="AL25" s="20"/>
      <c r="AM25" s="20">
        <v>40</v>
      </c>
      <c r="AN25" s="20">
        <v>140</v>
      </c>
      <c r="AO25" s="20"/>
      <c r="AP25" s="47"/>
      <c r="AQ25" s="49"/>
      <c r="AR25" s="20"/>
      <c r="AS25" s="20"/>
      <c r="AT25" s="20"/>
      <c r="AU25" s="20"/>
      <c r="AV25" s="20">
        <v>160</v>
      </c>
      <c r="AW25" s="20"/>
      <c r="AX25" s="20"/>
      <c r="AY25" s="49"/>
      <c r="AZ25" s="20">
        <v>100</v>
      </c>
      <c r="BA25" s="20"/>
      <c r="BB25" s="20"/>
      <c r="BC25" s="20">
        <v>30</v>
      </c>
      <c r="BD25" s="20">
        <v>300</v>
      </c>
      <c r="BE25" s="20"/>
      <c r="BF25" s="20"/>
      <c r="BG25" s="49"/>
      <c r="BH25" s="51">
        <v>270</v>
      </c>
      <c r="BI25" s="52"/>
      <c r="BJ25" s="20"/>
      <c r="BK25" s="20">
        <v>97</v>
      </c>
      <c r="BL25" s="20">
        <v>100</v>
      </c>
      <c r="BM25" s="20"/>
      <c r="BN25" s="20"/>
      <c r="BO25" s="49">
        <v>197</v>
      </c>
      <c r="BP25" s="51">
        <v>230</v>
      </c>
      <c r="BQ25" s="46">
        <v>0</v>
      </c>
      <c r="BR25" s="20">
        <v>0</v>
      </c>
      <c r="BS25" s="20">
        <v>0</v>
      </c>
      <c r="BT25" s="20">
        <v>100</v>
      </c>
      <c r="BU25" s="20">
        <v>0</v>
      </c>
      <c r="BV25" s="47">
        <v>0</v>
      </c>
      <c r="BW25" s="48"/>
      <c r="BX25" s="46"/>
      <c r="BY25" s="20"/>
      <c r="BZ25" s="20">
        <v>13</v>
      </c>
      <c r="CA25" s="20">
        <v>172</v>
      </c>
      <c r="CB25" s="20"/>
      <c r="CC25" s="47"/>
      <c r="CD25" s="49">
        <f>BX25+BY25+BZ25+CA25+CB25+CC25</f>
        <v>185</v>
      </c>
      <c r="CE25" s="46"/>
      <c r="CF25" s="20"/>
      <c r="CG25" s="20">
        <v>40</v>
      </c>
      <c r="CH25" s="20">
        <v>200</v>
      </c>
      <c r="CI25" s="20"/>
      <c r="CJ25" s="47"/>
      <c r="CK25" s="49">
        <f>CE25+CF25+CG25+CH25+CI25+CJ25</f>
        <v>240</v>
      </c>
      <c r="CL25" s="46"/>
      <c r="CM25" s="20"/>
      <c r="CN25" s="20"/>
      <c r="CO25" s="20">
        <v>274</v>
      </c>
      <c r="CP25" s="20"/>
      <c r="CQ25" s="47"/>
      <c r="CR25" s="49"/>
      <c r="CS25" s="46"/>
      <c r="CT25" s="20"/>
      <c r="CU25" s="20"/>
      <c r="CV25" s="20"/>
      <c r="CW25" s="20"/>
      <c r="CX25" s="47"/>
      <c r="CY25" s="49"/>
      <c r="CZ25" s="46"/>
      <c r="DA25" s="20"/>
      <c r="DB25" s="20">
        <v>40</v>
      </c>
      <c r="DC25" s="20">
        <v>140</v>
      </c>
      <c r="DD25" s="20"/>
      <c r="DE25" s="47"/>
      <c r="DF25" s="49"/>
      <c r="DG25" s="20"/>
      <c r="DH25" s="20"/>
      <c r="DI25" s="20"/>
      <c r="DJ25" s="20"/>
      <c r="DK25" s="20">
        <v>160</v>
      </c>
      <c r="DL25" s="20"/>
      <c r="DM25" s="20"/>
      <c r="DN25" s="49"/>
      <c r="DO25" s="20">
        <v>100</v>
      </c>
      <c r="DP25" s="20"/>
      <c r="DQ25" s="20"/>
      <c r="DR25" s="20">
        <v>30</v>
      </c>
      <c r="DS25" s="20">
        <v>300</v>
      </c>
      <c r="DT25" s="20"/>
      <c r="DU25" s="20"/>
      <c r="DV25" s="49"/>
      <c r="DW25" s="52"/>
      <c r="DX25" s="20">
        <v>40</v>
      </c>
      <c r="DY25" s="20">
        <v>12</v>
      </c>
      <c r="DZ25" s="20">
        <v>200</v>
      </c>
      <c r="EA25" s="20"/>
      <c r="EB25" s="20"/>
      <c r="EC25" s="70">
        <v>252</v>
      </c>
      <c r="ED25" s="51">
        <v>180</v>
      </c>
      <c r="EE25" s="52"/>
      <c r="EF25" s="20"/>
      <c r="EG25" s="20">
        <v>60</v>
      </c>
      <c r="EH25" s="20">
        <v>200</v>
      </c>
      <c r="EI25" s="20"/>
      <c r="EJ25" s="20"/>
      <c r="EK25" s="70"/>
      <c r="EL25" s="51"/>
      <c r="EM25" s="52"/>
      <c r="EN25" s="20"/>
      <c r="EO25" s="20">
        <v>115</v>
      </c>
      <c r="EP25" s="20">
        <v>320</v>
      </c>
      <c r="EQ25" s="20"/>
      <c r="ER25" s="20"/>
      <c r="ES25" s="70">
        <v>435</v>
      </c>
      <c r="ET25" s="57">
        <v>200</v>
      </c>
      <c r="EU25" s="52"/>
      <c r="EV25" s="20"/>
      <c r="EW25" s="20">
        <v>170</v>
      </c>
      <c r="EX25" s="20">
        <v>300</v>
      </c>
      <c r="EY25" s="20"/>
      <c r="EZ25" s="20"/>
      <c r="FA25" s="70">
        <v>470</v>
      </c>
      <c r="FB25" s="57">
        <v>200</v>
      </c>
      <c r="FC25" s="52"/>
      <c r="FD25" s="20"/>
      <c r="FE25" s="20">
        <v>120</v>
      </c>
      <c r="FF25" s="20">
        <v>200</v>
      </c>
      <c r="FG25" s="20"/>
      <c r="FH25" s="20"/>
      <c r="FI25" s="70">
        <v>320</v>
      </c>
      <c r="FJ25" s="57">
        <v>300</v>
      </c>
      <c r="FK25" s="52"/>
      <c r="FL25" s="20"/>
      <c r="FM25" s="20">
        <v>160</v>
      </c>
      <c r="FN25" s="20">
        <v>200</v>
      </c>
      <c r="FO25" s="20"/>
      <c r="FP25" s="20"/>
      <c r="FQ25" s="70">
        <v>360</v>
      </c>
      <c r="FR25" s="57">
        <v>390</v>
      </c>
      <c r="FS25" s="52"/>
      <c r="FT25" s="20">
        <v>150</v>
      </c>
      <c r="FU25" s="20"/>
      <c r="FV25" s="20">
        <v>200</v>
      </c>
      <c r="FW25" s="20"/>
      <c r="FX25" s="20"/>
      <c r="FY25" s="70">
        <v>350</v>
      </c>
      <c r="FZ25" s="57">
        <v>350</v>
      </c>
      <c r="GA25" s="20"/>
      <c r="GB25" s="20"/>
      <c r="GC25" s="20">
        <v>150</v>
      </c>
      <c r="GD25" s="20">
        <v>200</v>
      </c>
      <c r="GE25" s="20"/>
      <c r="GF25" s="20"/>
      <c r="GG25" s="20">
        <v>350</v>
      </c>
      <c r="GH25" s="20">
        <v>250</v>
      </c>
      <c r="GI25" s="20"/>
      <c r="GJ25" s="20"/>
      <c r="GK25" s="20">
        <v>130</v>
      </c>
      <c r="GL25" s="20">
        <v>150</v>
      </c>
      <c r="GM25" s="20"/>
      <c r="GN25" s="20"/>
      <c r="GO25" s="20">
        <v>280</v>
      </c>
      <c r="GP25" s="20">
        <v>150</v>
      </c>
      <c r="GQ25" s="20"/>
      <c r="GR25" s="20"/>
      <c r="GS25" s="20">
        <v>100</v>
      </c>
      <c r="GT25" s="20">
        <v>110</v>
      </c>
      <c r="GU25" s="20"/>
      <c r="GV25" s="56"/>
      <c r="GW25" s="57">
        <v>210</v>
      </c>
      <c r="GX25" s="57">
        <v>220</v>
      </c>
      <c r="GY25" s="20"/>
      <c r="GZ25" s="20"/>
      <c r="HA25" s="20">
        <v>130</v>
      </c>
      <c r="HB25" s="20">
        <v>150</v>
      </c>
      <c r="HC25" s="20"/>
      <c r="HD25" s="56"/>
      <c r="HE25" s="57">
        <v>280</v>
      </c>
      <c r="HF25" s="57">
        <v>250</v>
      </c>
      <c r="HG25" s="20"/>
      <c r="HH25" s="20"/>
      <c r="HI25" s="20">
        <v>197</v>
      </c>
      <c r="HJ25" s="20">
        <v>100</v>
      </c>
      <c r="HK25" s="20"/>
      <c r="HL25" s="20"/>
      <c r="HM25" s="20">
        <v>297</v>
      </c>
      <c r="HN25" s="20">
        <v>250</v>
      </c>
      <c r="HO25" s="20"/>
      <c r="HP25" s="20"/>
      <c r="HQ25" s="20">
        <v>100</v>
      </c>
      <c r="HR25" s="20">
        <v>86</v>
      </c>
      <c r="HS25" s="20"/>
      <c r="HT25" s="20"/>
      <c r="HU25" s="20">
        <v>186</v>
      </c>
      <c r="HV25" s="20">
        <v>170</v>
      </c>
      <c r="HW25" s="20"/>
      <c r="HX25" s="20"/>
      <c r="HY25" s="20">
        <v>100</v>
      </c>
      <c r="HZ25" s="20">
        <v>50</v>
      </c>
      <c r="IA25" s="20"/>
      <c r="IB25" s="20"/>
      <c r="IC25" s="20">
        <v>150</v>
      </c>
      <c r="ID25" s="20">
        <v>220</v>
      </c>
      <c r="IE25" s="20"/>
      <c r="IF25" s="20"/>
      <c r="IG25" s="20">
        <v>150</v>
      </c>
      <c r="IH25" s="20">
        <v>124</v>
      </c>
      <c r="II25" s="20"/>
      <c r="IJ25" s="20"/>
      <c r="IK25" s="20">
        <v>274</v>
      </c>
      <c r="IL25" s="20">
        <v>250</v>
      </c>
      <c r="IM25" s="20"/>
      <c r="IN25" s="20"/>
      <c r="IO25" s="20">
        <v>130</v>
      </c>
      <c r="IP25" s="20">
        <v>50</v>
      </c>
      <c r="IQ25" s="20"/>
      <c r="IR25" s="20"/>
      <c r="IS25" s="69">
        <v>180</v>
      </c>
      <c r="IT25" s="20">
        <v>200</v>
      </c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>
        <v>240</v>
      </c>
      <c r="KB25" s="20">
        <v>60</v>
      </c>
      <c r="KC25" s="20"/>
      <c r="KD25" s="20"/>
      <c r="KE25" s="69">
        <v>300</v>
      </c>
      <c r="KF25" s="20">
        <v>340</v>
      </c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>
        <v>280</v>
      </c>
      <c r="LN25" s="20">
        <v>70</v>
      </c>
      <c r="LO25" s="20"/>
      <c r="LP25" s="20"/>
      <c r="LQ25" s="136">
        <v>416</v>
      </c>
      <c r="LR25" s="136">
        <v>254</v>
      </c>
      <c r="LS25" s="136">
        <v>536</v>
      </c>
      <c r="LT25" s="136">
        <v>432</v>
      </c>
      <c r="LU25" s="136">
        <v>350</v>
      </c>
      <c r="LV25" s="136">
        <v>65</v>
      </c>
      <c r="LW25" s="136">
        <v>359</v>
      </c>
      <c r="LX25" s="136">
        <v>235</v>
      </c>
      <c r="LY25" s="136">
        <v>105</v>
      </c>
      <c r="LZ25" s="136">
        <v>113</v>
      </c>
      <c r="MA25" s="136">
        <v>142</v>
      </c>
      <c r="MB25" s="136">
        <v>85</v>
      </c>
      <c r="MC25" s="137">
        <v>60</v>
      </c>
      <c r="MD25" s="137">
        <v>90</v>
      </c>
      <c r="ME25" s="136">
        <v>78</v>
      </c>
      <c r="MF25" s="137">
        <v>108</v>
      </c>
      <c r="MG25" s="137">
        <v>89</v>
      </c>
      <c r="MH25" s="137">
        <v>68</v>
      </c>
      <c r="MI25" s="137">
        <v>212</v>
      </c>
      <c r="MJ25" s="137">
        <v>250</v>
      </c>
      <c r="MK25" s="137">
        <v>158</v>
      </c>
      <c r="ML25" s="137">
        <v>212</v>
      </c>
      <c r="MM25" s="137">
        <v>255</v>
      </c>
      <c r="MN25" s="137">
        <v>220</v>
      </c>
      <c r="MO25" s="137">
        <v>285</v>
      </c>
      <c r="MP25" s="137">
        <v>620</v>
      </c>
      <c r="MQ25" s="1">
        <v>774</v>
      </c>
      <c r="MR25" s="137">
        <v>572</v>
      </c>
      <c r="MS25" s="1">
        <v>930</v>
      </c>
      <c r="MT25" s="137">
        <v>880</v>
      </c>
      <c r="MU25" s="138">
        <v>768</v>
      </c>
      <c r="MV25" s="139">
        <f t="shared" si="4"/>
        <v>9721</v>
      </c>
      <c r="MW25" s="121"/>
    </row>
    <row r="26" spans="1:361" s="58" customFormat="1" ht="18.75">
      <c r="A26" s="126" t="s">
        <v>193</v>
      </c>
      <c r="B26" s="46"/>
      <c r="C26" s="20"/>
      <c r="D26" s="20"/>
      <c r="E26" s="20"/>
      <c r="F26" s="20"/>
      <c r="G26" s="47"/>
      <c r="H26" s="48"/>
      <c r="I26" s="46"/>
      <c r="J26" s="20"/>
      <c r="K26" s="20"/>
      <c r="L26" s="20"/>
      <c r="M26" s="20"/>
      <c r="N26" s="47"/>
      <c r="O26" s="49"/>
      <c r="P26" s="46"/>
      <c r="Q26" s="20"/>
      <c r="R26" s="20"/>
      <c r="S26" s="20"/>
      <c r="T26" s="20"/>
      <c r="U26" s="47"/>
      <c r="V26" s="49"/>
      <c r="W26" s="46"/>
      <c r="X26" s="20"/>
      <c r="Y26" s="20"/>
      <c r="Z26" s="20"/>
      <c r="AA26" s="20"/>
      <c r="AB26" s="47"/>
      <c r="AC26" s="49"/>
      <c r="AD26" s="46"/>
      <c r="AE26" s="20"/>
      <c r="AF26" s="20"/>
      <c r="AG26" s="20"/>
      <c r="AH26" s="20"/>
      <c r="AI26" s="47"/>
      <c r="AJ26" s="49"/>
      <c r="AK26" s="46"/>
      <c r="AL26" s="20"/>
      <c r="AM26" s="20"/>
      <c r="AN26" s="20"/>
      <c r="AO26" s="20"/>
      <c r="AP26" s="47"/>
      <c r="AQ26" s="49"/>
      <c r="AR26" s="20"/>
      <c r="AS26" s="20"/>
      <c r="AT26" s="20"/>
      <c r="AU26" s="20"/>
      <c r="AV26" s="20"/>
      <c r="AW26" s="20"/>
      <c r="AX26" s="20"/>
      <c r="AY26" s="49"/>
      <c r="AZ26" s="20"/>
      <c r="BA26" s="20"/>
      <c r="BB26" s="20"/>
      <c r="BC26" s="20"/>
      <c r="BD26" s="20"/>
      <c r="BE26" s="20">
        <v>40</v>
      </c>
      <c r="BF26" s="20"/>
      <c r="BG26" s="49"/>
      <c r="BH26" s="51">
        <v>40</v>
      </c>
      <c r="BI26" s="52"/>
      <c r="BJ26" s="20"/>
      <c r="BK26" s="20"/>
      <c r="BL26" s="20"/>
      <c r="BM26" s="20"/>
      <c r="BN26" s="20"/>
      <c r="BO26" s="49">
        <v>0</v>
      </c>
      <c r="BP26" s="51">
        <v>0</v>
      </c>
      <c r="BQ26" s="46"/>
      <c r="BR26" s="20"/>
      <c r="BS26" s="20"/>
      <c r="BT26" s="20"/>
      <c r="BU26" s="20"/>
      <c r="BV26" s="47"/>
      <c r="BW26" s="48"/>
      <c r="BX26" s="46"/>
      <c r="BY26" s="20"/>
      <c r="BZ26" s="20"/>
      <c r="CA26" s="20"/>
      <c r="CB26" s="20"/>
      <c r="CC26" s="47"/>
      <c r="CD26" s="49"/>
      <c r="CE26" s="46"/>
      <c r="CF26" s="20"/>
      <c r="CG26" s="20"/>
      <c r="CH26" s="20"/>
      <c r="CI26" s="20"/>
      <c r="CJ26" s="47"/>
      <c r="CK26" s="49"/>
      <c r="CL26" s="46"/>
      <c r="CM26" s="20"/>
      <c r="CN26" s="20"/>
      <c r="CO26" s="20"/>
      <c r="CP26" s="20"/>
      <c r="CQ26" s="47"/>
      <c r="CR26" s="49"/>
      <c r="CS26" s="46"/>
      <c r="CT26" s="20"/>
      <c r="CU26" s="20"/>
      <c r="CV26" s="20"/>
      <c r="CW26" s="20"/>
      <c r="CX26" s="47"/>
      <c r="CY26" s="49"/>
      <c r="CZ26" s="46"/>
      <c r="DA26" s="20"/>
      <c r="DB26" s="20"/>
      <c r="DC26" s="20"/>
      <c r="DD26" s="20"/>
      <c r="DE26" s="47"/>
      <c r="DF26" s="49"/>
      <c r="DG26" s="20"/>
      <c r="DH26" s="20"/>
      <c r="DI26" s="20"/>
      <c r="DJ26" s="20"/>
      <c r="DK26" s="20"/>
      <c r="DL26" s="20"/>
      <c r="DM26" s="20"/>
      <c r="DN26" s="49"/>
      <c r="DO26" s="20"/>
      <c r="DP26" s="20"/>
      <c r="DQ26" s="20"/>
      <c r="DR26" s="20"/>
      <c r="DS26" s="20"/>
      <c r="DT26" s="20">
        <v>40</v>
      </c>
      <c r="DU26" s="20"/>
      <c r="DV26" s="49"/>
      <c r="DW26" s="52"/>
      <c r="DX26" s="20"/>
      <c r="DY26" s="20"/>
      <c r="DZ26" s="20"/>
      <c r="EA26" s="20"/>
      <c r="EB26" s="20"/>
      <c r="EC26" s="70"/>
      <c r="ED26" s="51"/>
      <c r="EE26" s="52"/>
      <c r="EF26" s="20"/>
      <c r="EG26" s="20"/>
      <c r="EH26" s="20"/>
      <c r="EI26" s="20"/>
      <c r="EJ26" s="20"/>
      <c r="EK26" s="70"/>
      <c r="EL26" s="51"/>
      <c r="EM26" s="52"/>
      <c r="EN26" s="20"/>
      <c r="EO26" s="20"/>
      <c r="EP26" s="20"/>
      <c r="EQ26" s="20"/>
      <c r="ER26" s="20"/>
      <c r="ES26" s="70"/>
      <c r="ET26" s="57"/>
      <c r="EU26" s="52"/>
      <c r="EV26" s="20"/>
      <c r="EW26" s="20"/>
      <c r="EX26" s="20"/>
      <c r="EY26" s="20">
        <v>13</v>
      </c>
      <c r="EZ26" s="20"/>
      <c r="FA26" s="70">
        <v>13</v>
      </c>
      <c r="FB26" s="57"/>
      <c r="FC26" s="52"/>
      <c r="FD26" s="20"/>
      <c r="FE26" s="20"/>
      <c r="FF26" s="20"/>
      <c r="FG26" s="20">
        <v>15</v>
      </c>
      <c r="FH26" s="20"/>
      <c r="FI26" s="70">
        <v>15</v>
      </c>
      <c r="FJ26" s="57">
        <v>20</v>
      </c>
      <c r="FK26" s="52"/>
      <c r="FL26" s="20"/>
      <c r="FM26" s="20"/>
      <c r="FN26" s="20"/>
      <c r="FO26" s="20">
        <v>25</v>
      </c>
      <c r="FP26" s="20"/>
      <c r="FQ26" s="70">
        <v>25</v>
      </c>
      <c r="FR26" s="57">
        <v>20</v>
      </c>
      <c r="FS26" s="52"/>
      <c r="FT26" s="20"/>
      <c r="FU26" s="20"/>
      <c r="FV26" s="20"/>
      <c r="FW26" s="20"/>
      <c r="FX26" s="20"/>
      <c r="FY26" s="70"/>
      <c r="FZ26" s="57">
        <v>30</v>
      </c>
      <c r="GA26" s="20"/>
      <c r="GB26" s="20"/>
      <c r="GC26" s="20"/>
      <c r="GD26" s="20"/>
      <c r="GE26" s="20">
        <v>50</v>
      </c>
      <c r="GF26" s="20"/>
      <c r="GG26" s="20">
        <v>50</v>
      </c>
      <c r="GH26" s="20">
        <v>50</v>
      </c>
      <c r="GI26" s="20"/>
      <c r="GJ26" s="20"/>
      <c r="GK26" s="20"/>
      <c r="GL26" s="20"/>
      <c r="GM26" s="20">
        <v>55</v>
      </c>
      <c r="GN26" s="20"/>
      <c r="GO26" s="20">
        <v>55</v>
      </c>
      <c r="GP26" s="20">
        <v>50</v>
      </c>
      <c r="GQ26" s="20"/>
      <c r="GR26" s="20"/>
      <c r="GS26" s="20"/>
      <c r="GT26" s="20"/>
      <c r="GU26" s="20">
        <v>36</v>
      </c>
      <c r="GV26" s="56"/>
      <c r="GW26" s="57">
        <v>36</v>
      </c>
      <c r="GX26" s="57">
        <v>30</v>
      </c>
      <c r="GY26" s="20"/>
      <c r="GZ26" s="20"/>
      <c r="HA26" s="20"/>
      <c r="HB26" s="20"/>
      <c r="HC26" s="20">
        <v>45</v>
      </c>
      <c r="HD26" s="56"/>
      <c r="HE26" s="57">
        <v>45</v>
      </c>
      <c r="HF26" s="57">
        <v>40</v>
      </c>
      <c r="HG26" s="20"/>
      <c r="HH26" s="20"/>
      <c r="HI26" s="20"/>
      <c r="HJ26" s="20"/>
      <c r="HK26" s="20">
        <v>40</v>
      </c>
      <c r="HL26" s="20"/>
      <c r="HM26" s="20">
        <v>40</v>
      </c>
      <c r="HN26" s="20">
        <v>40</v>
      </c>
      <c r="HO26" s="20"/>
      <c r="HP26" s="20"/>
      <c r="HQ26" s="20"/>
      <c r="HR26" s="20"/>
      <c r="HS26" s="20">
        <v>40</v>
      </c>
      <c r="HT26" s="20"/>
      <c r="HU26" s="20">
        <v>40</v>
      </c>
      <c r="HV26" s="20">
        <v>40</v>
      </c>
      <c r="HW26" s="20"/>
      <c r="HX26" s="20"/>
      <c r="HY26" s="20"/>
      <c r="HZ26" s="20"/>
      <c r="IA26" s="20">
        <v>18</v>
      </c>
      <c r="IB26" s="20"/>
      <c r="IC26" s="20">
        <v>18</v>
      </c>
      <c r="ID26" s="20">
        <v>20</v>
      </c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>
        <v>30</v>
      </c>
      <c r="IR26" s="20"/>
      <c r="IS26" s="69">
        <v>30</v>
      </c>
      <c r="IT26" s="20">
        <v>30</v>
      </c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69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136"/>
      <c r="LR26" s="136">
        <v>50</v>
      </c>
      <c r="LS26" s="136"/>
      <c r="LT26" s="136"/>
      <c r="LU26" s="136"/>
      <c r="LV26" s="136"/>
      <c r="LW26" s="136"/>
      <c r="LX26" s="136"/>
      <c r="LY26" s="136"/>
      <c r="LZ26" s="136"/>
      <c r="MA26" s="136"/>
      <c r="MB26" s="136"/>
      <c r="MC26" s="137"/>
      <c r="MD26" s="137"/>
      <c r="ME26" s="136"/>
      <c r="MF26" s="137"/>
      <c r="MG26" s="137"/>
      <c r="MH26" s="137"/>
      <c r="MI26" s="137"/>
      <c r="MJ26" s="137"/>
      <c r="MK26" s="137"/>
      <c r="ML26" s="137"/>
      <c r="MM26" s="137"/>
      <c r="MN26" s="137"/>
      <c r="MO26" s="137"/>
      <c r="MP26" s="137"/>
      <c r="MQ26" s="1">
        <v>0</v>
      </c>
      <c r="MR26" s="137">
        <v>0</v>
      </c>
      <c r="MS26" s="1">
        <v>0</v>
      </c>
      <c r="MT26" s="137">
        <v>0</v>
      </c>
      <c r="MU26" s="138">
        <v>1047</v>
      </c>
      <c r="MV26" s="139">
        <f t="shared" si="4"/>
        <v>1097</v>
      </c>
      <c r="MW26" s="121"/>
    </row>
    <row r="27" spans="1:361" s="58" customFormat="1" ht="18.75">
      <c r="A27" s="126" t="s">
        <v>194</v>
      </c>
      <c r="B27" s="46">
        <v>0</v>
      </c>
      <c r="C27" s="20">
        <v>0</v>
      </c>
      <c r="D27" s="20">
        <v>40</v>
      </c>
      <c r="E27" s="20">
        <v>0</v>
      </c>
      <c r="F27" s="20">
        <v>0</v>
      </c>
      <c r="G27" s="47">
        <v>0</v>
      </c>
      <c r="H27" s="48"/>
      <c r="I27" s="46"/>
      <c r="J27" s="20"/>
      <c r="K27" s="20">
        <v>85</v>
      </c>
      <c r="L27" s="20"/>
      <c r="M27" s="20"/>
      <c r="N27" s="47"/>
      <c r="O27" s="49">
        <f>I27+J27+K27+L27+M27+N27</f>
        <v>85</v>
      </c>
      <c r="P27" s="46"/>
      <c r="Q27" s="20"/>
      <c r="R27" s="20">
        <v>45</v>
      </c>
      <c r="S27" s="20"/>
      <c r="T27" s="20"/>
      <c r="U27" s="47"/>
      <c r="V27" s="49">
        <f>P27+Q27+R27+S27+T27+U27</f>
        <v>45</v>
      </c>
      <c r="W27" s="46"/>
      <c r="X27" s="20"/>
      <c r="Y27" s="20">
        <v>30</v>
      </c>
      <c r="Z27" s="20"/>
      <c r="AA27" s="20"/>
      <c r="AB27" s="47"/>
      <c r="AC27" s="49"/>
      <c r="AD27" s="46"/>
      <c r="AE27" s="20"/>
      <c r="AF27" s="20"/>
      <c r="AG27" s="20"/>
      <c r="AH27" s="20"/>
      <c r="AI27" s="47"/>
      <c r="AJ27" s="49"/>
      <c r="AK27" s="46"/>
      <c r="AL27" s="20"/>
      <c r="AM27" s="20">
        <v>60</v>
      </c>
      <c r="AN27" s="20"/>
      <c r="AO27" s="20"/>
      <c r="AP27" s="47"/>
      <c r="AQ27" s="49"/>
      <c r="AR27" s="20"/>
      <c r="AS27" s="20"/>
      <c r="AT27" s="20"/>
      <c r="AU27" s="20"/>
      <c r="AV27" s="20"/>
      <c r="AW27" s="20"/>
      <c r="AX27" s="20"/>
      <c r="AY27" s="49"/>
      <c r="AZ27" s="20">
        <v>0</v>
      </c>
      <c r="BA27" s="20"/>
      <c r="BB27" s="20"/>
      <c r="BC27" s="20">
        <v>50</v>
      </c>
      <c r="BD27" s="20"/>
      <c r="BE27" s="20"/>
      <c r="BF27" s="20"/>
      <c r="BG27" s="49"/>
      <c r="BH27" s="51">
        <v>30</v>
      </c>
      <c r="BI27" s="52"/>
      <c r="BJ27" s="20"/>
      <c r="BK27" s="20">
        <v>20</v>
      </c>
      <c r="BL27" s="20"/>
      <c r="BM27" s="20"/>
      <c r="BN27" s="20"/>
      <c r="BO27" s="49">
        <v>20</v>
      </c>
      <c r="BP27" s="51">
        <v>30</v>
      </c>
      <c r="BQ27" s="46">
        <v>0</v>
      </c>
      <c r="BR27" s="20">
        <v>0</v>
      </c>
      <c r="BS27" s="20">
        <v>40</v>
      </c>
      <c r="BT27" s="20">
        <v>0</v>
      </c>
      <c r="BU27" s="20">
        <v>0</v>
      </c>
      <c r="BV27" s="47">
        <v>0</v>
      </c>
      <c r="BW27" s="48"/>
      <c r="BX27" s="46"/>
      <c r="BY27" s="20"/>
      <c r="BZ27" s="20">
        <v>85</v>
      </c>
      <c r="CA27" s="20"/>
      <c r="CB27" s="20"/>
      <c r="CC27" s="47"/>
      <c r="CD27" s="49">
        <f>BX27+BY27+BZ27+CA27+CB27+CC27</f>
        <v>85</v>
      </c>
      <c r="CE27" s="46"/>
      <c r="CF27" s="20"/>
      <c r="CG27" s="20">
        <v>45</v>
      </c>
      <c r="CH27" s="20"/>
      <c r="CI27" s="20"/>
      <c r="CJ27" s="47"/>
      <c r="CK27" s="49">
        <f>CE27+CF27+CG27+CH27+CI27+CJ27</f>
        <v>45</v>
      </c>
      <c r="CL27" s="46"/>
      <c r="CM27" s="20"/>
      <c r="CN27" s="20">
        <v>30</v>
      </c>
      <c r="CO27" s="20"/>
      <c r="CP27" s="20"/>
      <c r="CQ27" s="47"/>
      <c r="CR27" s="49"/>
      <c r="CS27" s="46"/>
      <c r="CT27" s="20"/>
      <c r="CU27" s="20"/>
      <c r="CV27" s="20"/>
      <c r="CW27" s="20"/>
      <c r="CX27" s="47"/>
      <c r="CY27" s="49"/>
      <c r="CZ27" s="46"/>
      <c r="DA27" s="20"/>
      <c r="DB27" s="20">
        <v>60</v>
      </c>
      <c r="DC27" s="20"/>
      <c r="DD27" s="20"/>
      <c r="DE27" s="47"/>
      <c r="DF27" s="49"/>
      <c r="DG27" s="20"/>
      <c r="DH27" s="20"/>
      <c r="DI27" s="20"/>
      <c r="DJ27" s="20"/>
      <c r="DK27" s="20"/>
      <c r="DL27" s="20"/>
      <c r="DM27" s="20"/>
      <c r="DN27" s="49"/>
      <c r="DO27" s="20">
        <v>0</v>
      </c>
      <c r="DP27" s="20"/>
      <c r="DQ27" s="20"/>
      <c r="DR27" s="20">
        <v>50</v>
      </c>
      <c r="DS27" s="20"/>
      <c r="DT27" s="20"/>
      <c r="DU27" s="20"/>
      <c r="DV27" s="49"/>
      <c r="DW27" s="52"/>
      <c r="DX27" s="20"/>
      <c r="DY27" s="20"/>
      <c r="DZ27" s="20"/>
      <c r="EA27" s="20"/>
      <c r="EB27" s="20"/>
      <c r="EC27" s="70"/>
      <c r="ED27" s="51"/>
      <c r="EE27" s="52"/>
      <c r="EF27" s="20"/>
      <c r="EG27" s="20"/>
      <c r="EH27" s="20"/>
      <c r="EI27" s="20"/>
      <c r="EJ27" s="20"/>
      <c r="EK27" s="70"/>
      <c r="EL27" s="51"/>
      <c r="EM27" s="52"/>
      <c r="EN27" s="20"/>
      <c r="EO27" s="20"/>
      <c r="EP27" s="20"/>
      <c r="EQ27" s="20"/>
      <c r="ER27" s="20"/>
      <c r="ES27" s="70"/>
      <c r="ET27" s="57"/>
      <c r="EU27" s="52"/>
      <c r="EV27" s="20"/>
      <c r="EW27" s="20">
        <v>20</v>
      </c>
      <c r="EX27" s="20"/>
      <c r="EY27" s="20"/>
      <c r="EZ27" s="20"/>
      <c r="FA27" s="70">
        <v>20</v>
      </c>
      <c r="FB27" s="57">
        <v>20</v>
      </c>
      <c r="FC27" s="52"/>
      <c r="FD27" s="20"/>
      <c r="FE27" s="20"/>
      <c r="FF27" s="20"/>
      <c r="FG27" s="20"/>
      <c r="FH27" s="20"/>
      <c r="FI27" s="70"/>
      <c r="FJ27" s="57"/>
      <c r="FK27" s="52"/>
      <c r="FL27" s="20"/>
      <c r="FM27" s="20"/>
      <c r="FN27" s="20"/>
      <c r="FO27" s="20"/>
      <c r="FP27" s="20"/>
      <c r="FQ27" s="70"/>
      <c r="FR27" s="57"/>
      <c r="FS27" s="52"/>
      <c r="FT27" s="20"/>
      <c r="FU27" s="20"/>
      <c r="FV27" s="20"/>
      <c r="FW27" s="20"/>
      <c r="FX27" s="20"/>
      <c r="FY27" s="70"/>
      <c r="FZ27" s="57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56"/>
      <c r="GW27" s="57"/>
      <c r="GX27" s="57"/>
      <c r="GY27" s="20"/>
      <c r="GZ27" s="20"/>
      <c r="HA27" s="20"/>
      <c r="HB27" s="20"/>
      <c r="HC27" s="20"/>
      <c r="HD27" s="56"/>
      <c r="HE27" s="57"/>
      <c r="HF27" s="57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69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69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136"/>
      <c r="LR27" s="136"/>
      <c r="LS27" s="136"/>
      <c r="LT27" s="136">
        <v>30</v>
      </c>
      <c r="LU27" s="136"/>
      <c r="LV27" s="136"/>
      <c r="LW27" s="136">
        <v>59</v>
      </c>
      <c r="LX27" s="136">
        <v>200</v>
      </c>
      <c r="LY27" s="136">
        <v>230</v>
      </c>
      <c r="LZ27" s="136">
        <v>237</v>
      </c>
      <c r="MA27" s="136">
        <v>288</v>
      </c>
      <c r="MB27" s="136">
        <v>310</v>
      </c>
      <c r="MC27" s="137">
        <v>220</v>
      </c>
      <c r="MD27" s="137">
        <v>150</v>
      </c>
      <c r="ME27" s="136">
        <v>190</v>
      </c>
      <c r="MF27" s="137">
        <v>145</v>
      </c>
      <c r="MG27" s="137">
        <v>190</v>
      </c>
      <c r="MH27" s="137">
        <v>200</v>
      </c>
      <c r="MI27" s="137">
        <v>260</v>
      </c>
      <c r="MJ27" s="137">
        <v>300</v>
      </c>
      <c r="MK27" s="137">
        <v>490</v>
      </c>
      <c r="ML27" s="137">
        <v>430</v>
      </c>
      <c r="MM27" s="137">
        <v>320</v>
      </c>
      <c r="MN27" s="137">
        <v>730</v>
      </c>
      <c r="MO27" s="137">
        <v>630</v>
      </c>
      <c r="MP27" s="137">
        <v>750</v>
      </c>
      <c r="MQ27" s="1">
        <v>450</v>
      </c>
      <c r="MR27" s="137">
        <v>250</v>
      </c>
      <c r="MS27" s="1">
        <v>220</v>
      </c>
      <c r="MT27" s="137">
        <v>180</v>
      </c>
      <c r="MU27" s="138">
        <v>150</v>
      </c>
      <c r="MV27" s="139">
        <f t="shared" si="4"/>
        <v>7609</v>
      </c>
      <c r="MW27" s="121"/>
    </row>
    <row r="28" spans="1:361" s="58" customFormat="1" ht="18.75">
      <c r="A28" s="126" t="s">
        <v>195</v>
      </c>
      <c r="B28" s="46">
        <v>0</v>
      </c>
      <c r="C28" s="20">
        <v>0</v>
      </c>
      <c r="D28" s="20">
        <v>0</v>
      </c>
      <c r="E28" s="20">
        <v>0</v>
      </c>
      <c r="F28" s="20">
        <v>0</v>
      </c>
      <c r="G28" s="47">
        <v>0</v>
      </c>
      <c r="H28" s="48"/>
      <c r="I28" s="46"/>
      <c r="J28" s="20"/>
      <c r="K28" s="20"/>
      <c r="L28" s="20"/>
      <c r="M28" s="20"/>
      <c r="N28" s="47"/>
      <c r="O28" s="49">
        <f>I28+J28+K28+L28+M28+N28</f>
        <v>0</v>
      </c>
      <c r="P28" s="46"/>
      <c r="Q28" s="20"/>
      <c r="R28" s="20"/>
      <c r="S28" s="20"/>
      <c r="T28" s="20"/>
      <c r="U28" s="47"/>
      <c r="V28" s="49">
        <f>P28+Q28+R28+S28+T28+U28</f>
        <v>0</v>
      </c>
      <c r="W28" s="46"/>
      <c r="X28" s="20"/>
      <c r="Y28" s="20"/>
      <c r="Z28" s="20"/>
      <c r="AA28" s="20">
        <v>16</v>
      </c>
      <c r="AB28" s="47"/>
      <c r="AC28" s="49"/>
      <c r="AD28" s="46"/>
      <c r="AE28" s="20"/>
      <c r="AF28" s="20"/>
      <c r="AG28" s="20"/>
      <c r="AH28" s="20"/>
      <c r="AI28" s="47"/>
      <c r="AJ28" s="49"/>
      <c r="AK28" s="46"/>
      <c r="AL28" s="20"/>
      <c r="AM28" s="20"/>
      <c r="AN28" s="20"/>
      <c r="AO28" s="20"/>
      <c r="AP28" s="47"/>
      <c r="AQ28" s="49"/>
      <c r="AR28" s="20"/>
      <c r="AS28" s="20"/>
      <c r="AT28" s="20"/>
      <c r="AU28" s="20"/>
      <c r="AV28" s="20"/>
      <c r="AW28" s="20"/>
      <c r="AX28" s="20"/>
      <c r="AY28" s="49"/>
      <c r="AZ28" s="20"/>
      <c r="BA28" s="20"/>
      <c r="BB28" s="20"/>
      <c r="BC28" s="20"/>
      <c r="BD28" s="20"/>
      <c r="BE28" s="20"/>
      <c r="BF28" s="20"/>
      <c r="BG28" s="49"/>
      <c r="BH28" s="51"/>
      <c r="BI28" s="52"/>
      <c r="BJ28" s="20"/>
      <c r="BK28" s="20"/>
      <c r="BL28" s="20"/>
      <c r="BM28" s="20"/>
      <c r="BN28" s="20"/>
      <c r="BO28" s="49">
        <v>0</v>
      </c>
      <c r="BP28" s="51">
        <v>0</v>
      </c>
      <c r="BQ28" s="46">
        <v>0</v>
      </c>
      <c r="BR28" s="20">
        <v>0</v>
      </c>
      <c r="BS28" s="20">
        <v>0</v>
      </c>
      <c r="BT28" s="20">
        <v>0</v>
      </c>
      <c r="BU28" s="20">
        <v>0</v>
      </c>
      <c r="BV28" s="47">
        <v>0</v>
      </c>
      <c r="BW28" s="48"/>
      <c r="BX28" s="46"/>
      <c r="BY28" s="20"/>
      <c r="BZ28" s="20"/>
      <c r="CA28" s="20"/>
      <c r="CB28" s="20"/>
      <c r="CC28" s="47"/>
      <c r="CD28" s="49">
        <f>BX28+BY28+BZ28+CA28+CB28+CC28</f>
        <v>0</v>
      </c>
      <c r="CE28" s="46"/>
      <c r="CF28" s="20"/>
      <c r="CG28" s="20"/>
      <c r="CH28" s="20"/>
      <c r="CI28" s="20"/>
      <c r="CJ28" s="47"/>
      <c r="CK28" s="49">
        <f>CE28+CF28+CG28+CH28+CI28+CJ28</f>
        <v>0</v>
      </c>
      <c r="CL28" s="46"/>
      <c r="CM28" s="20"/>
      <c r="CN28" s="20"/>
      <c r="CO28" s="20"/>
      <c r="CP28" s="20">
        <v>16</v>
      </c>
      <c r="CQ28" s="47"/>
      <c r="CR28" s="49"/>
      <c r="CS28" s="46"/>
      <c r="CT28" s="20"/>
      <c r="CU28" s="20"/>
      <c r="CV28" s="20"/>
      <c r="CW28" s="20"/>
      <c r="CX28" s="47"/>
      <c r="CY28" s="49"/>
      <c r="CZ28" s="46"/>
      <c r="DA28" s="20"/>
      <c r="DB28" s="20"/>
      <c r="DC28" s="20"/>
      <c r="DD28" s="20"/>
      <c r="DE28" s="47"/>
      <c r="DF28" s="49"/>
      <c r="DG28" s="20"/>
      <c r="DH28" s="20"/>
      <c r="DI28" s="20"/>
      <c r="DJ28" s="20"/>
      <c r="DK28" s="20"/>
      <c r="DL28" s="20"/>
      <c r="DM28" s="20"/>
      <c r="DN28" s="49"/>
      <c r="DO28" s="20"/>
      <c r="DP28" s="20"/>
      <c r="DQ28" s="20"/>
      <c r="DR28" s="20"/>
      <c r="DS28" s="20"/>
      <c r="DT28" s="20"/>
      <c r="DU28" s="20"/>
      <c r="DV28" s="49"/>
      <c r="DW28" s="52"/>
      <c r="DX28" s="20"/>
      <c r="DY28" s="20"/>
      <c r="DZ28" s="20"/>
      <c r="EA28" s="20"/>
      <c r="EB28" s="20"/>
      <c r="EC28" s="70"/>
      <c r="ED28" s="51"/>
      <c r="EE28" s="52"/>
      <c r="EF28" s="20"/>
      <c r="EG28" s="20"/>
      <c r="EH28" s="20"/>
      <c r="EI28" s="20"/>
      <c r="EJ28" s="20"/>
      <c r="EK28" s="70"/>
      <c r="EL28" s="51"/>
      <c r="EM28" s="52"/>
      <c r="EN28" s="20"/>
      <c r="EO28" s="20"/>
      <c r="EP28" s="20"/>
      <c r="EQ28" s="20"/>
      <c r="ER28" s="20"/>
      <c r="ES28" s="70"/>
      <c r="ET28" s="57"/>
      <c r="EU28" s="52"/>
      <c r="EV28" s="20"/>
      <c r="EW28" s="20"/>
      <c r="EX28" s="20"/>
      <c r="EY28" s="20"/>
      <c r="EZ28" s="20"/>
      <c r="FA28" s="70"/>
      <c r="FB28" s="57"/>
      <c r="FC28" s="52"/>
      <c r="FD28" s="20"/>
      <c r="FE28" s="20"/>
      <c r="FF28" s="20"/>
      <c r="FG28" s="20">
        <v>14</v>
      </c>
      <c r="FH28" s="20"/>
      <c r="FI28" s="70">
        <v>14</v>
      </c>
      <c r="FJ28" s="57">
        <v>10</v>
      </c>
      <c r="FK28" s="52"/>
      <c r="FL28" s="20"/>
      <c r="FM28" s="20"/>
      <c r="FN28" s="20"/>
      <c r="FO28" s="20">
        <v>28</v>
      </c>
      <c r="FP28" s="20"/>
      <c r="FQ28" s="70">
        <v>28</v>
      </c>
      <c r="FR28" s="57">
        <v>20</v>
      </c>
      <c r="FS28" s="52"/>
      <c r="FT28" s="20"/>
      <c r="FU28" s="20"/>
      <c r="FV28" s="20"/>
      <c r="FW28" s="20">
        <v>52</v>
      </c>
      <c r="FX28" s="20"/>
      <c r="FY28" s="70">
        <v>52</v>
      </c>
      <c r="FZ28" s="57">
        <v>50</v>
      </c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>
        <v>115</v>
      </c>
      <c r="GN28" s="20"/>
      <c r="GO28" s="20">
        <v>115</v>
      </c>
      <c r="GP28" s="20">
        <v>100</v>
      </c>
      <c r="GQ28" s="20"/>
      <c r="GR28" s="20"/>
      <c r="GS28" s="20"/>
      <c r="GT28" s="20"/>
      <c r="GU28" s="20">
        <v>80</v>
      </c>
      <c r="GV28" s="56"/>
      <c r="GW28" s="57">
        <v>80</v>
      </c>
      <c r="GX28" s="57">
        <v>100</v>
      </c>
      <c r="GY28" s="20"/>
      <c r="GZ28" s="20"/>
      <c r="HA28" s="20"/>
      <c r="HB28" s="20"/>
      <c r="HC28" s="20">
        <v>144</v>
      </c>
      <c r="HD28" s="56"/>
      <c r="HE28" s="57">
        <v>144</v>
      </c>
      <c r="HF28" s="57">
        <v>120</v>
      </c>
      <c r="HG28" s="20"/>
      <c r="HH28" s="20"/>
      <c r="HI28" s="20"/>
      <c r="HJ28" s="20"/>
      <c r="HK28" s="20">
        <v>100</v>
      </c>
      <c r="HL28" s="20"/>
      <c r="HM28" s="20">
        <v>100</v>
      </c>
      <c r="HN28" s="20">
        <v>100</v>
      </c>
      <c r="HO28" s="20"/>
      <c r="HP28" s="20"/>
      <c r="HQ28" s="20"/>
      <c r="HR28" s="20"/>
      <c r="HS28" s="20">
        <v>80</v>
      </c>
      <c r="HT28" s="20"/>
      <c r="HU28" s="20">
        <v>80</v>
      </c>
      <c r="HV28" s="20">
        <v>50</v>
      </c>
      <c r="HW28" s="20"/>
      <c r="HX28" s="20"/>
      <c r="HY28" s="20"/>
      <c r="HZ28" s="20"/>
      <c r="IA28" s="20">
        <v>110</v>
      </c>
      <c r="IB28" s="20"/>
      <c r="IC28" s="20">
        <v>110</v>
      </c>
      <c r="ID28" s="20">
        <v>100</v>
      </c>
      <c r="IE28" s="20"/>
      <c r="IF28" s="20"/>
      <c r="IG28" s="20"/>
      <c r="IH28" s="20"/>
      <c r="II28" s="20">
        <v>150</v>
      </c>
      <c r="IJ28" s="20"/>
      <c r="IK28" s="20">
        <v>150</v>
      </c>
      <c r="IL28" s="20">
        <v>100</v>
      </c>
      <c r="IM28" s="20"/>
      <c r="IN28" s="20"/>
      <c r="IO28" s="20"/>
      <c r="IP28" s="20"/>
      <c r="IQ28" s="20">
        <v>345</v>
      </c>
      <c r="IR28" s="20"/>
      <c r="IS28" s="69">
        <v>345</v>
      </c>
      <c r="IT28" s="20">
        <v>250</v>
      </c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>
        <v>110</v>
      </c>
      <c r="KD28" s="20"/>
      <c r="KE28" s="69">
        <v>110</v>
      </c>
      <c r="KF28" s="20">
        <v>80</v>
      </c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>
        <v>100</v>
      </c>
      <c r="LP28" s="20"/>
      <c r="LQ28" s="136">
        <v>50</v>
      </c>
      <c r="LR28" s="136"/>
      <c r="LS28" s="136">
        <v>50</v>
      </c>
      <c r="LT28" s="136">
        <v>47</v>
      </c>
      <c r="LU28" s="136">
        <v>30</v>
      </c>
      <c r="LV28" s="136"/>
      <c r="LW28" s="136"/>
      <c r="LX28" s="136"/>
      <c r="LY28" s="136"/>
      <c r="LZ28" s="136"/>
      <c r="MA28" s="136"/>
      <c r="MB28" s="136">
        <v>30</v>
      </c>
      <c r="MC28" s="137"/>
      <c r="MD28" s="137">
        <v>39</v>
      </c>
      <c r="ME28" s="136">
        <v>14</v>
      </c>
      <c r="MF28" s="137">
        <v>42</v>
      </c>
      <c r="MG28" s="137"/>
      <c r="MH28" s="137">
        <v>219</v>
      </c>
      <c r="MI28" s="137">
        <v>152</v>
      </c>
      <c r="MJ28" s="137">
        <v>115</v>
      </c>
      <c r="MK28" s="137">
        <v>130</v>
      </c>
      <c r="ML28" s="137">
        <v>110</v>
      </c>
      <c r="MM28" s="137">
        <v>76</v>
      </c>
      <c r="MN28" s="137">
        <v>160</v>
      </c>
      <c r="MO28" s="137">
        <v>150</v>
      </c>
      <c r="MP28" s="137">
        <v>150</v>
      </c>
      <c r="MQ28" s="1">
        <v>150</v>
      </c>
      <c r="MR28" s="137">
        <v>100</v>
      </c>
      <c r="MS28" s="1">
        <v>360</v>
      </c>
      <c r="MT28" s="137">
        <v>0</v>
      </c>
      <c r="MU28" s="138">
        <v>0</v>
      </c>
      <c r="MV28" s="139">
        <f t="shared" si="4"/>
        <v>2174</v>
      </c>
      <c r="MW28" s="121"/>
    </row>
    <row r="29" spans="1:361" s="58" customFormat="1" ht="18.75">
      <c r="A29" s="126" t="s">
        <v>196</v>
      </c>
      <c r="B29" s="46"/>
      <c r="C29" s="20"/>
      <c r="D29" s="20"/>
      <c r="E29" s="20"/>
      <c r="F29" s="20"/>
      <c r="G29" s="47"/>
      <c r="H29" s="48"/>
      <c r="I29" s="46"/>
      <c r="J29" s="20"/>
      <c r="K29" s="20"/>
      <c r="L29" s="20"/>
      <c r="M29" s="20"/>
      <c r="N29" s="47"/>
      <c r="O29" s="49">
        <f>I29+J29+K29+L29+M29+N29</f>
        <v>0</v>
      </c>
      <c r="P29" s="46"/>
      <c r="Q29" s="20"/>
      <c r="R29" s="20"/>
      <c r="S29" s="20"/>
      <c r="T29" s="20"/>
      <c r="U29" s="47"/>
      <c r="V29" s="49">
        <f>P29+Q29+R29+S29+T29+U29</f>
        <v>0</v>
      </c>
      <c r="W29" s="46"/>
      <c r="X29" s="20"/>
      <c r="Y29" s="20"/>
      <c r="Z29" s="20"/>
      <c r="AA29" s="20"/>
      <c r="AB29" s="47"/>
      <c r="AC29" s="49"/>
      <c r="AD29" s="46"/>
      <c r="AE29" s="20"/>
      <c r="AF29" s="20"/>
      <c r="AG29" s="20"/>
      <c r="AH29" s="20"/>
      <c r="AI29" s="47"/>
      <c r="AJ29" s="49"/>
      <c r="AK29" s="46"/>
      <c r="AL29" s="20"/>
      <c r="AM29" s="20"/>
      <c r="AN29" s="20"/>
      <c r="AO29" s="20"/>
      <c r="AP29" s="47"/>
      <c r="AQ29" s="49"/>
      <c r="AR29" s="20"/>
      <c r="AS29" s="20"/>
      <c r="AT29" s="20"/>
      <c r="AU29" s="20"/>
      <c r="AV29" s="20"/>
      <c r="AW29" s="20">
        <v>32</v>
      </c>
      <c r="AX29" s="20"/>
      <c r="AY29" s="49"/>
      <c r="AZ29" s="20">
        <v>50</v>
      </c>
      <c r="BA29" s="20"/>
      <c r="BB29" s="20"/>
      <c r="BC29" s="20"/>
      <c r="BD29" s="20"/>
      <c r="BE29" s="20"/>
      <c r="BF29" s="20"/>
      <c r="BG29" s="49"/>
      <c r="BH29" s="51"/>
      <c r="BI29" s="52"/>
      <c r="BJ29" s="20"/>
      <c r="BK29" s="20"/>
      <c r="BL29" s="20"/>
      <c r="BM29" s="20"/>
      <c r="BN29" s="20"/>
      <c r="BO29" s="49">
        <v>0</v>
      </c>
      <c r="BP29" s="51">
        <v>0</v>
      </c>
      <c r="BQ29" s="46"/>
      <c r="BR29" s="20"/>
      <c r="BS29" s="20"/>
      <c r="BT29" s="20"/>
      <c r="BU29" s="20"/>
      <c r="BV29" s="47"/>
      <c r="BW29" s="48"/>
      <c r="BX29" s="46"/>
      <c r="BY29" s="20"/>
      <c r="BZ29" s="20"/>
      <c r="CA29" s="20"/>
      <c r="CB29" s="20"/>
      <c r="CC29" s="47"/>
      <c r="CD29" s="49">
        <f>BX29+BY29+BZ29+CA29+CB29+CC29</f>
        <v>0</v>
      </c>
      <c r="CE29" s="46"/>
      <c r="CF29" s="20"/>
      <c r="CG29" s="20"/>
      <c r="CH29" s="20"/>
      <c r="CI29" s="20"/>
      <c r="CJ29" s="47"/>
      <c r="CK29" s="49">
        <f>CE29+CF29+CG29+CH29+CI29+CJ29</f>
        <v>0</v>
      </c>
      <c r="CL29" s="46"/>
      <c r="CM29" s="20"/>
      <c r="CN29" s="20"/>
      <c r="CO29" s="20"/>
      <c r="CP29" s="20"/>
      <c r="CQ29" s="47"/>
      <c r="CR29" s="49"/>
      <c r="CS29" s="46"/>
      <c r="CT29" s="20"/>
      <c r="CU29" s="20"/>
      <c r="CV29" s="20"/>
      <c r="CW29" s="20"/>
      <c r="CX29" s="47"/>
      <c r="CY29" s="49"/>
      <c r="CZ29" s="46"/>
      <c r="DA29" s="20"/>
      <c r="DB29" s="20"/>
      <c r="DC29" s="20"/>
      <c r="DD29" s="20"/>
      <c r="DE29" s="47"/>
      <c r="DF29" s="49"/>
      <c r="DG29" s="20"/>
      <c r="DH29" s="20"/>
      <c r="DI29" s="20"/>
      <c r="DJ29" s="20"/>
      <c r="DK29" s="20"/>
      <c r="DL29" s="20">
        <v>32</v>
      </c>
      <c r="DM29" s="20"/>
      <c r="DN29" s="49"/>
      <c r="DO29" s="20">
        <v>50</v>
      </c>
      <c r="DP29" s="20"/>
      <c r="DQ29" s="20"/>
      <c r="DR29" s="20"/>
      <c r="DS29" s="20"/>
      <c r="DT29" s="20"/>
      <c r="DU29" s="20"/>
      <c r="DV29" s="49"/>
      <c r="DW29" s="52"/>
      <c r="DX29" s="20"/>
      <c r="DY29" s="20"/>
      <c r="DZ29" s="20"/>
      <c r="EA29" s="20"/>
      <c r="EB29" s="20"/>
      <c r="EC29" s="70"/>
      <c r="ED29" s="51"/>
      <c r="EE29" s="52"/>
      <c r="EF29" s="20"/>
      <c r="EG29" s="20"/>
      <c r="EH29" s="20"/>
      <c r="EI29" s="20"/>
      <c r="EJ29" s="20"/>
      <c r="EK29" s="70"/>
      <c r="EL29" s="51"/>
      <c r="EM29" s="52"/>
      <c r="EN29" s="20"/>
      <c r="EO29" s="20"/>
      <c r="EP29" s="20"/>
      <c r="EQ29" s="20"/>
      <c r="ER29" s="20"/>
      <c r="ES29" s="70"/>
      <c r="ET29" s="57"/>
      <c r="EU29" s="52"/>
      <c r="EV29" s="20"/>
      <c r="EW29" s="20"/>
      <c r="EX29" s="20"/>
      <c r="EY29" s="20"/>
      <c r="EZ29" s="20"/>
      <c r="FA29" s="70"/>
      <c r="FB29" s="57"/>
      <c r="FC29" s="52"/>
      <c r="FD29" s="20"/>
      <c r="FE29" s="20"/>
      <c r="FF29" s="20"/>
      <c r="FG29" s="20"/>
      <c r="FH29" s="20"/>
      <c r="FI29" s="70"/>
      <c r="FJ29" s="57"/>
      <c r="FK29" s="52"/>
      <c r="FL29" s="20"/>
      <c r="FM29" s="20"/>
      <c r="FN29" s="20"/>
      <c r="FO29" s="20"/>
      <c r="FP29" s="20"/>
      <c r="FQ29" s="70"/>
      <c r="FR29" s="57"/>
      <c r="FS29" s="52"/>
      <c r="FT29" s="20"/>
      <c r="FU29" s="20"/>
      <c r="FV29" s="20"/>
      <c r="FW29" s="20"/>
      <c r="FX29" s="20"/>
      <c r="FY29" s="70"/>
      <c r="FZ29" s="57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56"/>
      <c r="GW29" s="57"/>
      <c r="GX29" s="57"/>
      <c r="GY29" s="20"/>
      <c r="GZ29" s="20"/>
      <c r="HA29" s="20"/>
      <c r="HB29" s="20"/>
      <c r="HC29" s="20"/>
      <c r="HD29" s="56"/>
      <c r="HE29" s="57"/>
      <c r="HF29" s="57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69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69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136"/>
      <c r="LR29" s="136"/>
      <c r="LS29" s="136"/>
      <c r="LT29" s="136"/>
      <c r="LU29" s="136"/>
      <c r="LV29" s="136"/>
      <c r="LW29" s="136"/>
      <c r="LX29" s="136"/>
      <c r="LY29" s="136"/>
      <c r="LZ29" s="136"/>
      <c r="MA29" s="136"/>
      <c r="MB29" s="136"/>
      <c r="MC29" s="137"/>
      <c r="MD29" s="137"/>
      <c r="ME29" s="136"/>
      <c r="MF29" s="137"/>
      <c r="MG29" s="137"/>
      <c r="MH29" s="137"/>
      <c r="MI29" s="137">
        <v>75</v>
      </c>
      <c r="MJ29" s="137"/>
      <c r="MK29" s="137"/>
      <c r="ML29" s="137"/>
      <c r="MM29" s="137"/>
      <c r="MN29" s="137"/>
      <c r="MO29" s="137"/>
      <c r="MP29" s="137"/>
      <c r="MQ29" s="1">
        <v>0</v>
      </c>
      <c r="MR29" s="137">
        <v>0</v>
      </c>
      <c r="MS29" s="1">
        <v>0</v>
      </c>
      <c r="MT29" s="137">
        <v>0</v>
      </c>
      <c r="MU29" s="138">
        <v>0</v>
      </c>
      <c r="MV29" s="139">
        <f t="shared" si="4"/>
        <v>75</v>
      </c>
      <c r="MW29" s="121"/>
    </row>
    <row r="30" spans="1:361" s="58" customFormat="1" ht="18.75">
      <c r="A30" s="126" t="s">
        <v>197</v>
      </c>
      <c r="B30" s="46">
        <v>0</v>
      </c>
      <c r="C30" s="20">
        <v>0</v>
      </c>
      <c r="D30" s="20">
        <v>0</v>
      </c>
      <c r="E30" s="20">
        <v>0</v>
      </c>
      <c r="F30" s="20">
        <v>0</v>
      </c>
      <c r="G30" s="47">
        <v>0</v>
      </c>
      <c r="H30" s="48"/>
      <c r="I30" s="46"/>
      <c r="J30" s="20"/>
      <c r="K30" s="20"/>
      <c r="L30" s="20"/>
      <c r="M30" s="20"/>
      <c r="N30" s="47"/>
      <c r="O30" s="49">
        <f>I30+J30+K30+L30+M30+N30</f>
        <v>0</v>
      </c>
      <c r="P30" s="46"/>
      <c r="Q30" s="20"/>
      <c r="R30" s="20"/>
      <c r="S30" s="20"/>
      <c r="T30" s="20"/>
      <c r="U30" s="47"/>
      <c r="V30" s="49">
        <f>P30+Q30+R30+S30+T30+U30</f>
        <v>0</v>
      </c>
      <c r="W30" s="46"/>
      <c r="X30" s="20"/>
      <c r="Y30" s="20"/>
      <c r="Z30" s="20"/>
      <c r="AA30" s="20"/>
      <c r="AB30" s="47"/>
      <c r="AC30" s="49"/>
      <c r="AD30" s="46"/>
      <c r="AE30" s="20"/>
      <c r="AF30" s="20"/>
      <c r="AG30" s="20"/>
      <c r="AH30" s="20"/>
      <c r="AI30" s="47"/>
      <c r="AJ30" s="49"/>
      <c r="AK30" s="46"/>
      <c r="AL30" s="20"/>
      <c r="AM30" s="20"/>
      <c r="AN30" s="20"/>
      <c r="AO30" s="20"/>
      <c r="AP30" s="47"/>
      <c r="AQ30" s="49"/>
      <c r="AR30" s="20"/>
      <c r="AS30" s="20"/>
      <c r="AT30" s="20"/>
      <c r="AU30" s="20"/>
      <c r="AV30" s="20"/>
      <c r="AW30" s="20">
        <v>50</v>
      </c>
      <c r="AX30" s="20"/>
      <c r="AY30" s="49"/>
      <c r="AZ30" s="20">
        <v>45</v>
      </c>
      <c r="BA30" s="20"/>
      <c r="BB30" s="20"/>
      <c r="BC30" s="20"/>
      <c r="BD30" s="20">
        <v>30</v>
      </c>
      <c r="BE30" s="20"/>
      <c r="BF30" s="20"/>
      <c r="BG30" s="49"/>
      <c r="BH30" s="51">
        <v>50</v>
      </c>
      <c r="BI30" s="52"/>
      <c r="BJ30" s="20"/>
      <c r="BK30" s="20"/>
      <c r="BL30" s="20"/>
      <c r="BM30" s="20">
        <v>84</v>
      </c>
      <c r="BN30" s="20"/>
      <c r="BO30" s="49">
        <v>84</v>
      </c>
      <c r="BP30" s="51">
        <v>100</v>
      </c>
      <c r="BQ30" s="46">
        <v>0</v>
      </c>
      <c r="BR30" s="20">
        <v>0</v>
      </c>
      <c r="BS30" s="20">
        <v>0</v>
      </c>
      <c r="BT30" s="20">
        <v>0</v>
      </c>
      <c r="BU30" s="20">
        <v>0</v>
      </c>
      <c r="BV30" s="47">
        <v>0</v>
      </c>
      <c r="BW30" s="48"/>
      <c r="BX30" s="46"/>
      <c r="BY30" s="20"/>
      <c r="BZ30" s="20"/>
      <c r="CA30" s="20"/>
      <c r="CB30" s="20"/>
      <c r="CC30" s="47"/>
      <c r="CD30" s="49">
        <f>BX30+BY30+BZ30+CA30+CB30+CC30</f>
        <v>0</v>
      </c>
      <c r="CE30" s="46"/>
      <c r="CF30" s="20"/>
      <c r="CG30" s="20"/>
      <c r="CH30" s="20"/>
      <c r="CI30" s="20"/>
      <c r="CJ30" s="47"/>
      <c r="CK30" s="49">
        <f>CE30+CF30+CG30+CH30+CI30+CJ30</f>
        <v>0</v>
      </c>
      <c r="CL30" s="46"/>
      <c r="CM30" s="20"/>
      <c r="CN30" s="20"/>
      <c r="CO30" s="20"/>
      <c r="CP30" s="20"/>
      <c r="CQ30" s="47"/>
      <c r="CR30" s="49"/>
      <c r="CS30" s="46"/>
      <c r="CT30" s="20"/>
      <c r="CU30" s="20"/>
      <c r="CV30" s="20"/>
      <c r="CW30" s="20"/>
      <c r="CX30" s="47"/>
      <c r="CY30" s="49"/>
      <c r="CZ30" s="46"/>
      <c r="DA30" s="20"/>
      <c r="DB30" s="20"/>
      <c r="DC30" s="20"/>
      <c r="DD30" s="20"/>
      <c r="DE30" s="47"/>
      <c r="DF30" s="49"/>
      <c r="DG30" s="20"/>
      <c r="DH30" s="20"/>
      <c r="DI30" s="20"/>
      <c r="DJ30" s="20"/>
      <c r="DK30" s="20"/>
      <c r="DL30" s="20">
        <v>50</v>
      </c>
      <c r="DM30" s="20"/>
      <c r="DN30" s="49"/>
      <c r="DO30" s="20">
        <v>45</v>
      </c>
      <c r="DP30" s="20"/>
      <c r="DQ30" s="20"/>
      <c r="DR30" s="20"/>
      <c r="DS30" s="20">
        <v>30</v>
      </c>
      <c r="DT30" s="20"/>
      <c r="DU30" s="20"/>
      <c r="DV30" s="49"/>
      <c r="DW30" s="52"/>
      <c r="DX30" s="20"/>
      <c r="DY30" s="20"/>
      <c r="DZ30" s="20">
        <v>35</v>
      </c>
      <c r="EA30" s="20">
        <v>91</v>
      </c>
      <c r="EB30" s="20"/>
      <c r="EC30" s="70">
        <v>126</v>
      </c>
      <c r="ED30" s="51">
        <v>90</v>
      </c>
      <c r="EE30" s="52"/>
      <c r="EF30" s="20"/>
      <c r="EG30" s="20"/>
      <c r="EH30" s="20"/>
      <c r="EI30" s="20">
        <v>48</v>
      </c>
      <c r="EJ30" s="20"/>
      <c r="EK30" s="70"/>
      <c r="EL30" s="51"/>
      <c r="EM30" s="52"/>
      <c r="EN30" s="20"/>
      <c r="EO30" s="20"/>
      <c r="EP30" s="20"/>
      <c r="EQ30" s="20">
        <v>100</v>
      </c>
      <c r="ER30" s="20"/>
      <c r="ES30" s="70">
        <v>100</v>
      </c>
      <c r="ET30" s="57">
        <v>100</v>
      </c>
      <c r="EU30" s="52"/>
      <c r="EV30" s="20"/>
      <c r="EW30" s="20"/>
      <c r="EX30" s="20"/>
      <c r="EY30" s="20">
        <v>96</v>
      </c>
      <c r="EZ30" s="20"/>
      <c r="FA30" s="70">
        <v>96</v>
      </c>
      <c r="FB30" s="57">
        <v>100</v>
      </c>
      <c r="FC30" s="52"/>
      <c r="FD30" s="20"/>
      <c r="FE30" s="20"/>
      <c r="FF30" s="20"/>
      <c r="FG30" s="20">
        <v>86</v>
      </c>
      <c r="FH30" s="20"/>
      <c r="FI30" s="70">
        <v>86</v>
      </c>
      <c r="FJ30" s="57">
        <v>80</v>
      </c>
      <c r="FK30" s="52"/>
      <c r="FL30" s="20"/>
      <c r="FM30" s="20"/>
      <c r="FN30" s="20"/>
      <c r="FO30" s="20">
        <v>74</v>
      </c>
      <c r="FP30" s="20"/>
      <c r="FQ30" s="70">
        <v>74</v>
      </c>
      <c r="FR30" s="57">
        <v>70</v>
      </c>
      <c r="FS30" s="52"/>
      <c r="FT30" s="20"/>
      <c r="FU30" s="20"/>
      <c r="FV30" s="20"/>
      <c r="FW30" s="20">
        <v>123</v>
      </c>
      <c r="FX30" s="20"/>
      <c r="FY30" s="70">
        <v>123</v>
      </c>
      <c r="FZ30" s="57">
        <v>100</v>
      </c>
      <c r="GA30" s="20"/>
      <c r="GB30" s="20"/>
      <c r="GC30" s="20"/>
      <c r="GD30" s="20"/>
      <c r="GE30" s="20">
        <v>150</v>
      </c>
      <c r="GF30" s="20"/>
      <c r="GG30" s="20">
        <v>150</v>
      </c>
      <c r="GH30" s="20">
        <v>150</v>
      </c>
      <c r="GI30" s="20"/>
      <c r="GJ30" s="20"/>
      <c r="GK30" s="20"/>
      <c r="GL30" s="20"/>
      <c r="GM30" s="20">
        <v>150</v>
      </c>
      <c r="GN30" s="20"/>
      <c r="GO30" s="20">
        <v>150</v>
      </c>
      <c r="GP30" s="20">
        <v>100</v>
      </c>
      <c r="GQ30" s="20"/>
      <c r="GR30" s="20"/>
      <c r="GS30" s="20"/>
      <c r="GT30" s="20"/>
      <c r="GU30" s="20">
        <v>122</v>
      </c>
      <c r="GV30" s="56"/>
      <c r="GW30" s="57">
        <v>122</v>
      </c>
      <c r="GX30" s="57">
        <v>150</v>
      </c>
      <c r="GY30" s="20"/>
      <c r="GZ30" s="20"/>
      <c r="HA30" s="20"/>
      <c r="HB30" s="20"/>
      <c r="HC30" s="20">
        <v>200</v>
      </c>
      <c r="HD30" s="56"/>
      <c r="HE30" s="57">
        <v>200</v>
      </c>
      <c r="HF30" s="57">
        <v>200</v>
      </c>
      <c r="HG30" s="20"/>
      <c r="HH30" s="20"/>
      <c r="HI30" s="20"/>
      <c r="HJ30" s="20"/>
      <c r="HK30" s="20">
        <v>228</v>
      </c>
      <c r="HL30" s="20"/>
      <c r="HM30" s="20">
        <v>228</v>
      </c>
      <c r="HN30" s="20">
        <v>200</v>
      </c>
      <c r="HO30" s="20"/>
      <c r="HP30" s="20"/>
      <c r="HQ30" s="20"/>
      <c r="HR30" s="20"/>
      <c r="HS30" s="20">
        <v>200</v>
      </c>
      <c r="HT30" s="20"/>
      <c r="HU30" s="20">
        <v>200</v>
      </c>
      <c r="HV30" s="20">
        <v>150</v>
      </c>
      <c r="HW30" s="20"/>
      <c r="HX30" s="20"/>
      <c r="HY30" s="20"/>
      <c r="HZ30" s="20"/>
      <c r="IA30" s="20">
        <v>252</v>
      </c>
      <c r="IB30" s="20"/>
      <c r="IC30" s="20">
        <v>252</v>
      </c>
      <c r="ID30" s="20">
        <v>250</v>
      </c>
      <c r="IE30" s="20"/>
      <c r="IF30" s="20"/>
      <c r="IG30" s="20"/>
      <c r="IH30" s="20"/>
      <c r="II30" s="20">
        <v>200</v>
      </c>
      <c r="IJ30" s="20"/>
      <c r="IK30" s="20">
        <v>200</v>
      </c>
      <c r="IL30" s="20">
        <v>150</v>
      </c>
      <c r="IM30" s="20"/>
      <c r="IN30" s="20"/>
      <c r="IO30" s="20"/>
      <c r="IP30" s="20"/>
      <c r="IQ30" s="20">
        <v>496</v>
      </c>
      <c r="IR30" s="20"/>
      <c r="IS30" s="69">
        <v>496</v>
      </c>
      <c r="IT30" s="20">
        <v>350</v>
      </c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>
        <v>230</v>
      </c>
      <c r="KD30" s="20"/>
      <c r="KE30" s="69">
        <v>230</v>
      </c>
      <c r="KF30" s="20">
        <v>200</v>
      </c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>
        <v>320</v>
      </c>
      <c r="LP30" s="20">
        <v>178</v>
      </c>
      <c r="LQ30" s="136">
        <v>178</v>
      </c>
      <c r="LR30" s="136">
        <v>65</v>
      </c>
      <c r="LS30" s="136">
        <v>150</v>
      </c>
      <c r="LT30" s="136">
        <v>200</v>
      </c>
      <c r="LU30" s="136">
        <v>130</v>
      </c>
      <c r="LV30" s="136">
        <v>120</v>
      </c>
      <c r="LW30" s="136">
        <v>100</v>
      </c>
      <c r="LX30" s="136">
        <v>70</v>
      </c>
      <c r="LY30" s="136">
        <v>110</v>
      </c>
      <c r="LZ30" s="136">
        <v>122</v>
      </c>
      <c r="MA30" s="136">
        <v>100</v>
      </c>
      <c r="MB30" s="136">
        <v>100</v>
      </c>
      <c r="MC30" s="137">
        <v>100</v>
      </c>
      <c r="MD30" s="137">
        <v>60</v>
      </c>
      <c r="ME30" s="136">
        <v>30</v>
      </c>
      <c r="MF30" s="137">
        <v>37</v>
      </c>
      <c r="MG30" s="137">
        <v>100</v>
      </c>
      <c r="MH30" s="137">
        <v>94</v>
      </c>
      <c r="MI30" s="137"/>
      <c r="MJ30" s="137">
        <v>100</v>
      </c>
      <c r="MK30" s="137">
        <v>100</v>
      </c>
      <c r="ML30" s="137">
        <v>150</v>
      </c>
      <c r="MM30" s="137">
        <v>200</v>
      </c>
      <c r="MN30" s="137">
        <v>138</v>
      </c>
      <c r="MO30" s="137">
        <v>272</v>
      </c>
      <c r="MP30" s="137">
        <v>265</v>
      </c>
      <c r="MQ30" s="1">
        <v>250</v>
      </c>
      <c r="MR30" s="137">
        <v>100</v>
      </c>
      <c r="MS30" s="1">
        <v>100</v>
      </c>
      <c r="MT30" s="137">
        <v>50</v>
      </c>
      <c r="MU30" s="138">
        <v>30</v>
      </c>
      <c r="MV30" s="139">
        <f t="shared" si="4"/>
        <v>3621</v>
      </c>
      <c r="MW30" s="121"/>
    </row>
    <row r="31" spans="1:361" s="58" customFormat="1" ht="18.75">
      <c r="A31" s="126" t="s">
        <v>198</v>
      </c>
      <c r="B31" s="46"/>
      <c r="C31" s="20"/>
      <c r="D31" s="20"/>
      <c r="E31" s="20"/>
      <c r="F31" s="20"/>
      <c r="G31" s="47"/>
      <c r="H31" s="48"/>
      <c r="I31" s="46"/>
      <c r="J31" s="20"/>
      <c r="K31" s="20"/>
      <c r="L31" s="20"/>
      <c r="M31" s="20"/>
      <c r="N31" s="47"/>
      <c r="O31" s="49"/>
      <c r="P31" s="46"/>
      <c r="Q31" s="20"/>
      <c r="R31" s="20"/>
      <c r="S31" s="20"/>
      <c r="T31" s="20"/>
      <c r="U31" s="47"/>
      <c r="V31" s="49"/>
      <c r="W31" s="46"/>
      <c r="X31" s="20"/>
      <c r="Y31" s="20"/>
      <c r="Z31" s="20"/>
      <c r="AA31" s="20"/>
      <c r="AB31" s="47"/>
      <c r="AC31" s="49"/>
      <c r="AD31" s="46"/>
      <c r="AE31" s="20"/>
      <c r="AF31" s="20"/>
      <c r="AG31" s="20"/>
      <c r="AH31" s="20"/>
      <c r="AI31" s="47"/>
      <c r="AJ31" s="49"/>
      <c r="AK31" s="46"/>
      <c r="AL31" s="20"/>
      <c r="AM31" s="20"/>
      <c r="AN31" s="20"/>
      <c r="AO31" s="20"/>
      <c r="AP31" s="47"/>
      <c r="AQ31" s="49"/>
      <c r="AR31" s="20"/>
      <c r="AS31" s="20"/>
      <c r="AT31" s="20"/>
      <c r="AU31" s="20"/>
      <c r="AV31" s="20"/>
      <c r="AW31" s="20"/>
      <c r="AX31" s="20"/>
      <c r="AY31" s="49"/>
      <c r="AZ31" s="20"/>
      <c r="BA31" s="20"/>
      <c r="BB31" s="20"/>
      <c r="BC31" s="20"/>
      <c r="BD31" s="20"/>
      <c r="BE31" s="20"/>
      <c r="BF31" s="20"/>
      <c r="BG31" s="49"/>
      <c r="BH31" s="51"/>
      <c r="BI31" s="52"/>
      <c r="BJ31" s="20"/>
      <c r="BK31" s="20"/>
      <c r="BL31" s="20"/>
      <c r="BM31" s="20"/>
      <c r="BN31" s="20"/>
      <c r="BO31" s="49"/>
      <c r="BP31" s="51"/>
      <c r="BQ31" s="46"/>
      <c r="BR31" s="20"/>
      <c r="BS31" s="20"/>
      <c r="BT31" s="20"/>
      <c r="BU31" s="20"/>
      <c r="BV31" s="47"/>
      <c r="BW31" s="48"/>
      <c r="BX31" s="46"/>
      <c r="BY31" s="20"/>
      <c r="BZ31" s="20"/>
      <c r="CA31" s="20"/>
      <c r="CB31" s="20"/>
      <c r="CC31" s="47"/>
      <c r="CD31" s="49"/>
      <c r="CE31" s="46"/>
      <c r="CF31" s="20"/>
      <c r="CG31" s="20"/>
      <c r="CH31" s="20"/>
      <c r="CI31" s="20"/>
      <c r="CJ31" s="47"/>
      <c r="CK31" s="49"/>
      <c r="CL31" s="46"/>
      <c r="CM31" s="20"/>
      <c r="CN31" s="20"/>
      <c r="CO31" s="20"/>
      <c r="CP31" s="20"/>
      <c r="CQ31" s="47"/>
      <c r="CR31" s="49"/>
      <c r="CS31" s="46"/>
      <c r="CT31" s="20"/>
      <c r="CU31" s="20"/>
      <c r="CV31" s="20"/>
      <c r="CW31" s="20"/>
      <c r="CX31" s="47"/>
      <c r="CY31" s="49"/>
      <c r="CZ31" s="46"/>
      <c r="DA31" s="20"/>
      <c r="DB31" s="20"/>
      <c r="DC31" s="20"/>
      <c r="DD31" s="20"/>
      <c r="DE31" s="47"/>
      <c r="DF31" s="49"/>
      <c r="DG31" s="20"/>
      <c r="DH31" s="20"/>
      <c r="DI31" s="20"/>
      <c r="DJ31" s="20"/>
      <c r="DK31" s="20"/>
      <c r="DL31" s="20"/>
      <c r="DM31" s="20"/>
      <c r="DN31" s="49"/>
      <c r="DO31" s="20"/>
      <c r="DP31" s="20"/>
      <c r="DQ31" s="20"/>
      <c r="DR31" s="20"/>
      <c r="DS31" s="20"/>
      <c r="DT31" s="20"/>
      <c r="DU31" s="20"/>
      <c r="DV31" s="49"/>
      <c r="DW31" s="52"/>
      <c r="DX31" s="20"/>
      <c r="DY31" s="20"/>
      <c r="DZ31" s="20"/>
      <c r="EA31" s="20"/>
      <c r="EB31" s="20"/>
      <c r="EC31" s="70"/>
      <c r="ED31" s="51"/>
      <c r="EE31" s="52"/>
      <c r="EF31" s="20"/>
      <c r="EG31" s="20"/>
      <c r="EH31" s="20"/>
      <c r="EI31" s="20"/>
      <c r="EJ31" s="20"/>
      <c r="EK31" s="70"/>
      <c r="EL31" s="51"/>
      <c r="EM31" s="52"/>
      <c r="EN31" s="20"/>
      <c r="EO31" s="20"/>
      <c r="EP31" s="20"/>
      <c r="EQ31" s="20"/>
      <c r="ER31" s="20"/>
      <c r="ES31" s="70"/>
      <c r="ET31" s="57"/>
      <c r="EU31" s="52"/>
      <c r="EV31" s="20"/>
      <c r="EW31" s="20"/>
      <c r="EX31" s="20"/>
      <c r="EY31" s="20"/>
      <c r="EZ31" s="20"/>
      <c r="FA31" s="70"/>
      <c r="FB31" s="57"/>
      <c r="FC31" s="52"/>
      <c r="FD31" s="20"/>
      <c r="FE31" s="20"/>
      <c r="FF31" s="20"/>
      <c r="FG31" s="20"/>
      <c r="FH31" s="20"/>
      <c r="FI31" s="70"/>
      <c r="FJ31" s="57"/>
      <c r="FK31" s="52"/>
      <c r="FL31" s="20"/>
      <c r="FM31" s="20"/>
      <c r="FN31" s="20"/>
      <c r="FO31" s="20"/>
      <c r="FP31" s="20"/>
      <c r="FQ31" s="70"/>
      <c r="FR31" s="57"/>
      <c r="FS31" s="52"/>
      <c r="FT31" s="20"/>
      <c r="FU31" s="20"/>
      <c r="FV31" s="20"/>
      <c r="FW31" s="20"/>
      <c r="FX31" s="20"/>
      <c r="FY31" s="70"/>
      <c r="FZ31" s="57"/>
      <c r="GA31" s="20"/>
      <c r="GB31" s="20"/>
      <c r="GC31" s="20"/>
      <c r="GD31" s="20"/>
      <c r="GE31" s="20">
        <v>31</v>
      </c>
      <c r="GF31" s="20"/>
      <c r="GG31" s="20">
        <v>31</v>
      </c>
      <c r="GH31" s="20">
        <v>30</v>
      </c>
      <c r="GI31" s="20"/>
      <c r="GJ31" s="20"/>
      <c r="GK31" s="20"/>
      <c r="GL31" s="20"/>
      <c r="GM31" s="20">
        <v>34</v>
      </c>
      <c r="GN31" s="20"/>
      <c r="GO31" s="20">
        <v>12</v>
      </c>
      <c r="GP31" s="20">
        <v>35</v>
      </c>
      <c r="GQ31" s="20"/>
      <c r="GR31" s="20"/>
      <c r="GS31" s="20"/>
      <c r="GT31" s="20"/>
      <c r="GU31" s="20">
        <v>30</v>
      </c>
      <c r="GV31" s="56"/>
      <c r="GW31" s="57">
        <v>30</v>
      </c>
      <c r="GX31" s="57">
        <v>30</v>
      </c>
      <c r="GY31" s="20"/>
      <c r="GZ31" s="20"/>
      <c r="HA31" s="20"/>
      <c r="HB31" s="20"/>
      <c r="HC31" s="20">
        <v>50</v>
      </c>
      <c r="HD31" s="56"/>
      <c r="HE31" s="57">
        <v>50</v>
      </c>
      <c r="HF31" s="57">
        <v>50</v>
      </c>
      <c r="HG31" s="20"/>
      <c r="HH31" s="20"/>
      <c r="HI31" s="20"/>
      <c r="HJ31" s="20"/>
      <c r="HK31" s="20">
        <v>60</v>
      </c>
      <c r="HL31" s="20"/>
      <c r="HM31" s="20">
        <v>60</v>
      </c>
      <c r="HN31" s="20">
        <v>40</v>
      </c>
      <c r="HO31" s="20"/>
      <c r="HP31" s="20"/>
      <c r="HQ31" s="20"/>
      <c r="HR31" s="20"/>
      <c r="HS31" s="20">
        <v>30</v>
      </c>
      <c r="HT31" s="20"/>
      <c r="HU31" s="20">
        <v>30</v>
      </c>
      <c r="HV31" s="20">
        <v>30</v>
      </c>
      <c r="HW31" s="20"/>
      <c r="HX31" s="20"/>
      <c r="HY31" s="20"/>
      <c r="HZ31" s="20"/>
      <c r="IA31" s="20">
        <v>50</v>
      </c>
      <c r="IB31" s="20"/>
      <c r="IC31" s="20">
        <v>50</v>
      </c>
      <c r="ID31" s="20">
        <v>50</v>
      </c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>
        <v>70</v>
      </c>
      <c r="IR31" s="20"/>
      <c r="IS31" s="69">
        <v>70</v>
      </c>
      <c r="IT31" s="20">
        <v>50</v>
      </c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69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136"/>
      <c r="LR31" s="136">
        <v>43</v>
      </c>
      <c r="LS31" s="136"/>
      <c r="LT31" s="136"/>
      <c r="LU31" s="136"/>
      <c r="LV31" s="136"/>
      <c r="LW31" s="136"/>
      <c r="LX31" s="136"/>
      <c r="LY31" s="136"/>
      <c r="LZ31" s="136"/>
      <c r="MA31" s="136"/>
      <c r="MB31" s="136"/>
      <c r="MC31" s="137">
        <v>30</v>
      </c>
      <c r="MD31" s="137"/>
      <c r="ME31" s="136"/>
      <c r="MF31" s="137"/>
      <c r="MG31" s="137"/>
      <c r="MH31" s="137"/>
      <c r="MI31" s="137"/>
      <c r="MJ31" s="137"/>
      <c r="MK31" s="137"/>
      <c r="ML31" s="137"/>
      <c r="MM31" s="137"/>
      <c r="MN31" s="137"/>
      <c r="MO31" s="137"/>
      <c r="MP31" s="137"/>
      <c r="MQ31" s="1">
        <v>0</v>
      </c>
      <c r="MR31" s="137">
        <v>0</v>
      </c>
      <c r="MS31" s="1">
        <v>0</v>
      </c>
      <c r="MT31" s="137">
        <v>0</v>
      </c>
      <c r="MU31" s="138">
        <v>0</v>
      </c>
      <c r="MV31" s="139">
        <f t="shared" si="4"/>
        <v>73</v>
      </c>
      <c r="MW31" s="121"/>
    </row>
    <row r="32" spans="1:361" s="58" customFormat="1" ht="18.75">
      <c r="A32" s="126" t="s">
        <v>199</v>
      </c>
      <c r="B32" s="46"/>
      <c r="C32" s="20"/>
      <c r="D32" s="20"/>
      <c r="E32" s="20"/>
      <c r="F32" s="20"/>
      <c r="G32" s="47"/>
      <c r="H32" s="48"/>
      <c r="I32" s="46"/>
      <c r="J32" s="20"/>
      <c r="K32" s="20"/>
      <c r="L32" s="20"/>
      <c r="M32" s="20"/>
      <c r="N32" s="47"/>
      <c r="O32" s="49"/>
      <c r="P32" s="46"/>
      <c r="Q32" s="20"/>
      <c r="R32" s="20"/>
      <c r="S32" s="20"/>
      <c r="T32" s="20"/>
      <c r="U32" s="47"/>
      <c r="V32" s="49"/>
      <c r="W32" s="46"/>
      <c r="X32" s="20"/>
      <c r="Y32" s="20"/>
      <c r="Z32" s="20"/>
      <c r="AA32" s="20"/>
      <c r="AB32" s="47"/>
      <c r="AC32" s="49"/>
      <c r="AD32" s="46"/>
      <c r="AE32" s="20"/>
      <c r="AF32" s="20"/>
      <c r="AG32" s="20"/>
      <c r="AH32" s="20"/>
      <c r="AI32" s="47"/>
      <c r="AJ32" s="49"/>
      <c r="AK32" s="46"/>
      <c r="AL32" s="20"/>
      <c r="AM32" s="20"/>
      <c r="AN32" s="20"/>
      <c r="AO32" s="20"/>
      <c r="AP32" s="47"/>
      <c r="AQ32" s="49"/>
      <c r="AR32" s="20"/>
      <c r="AS32" s="20"/>
      <c r="AT32" s="20"/>
      <c r="AU32" s="20"/>
      <c r="AV32" s="20"/>
      <c r="AW32" s="20"/>
      <c r="AX32" s="20"/>
      <c r="AY32" s="49"/>
      <c r="AZ32" s="20"/>
      <c r="BA32" s="20"/>
      <c r="BB32" s="20"/>
      <c r="BC32" s="20"/>
      <c r="BD32" s="20"/>
      <c r="BE32" s="20"/>
      <c r="BF32" s="20"/>
      <c r="BG32" s="49"/>
      <c r="BH32" s="51"/>
      <c r="BI32" s="52"/>
      <c r="BJ32" s="20"/>
      <c r="BK32" s="20"/>
      <c r="BL32" s="20"/>
      <c r="BM32" s="20"/>
      <c r="BN32" s="20"/>
      <c r="BO32" s="49"/>
      <c r="BP32" s="51"/>
      <c r="BQ32" s="46"/>
      <c r="BR32" s="20"/>
      <c r="BS32" s="20"/>
      <c r="BT32" s="20"/>
      <c r="BU32" s="20"/>
      <c r="BV32" s="47"/>
      <c r="BW32" s="48"/>
      <c r="BX32" s="46"/>
      <c r="BY32" s="20"/>
      <c r="BZ32" s="20"/>
      <c r="CA32" s="20"/>
      <c r="CB32" s="20"/>
      <c r="CC32" s="47"/>
      <c r="CD32" s="49"/>
      <c r="CE32" s="46"/>
      <c r="CF32" s="20"/>
      <c r="CG32" s="20"/>
      <c r="CH32" s="20"/>
      <c r="CI32" s="20"/>
      <c r="CJ32" s="47"/>
      <c r="CK32" s="49"/>
      <c r="CL32" s="46"/>
      <c r="CM32" s="20"/>
      <c r="CN32" s="20"/>
      <c r="CO32" s="20"/>
      <c r="CP32" s="20"/>
      <c r="CQ32" s="47"/>
      <c r="CR32" s="49"/>
      <c r="CS32" s="46"/>
      <c r="CT32" s="20"/>
      <c r="CU32" s="20"/>
      <c r="CV32" s="20"/>
      <c r="CW32" s="20"/>
      <c r="CX32" s="47"/>
      <c r="CY32" s="49"/>
      <c r="CZ32" s="46"/>
      <c r="DA32" s="20"/>
      <c r="DB32" s="20"/>
      <c r="DC32" s="20"/>
      <c r="DD32" s="20"/>
      <c r="DE32" s="47"/>
      <c r="DF32" s="49"/>
      <c r="DG32" s="20"/>
      <c r="DH32" s="20"/>
      <c r="DI32" s="20"/>
      <c r="DJ32" s="20"/>
      <c r="DK32" s="20"/>
      <c r="DL32" s="20"/>
      <c r="DM32" s="20"/>
      <c r="DN32" s="49"/>
      <c r="DO32" s="20"/>
      <c r="DP32" s="20"/>
      <c r="DQ32" s="20"/>
      <c r="DR32" s="20"/>
      <c r="DS32" s="20"/>
      <c r="DT32" s="20"/>
      <c r="DU32" s="20"/>
      <c r="DV32" s="49"/>
      <c r="DW32" s="52"/>
      <c r="DX32" s="20"/>
      <c r="DY32" s="20"/>
      <c r="DZ32" s="20"/>
      <c r="EA32" s="20"/>
      <c r="EB32" s="20"/>
      <c r="EC32" s="70"/>
      <c r="ED32" s="51"/>
      <c r="EE32" s="52"/>
      <c r="EF32" s="20"/>
      <c r="EG32" s="20"/>
      <c r="EH32" s="20"/>
      <c r="EI32" s="20"/>
      <c r="EJ32" s="20"/>
      <c r="EK32" s="70"/>
      <c r="EL32" s="51"/>
      <c r="EM32" s="52"/>
      <c r="EN32" s="20"/>
      <c r="EO32" s="20"/>
      <c r="EP32" s="20"/>
      <c r="EQ32" s="20"/>
      <c r="ER32" s="20"/>
      <c r="ES32" s="70"/>
      <c r="ET32" s="57"/>
      <c r="EU32" s="52"/>
      <c r="EV32" s="20"/>
      <c r="EW32" s="20"/>
      <c r="EX32" s="20"/>
      <c r="EY32" s="20"/>
      <c r="EZ32" s="20"/>
      <c r="FA32" s="70"/>
      <c r="FB32" s="57"/>
      <c r="FC32" s="52"/>
      <c r="FD32" s="20"/>
      <c r="FE32" s="20"/>
      <c r="FF32" s="20"/>
      <c r="FG32" s="20"/>
      <c r="FH32" s="20"/>
      <c r="FI32" s="70"/>
      <c r="FJ32" s="57"/>
      <c r="FK32" s="52"/>
      <c r="FL32" s="20"/>
      <c r="FM32" s="20"/>
      <c r="FN32" s="20"/>
      <c r="FO32" s="20"/>
      <c r="FP32" s="20"/>
      <c r="FQ32" s="70"/>
      <c r="FR32" s="57"/>
      <c r="FS32" s="52"/>
      <c r="FT32" s="20"/>
      <c r="FU32" s="20"/>
      <c r="FV32" s="20"/>
      <c r="FW32" s="20"/>
      <c r="FX32" s="20"/>
      <c r="FY32" s="70"/>
      <c r="FZ32" s="57"/>
      <c r="GA32" s="20"/>
      <c r="GB32" s="20"/>
      <c r="GC32" s="20"/>
      <c r="GD32" s="20"/>
      <c r="GE32" s="20">
        <v>9</v>
      </c>
      <c r="GF32" s="20"/>
      <c r="GG32" s="20">
        <v>9</v>
      </c>
      <c r="GH32" s="20">
        <v>5</v>
      </c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56"/>
      <c r="GW32" s="57"/>
      <c r="GX32" s="57"/>
      <c r="GY32" s="20"/>
      <c r="GZ32" s="20"/>
      <c r="HA32" s="20"/>
      <c r="HB32" s="20"/>
      <c r="HC32" s="20"/>
      <c r="HD32" s="56"/>
      <c r="HE32" s="57"/>
      <c r="HF32" s="57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69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69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136"/>
      <c r="LR32" s="136"/>
      <c r="LS32" s="136"/>
      <c r="LT32" s="136"/>
      <c r="LU32" s="136"/>
      <c r="LV32" s="136"/>
      <c r="LW32" s="136"/>
      <c r="LX32" s="136"/>
      <c r="LY32" s="136"/>
      <c r="LZ32" s="136"/>
      <c r="MA32" s="136"/>
      <c r="MB32" s="136">
        <v>36</v>
      </c>
      <c r="MC32" s="137">
        <v>12</v>
      </c>
      <c r="MD32" s="137"/>
      <c r="ME32" s="136"/>
      <c r="MF32" s="137"/>
      <c r="MG32" s="137"/>
      <c r="MH32" s="137"/>
      <c r="MI32" s="137"/>
      <c r="MJ32" s="137"/>
      <c r="MK32" s="137"/>
      <c r="ML32" s="137"/>
      <c r="MM32" s="137"/>
      <c r="MN32" s="137"/>
      <c r="MO32" s="137"/>
      <c r="MP32" s="137"/>
      <c r="MQ32" s="1">
        <v>0</v>
      </c>
      <c r="MR32" s="137">
        <v>0</v>
      </c>
      <c r="MS32" s="1">
        <v>0</v>
      </c>
      <c r="MT32" s="137">
        <v>0</v>
      </c>
      <c r="MU32" s="138">
        <v>0</v>
      </c>
      <c r="MV32" s="139">
        <f t="shared" si="4"/>
        <v>48</v>
      </c>
      <c r="MW32" s="121"/>
    </row>
    <row r="33" spans="1:361" s="58" customFormat="1" ht="18.75">
      <c r="A33" s="126" t="s">
        <v>200</v>
      </c>
      <c r="B33" s="46">
        <v>0</v>
      </c>
      <c r="C33" s="20">
        <v>0</v>
      </c>
      <c r="D33" s="20">
        <v>0</v>
      </c>
      <c r="E33" s="20">
        <v>30</v>
      </c>
      <c r="F33" s="20">
        <v>0</v>
      </c>
      <c r="G33" s="47">
        <v>0</v>
      </c>
      <c r="H33" s="48"/>
      <c r="I33" s="46"/>
      <c r="J33" s="20"/>
      <c r="K33" s="20"/>
      <c r="L33" s="20"/>
      <c r="M33" s="20">
        <v>40</v>
      </c>
      <c r="N33" s="47"/>
      <c r="O33" s="49">
        <f>I33+J33+K33+L33+M33+N33</f>
        <v>40</v>
      </c>
      <c r="P33" s="46"/>
      <c r="Q33" s="20"/>
      <c r="R33" s="20"/>
      <c r="S33" s="20"/>
      <c r="T33" s="20"/>
      <c r="U33" s="47"/>
      <c r="V33" s="49">
        <f>P33+Q33+R33+S33+T33+U33</f>
        <v>0</v>
      </c>
      <c r="W33" s="46"/>
      <c r="X33" s="20">
        <v>14</v>
      </c>
      <c r="Y33" s="20"/>
      <c r="Z33" s="20"/>
      <c r="AA33" s="20">
        <v>14</v>
      </c>
      <c r="AB33" s="47"/>
      <c r="AC33" s="49"/>
      <c r="AD33" s="46"/>
      <c r="AE33" s="20"/>
      <c r="AF33" s="20"/>
      <c r="AG33" s="20"/>
      <c r="AH33" s="20"/>
      <c r="AI33" s="47"/>
      <c r="AJ33" s="49"/>
      <c r="AK33" s="46"/>
      <c r="AL33" s="20"/>
      <c r="AM33" s="20"/>
      <c r="AN33" s="20"/>
      <c r="AO33" s="20">
        <v>24</v>
      </c>
      <c r="AP33" s="47"/>
      <c r="AQ33" s="49"/>
      <c r="AR33" s="20"/>
      <c r="AS33" s="20"/>
      <c r="AT33" s="20"/>
      <c r="AU33" s="20"/>
      <c r="AV33" s="20"/>
      <c r="AW33" s="20"/>
      <c r="AX33" s="20"/>
      <c r="AY33" s="49"/>
      <c r="AZ33" s="20">
        <v>0</v>
      </c>
      <c r="BA33" s="20"/>
      <c r="BB33" s="20"/>
      <c r="BC33" s="20"/>
      <c r="BD33" s="20">
        <v>50</v>
      </c>
      <c r="BE33" s="20"/>
      <c r="BF33" s="20"/>
      <c r="BG33" s="49"/>
      <c r="BH33" s="51">
        <v>50</v>
      </c>
      <c r="BI33" s="52"/>
      <c r="BJ33" s="20"/>
      <c r="BK33" s="20">
        <v>21</v>
      </c>
      <c r="BL33" s="20">
        <v>35</v>
      </c>
      <c r="BM33" s="20"/>
      <c r="BN33" s="20"/>
      <c r="BO33" s="49">
        <v>56</v>
      </c>
      <c r="BP33" s="51">
        <v>65</v>
      </c>
      <c r="BQ33" s="46">
        <v>0</v>
      </c>
      <c r="BR33" s="20">
        <v>0</v>
      </c>
      <c r="BS33" s="20">
        <v>0</v>
      </c>
      <c r="BT33" s="20">
        <v>30</v>
      </c>
      <c r="BU33" s="20">
        <v>0</v>
      </c>
      <c r="BV33" s="47">
        <v>0</v>
      </c>
      <c r="BW33" s="48"/>
      <c r="BX33" s="46"/>
      <c r="BY33" s="20"/>
      <c r="BZ33" s="20"/>
      <c r="CA33" s="20"/>
      <c r="CB33" s="20">
        <v>40</v>
      </c>
      <c r="CC33" s="47"/>
      <c r="CD33" s="49">
        <f>BX33+BY33+BZ33+CA33+CB33+CC33</f>
        <v>40</v>
      </c>
      <c r="CE33" s="46"/>
      <c r="CF33" s="20"/>
      <c r="CG33" s="20"/>
      <c r="CH33" s="20"/>
      <c r="CI33" s="20"/>
      <c r="CJ33" s="47"/>
      <c r="CK33" s="49">
        <f>CE33+CF33+CG33+CH33+CI33+CJ33</f>
        <v>0</v>
      </c>
      <c r="CL33" s="46"/>
      <c r="CM33" s="20">
        <v>14</v>
      </c>
      <c r="CN33" s="20"/>
      <c r="CO33" s="20"/>
      <c r="CP33" s="20">
        <v>14</v>
      </c>
      <c r="CQ33" s="47"/>
      <c r="CR33" s="49"/>
      <c r="CS33" s="46"/>
      <c r="CT33" s="20"/>
      <c r="CU33" s="20"/>
      <c r="CV33" s="20"/>
      <c r="CW33" s="20"/>
      <c r="CX33" s="47"/>
      <c r="CY33" s="49"/>
      <c r="CZ33" s="46"/>
      <c r="DA33" s="20"/>
      <c r="DB33" s="20"/>
      <c r="DC33" s="20"/>
      <c r="DD33" s="20">
        <v>24</v>
      </c>
      <c r="DE33" s="47"/>
      <c r="DF33" s="49"/>
      <c r="DG33" s="20"/>
      <c r="DH33" s="20"/>
      <c r="DI33" s="20"/>
      <c r="DJ33" s="20"/>
      <c r="DK33" s="20"/>
      <c r="DL33" s="20"/>
      <c r="DM33" s="20"/>
      <c r="DN33" s="49"/>
      <c r="DO33" s="20">
        <v>0</v>
      </c>
      <c r="DP33" s="20"/>
      <c r="DQ33" s="20"/>
      <c r="DR33" s="20"/>
      <c r="DS33" s="20">
        <v>50</v>
      </c>
      <c r="DT33" s="20"/>
      <c r="DU33" s="20"/>
      <c r="DV33" s="49"/>
      <c r="DW33" s="52"/>
      <c r="DX33" s="20"/>
      <c r="DY33" s="20"/>
      <c r="DZ33" s="20"/>
      <c r="EA33" s="20"/>
      <c r="EB33" s="20"/>
      <c r="EC33" s="70"/>
      <c r="ED33" s="51"/>
      <c r="EE33" s="52"/>
      <c r="EF33" s="20"/>
      <c r="EG33" s="20"/>
      <c r="EH33" s="20"/>
      <c r="EI33" s="20"/>
      <c r="EJ33" s="20"/>
      <c r="EK33" s="70"/>
      <c r="EL33" s="51"/>
      <c r="EM33" s="52"/>
      <c r="EN33" s="20"/>
      <c r="EO33" s="20"/>
      <c r="EP33" s="20"/>
      <c r="EQ33" s="20"/>
      <c r="ER33" s="20"/>
      <c r="ES33" s="70"/>
      <c r="ET33" s="57"/>
      <c r="EU33" s="52"/>
      <c r="EV33" s="20"/>
      <c r="EW33" s="20"/>
      <c r="EX33" s="20">
        <v>50</v>
      </c>
      <c r="EY33" s="20"/>
      <c r="EZ33" s="20"/>
      <c r="FA33" s="70">
        <v>50</v>
      </c>
      <c r="FB33" s="57">
        <v>50</v>
      </c>
      <c r="FC33" s="52"/>
      <c r="FD33" s="20"/>
      <c r="FE33" s="20"/>
      <c r="FF33" s="20">
        <v>30</v>
      </c>
      <c r="FG33" s="20"/>
      <c r="FH33" s="20"/>
      <c r="FI33" s="70">
        <v>30</v>
      </c>
      <c r="FJ33" s="57">
        <v>20</v>
      </c>
      <c r="FK33" s="52"/>
      <c r="FL33" s="20"/>
      <c r="FM33" s="20"/>
      <c r="FN33" s="20">
        <v>30</v>
      </c>
      <c r="FO33" s="20"/>
      <c r="FP33" s="20"/>
      <c r="FQ33" s="70">
        <v>30</v>
      </c>
      <c r="FR33" s="57">
        <v>30</v>
      </c>
      <c r="FS33" s="52"/>
      <c r="FT33" s="20"/>
      <c r="FU33" s="20"/>
      <c r="FV33" s="20">
        <v>20</v>
      </c>
      <c r="FW33" s="20"/>
      <c r="FX33" s="20"/>
      <c r="FY33" s="70">
        <v>20</v>
      </c>
      <c r="FZ33" s="57">
        <v>15</v>
      </c>
      <c r="GA33" s="20"/>
      <c r="GB33" s="20"/>
      <c r="GC33" s="20">
        <v>11</v>
      </c>
      <c r="GD33" s="20">
        <v>50</v>
      </c>
      <c r="GE33" s="20">
        <v>100</v>
      </c>
      <c r="GF33" s="20"/>
      <c r="GG33" s="20">
        <v>161</v>
      </c>
      <c r="GH33" s="20">
        <v>130</v>
      </c>
      <c r="GI33" s="20"/>
      <c r="GJ33" s="20"/>
      <c r="GK33" s="20"/>
      <c r="GL33" s="20">
        <v>30</v>
      </c>
      <c r="GM33" s="20"/>
      <c r="GN33" s="20"/>
      <c r="GO33" s="20">
        <v>30</v>
      </c>
      <c r="GP33" s="20">
        <v>20</v>
      </c>
      <c r="GQ33" s="20"/>
      <c r="GR33" s="20"/>
      <c r="GS33" s="20"/>
      <c r="GT33" s="20">
        <v>40</v>
      </c>
      <c r="GU33" s="20"/>
      <c r="GV33" s="56"/>
      <c r="GW33" s="57">
        <v>40</v>
      </c>
      <c r="GX33" s="57">
        <v>10</v>
      </c>
      <c r="GY33" s="20"/>
      <c r="GZ33" s="20"/>
      <c r="HA33" s="20"/>
      <c r="HB33" s="20">
        <v>40</v>
      </c>
      <c r="HC33" s="20"/>
      <c r="HD33" s="56"/>
      <c r="HE33" s="57">
        <v>40</v>
      </c>
      <c r="HF33" s="57">
        <v>20</v>
      </c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>
        <v>40</v>
      </c>
      <c r="IA33" s="20"/>
      <c r="IB33" s="20"/>
      <c r="IC33" s="20">
        <v>40</v>
      </c>
      <c r="ID33" s="20">
        <v>30</v>
      </c>
      <c r="IE33" s="20"/>
      <c r="IF33" s="20"/>
      <c r="IG33" s="20"/>
      <c r="IH33" s="20">
        <v>18</v>
      </c>
      <c r="II33" s="20"/>
      <c r="IJ33" s="20"/>
      <c r="IK33" s="20">
        <v>18</v>
      </c>
      <c r="IL33" s="20">
        <v>20</v>
      </c>
      <c r="IM33" s="20"/>
      <c r="IN33" s="20"/>
      <c r="IO33" s="20"/>
      <c r="IP33" s="20">
        <v>28</v>
      </c>
      <c r="IQ33" s="20"/>
      <c r="IR33" s="20"/>
      <c r="IS33" s="69">
        <v>28</v>
      </c>
      <c r="IT33" s="20">
        <v>20</v>
      </c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>
        <v>20</v>
      </c>
      <c r="KC33" s="20"/>
      <c r="KD33" s="20"/>
      <c r="KE33" s="69">
        <v>20</v>
      </c>
      <c r="KF33" s="20">
        <v>20</v>
      </c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>
        <v>30</v>
      </c>
      <c r="LO33" s="20"/>
      <c r="LP33" s="20">
        <v>460</v>
      </c>
      <c r="LQ33" s="136">
        <v>460</v>
      </c>
      <c r="LR33" s="136">
        <v>98</v>
      </c>
      <c r="LS33" s="136">
        <v>116</v>
      </c>
      <c r="LT33" s="136">
        <v>40</v>
      </c>
      <c r="LU33" s="136">
        <v>21</v>
      </c>
      <c r="LV33" s="136">
        <v>65</v>
      </c>
      <c r="LW33" s="136">
        <v>52</v>
      </c>
      <c r="LX33" s="136">
        <v>72</v>
      </c>
      <c r="LY33" s="136"/>
      <c r="LZ33" s="136">
        <v>30</v>
      </c>
      <c r="MA33" s="136">
        <v>30</v>
      </c>
      <c r="MB33" s="136">
        <v>18</v>
      </c>
      <c r="MC33" s="137">
        <v>32</v>
      </c>
      <c r="MD33" s="137">
        <v>14</v>
      </c>
      <c r="ME33" s="136">
        <v>24</v>
      </c>
      <c r="MF33" s="137"/>
      <c r="MG33" s="137"/>
      <c r="MH33" s="137"/>
      <c r="MI33" s="137">
        <v>40</v>
      </c>
      <c r="MJ33" s="137"/>
      <c r="MK33" s="137"/>
      <c r="ML33" s="137"/>
      <c r="MM33" s="137">
        <v>45</v>
      </c>
      <c r="MN33" s="137">
        <v>35</v>
      </c>
      <c r="MO33" s="137"/>
      <c r="MP33" s="137">
        <v>50</v>
      </c>
      <c r="MQ33" s="1">
        <v>80</v>
      </c>
      <c r="MR33" s="137">
        <v>117</v>
      </c>
      <c r="MS33" s="1">
        <v>116</v>
      </c>
      <c r="MT33" s="137">
        <v>300</v>
      </c>
      <c r="MU33" s="138">
        <v>135</v>
      </c>
      <c r="MV33" s="139">
        <f t="shared" si="4"/>
        <v>1990</v>
      </c>
      <c r="MW33" s="121"/>
    </row>
    <row r="34" spans="1:361" s="58" customFormat="1" ht="19.5" thickBot="1">
      <c r="A34" s="127" t="s">
        <v>201</v>
      </c>
      <c r="B34" s="46">
        <v>0</v>
      </c>
      <c r="C34" s="20">
        <v>0</v>
      </c>
      <c r="D34" s="20">
        <v>60</v>
      </c>
      <c r="E34" s="20">
        <v>100</v>
      </c>
      <c r="F34" s="20">
        <v>93</v>
      </c>
      <c r="G34" s="47">
        <v>0</v>
      </c>
      <c r="H34" s="72"/>
      <c r="I34" s="46"/>
      <c r="J34" s="20"/>
      <c r="K34" s="20">
        <v>68</v>
      </c>
      <c r="L34" s="20">
        <v>72</v>
      </c>
      <c r="M34" s="20">
        <v>113</v>
      </c>
      <c r="N34" s="47"/>
      <c r="O34" s="49">
        <f>I34+J34+K34+L34+M34+N34</f>
        <v>253</v>
      </c>
      <c r="P34" s="46"/>
      <c r="Q34" s="20"/>
      <c r="R34" s="20">
        <v>74</v>
      </c>
      <c r="S34" s="20">
        <v>36</v>
      </c>
      <c r="T34" s="20">
        <v>110</v>
      </c>
      <c r="U34" s="47"/>
      <c r="V34" s="49">
        <f>P34+Q34+R34+S34+T34+U34</f>
        <v>220</v>
      </c>
      <c r="W34" s="46"/>
      <c r="X34" s="20">
        <v>18</v>
      </c>
      <c r="Y34" s="20">
        <v>52</v>
      </c>
      <c r="Z34" s="20">
        <v>95</v>
      </c>
      <c r="AA34" s="20">
        <v>147</v>
      </c>
      <c r="AB34" s="47"/>
      <c r="AC34" s="49"/>
      <c r="AD34" s="46"/>
      <c r="AE34" s="20">
        <v>24</v>
      </c>
      <c r="AF34" s="20">
        <v>97</v>
      </c>
      <c r="AG34" s="20">
        <v>75</v>
      </c>
      <c r="AH34" s="20">
        <v>70</v>
      </c>
      <c r="AI34" s="47"/>
      <c r="AJ34" s="49"/>
      <c r="AK34" s="46"/>
      <c r="AL34" s="20"/>
      <c r="AM34" s="20">
        <v>140</v>
      </c>
      <c r="AN34" s="20">
        <v>240</v>
      </c>
      <c r="AO34" s="20">
        <v>210</v>
      </c>
      <c r="AP34" s="47"/>
      <c r="AQ34" s="49"/>
      <c r="AR34" s="20"/>
      <c r="AS34" s="20"/>
      <c r="AT34" s="20">
        <v>24</v>
      </c>
      <c r="AU34" s="20"/>
      <c r="AV34" s="20">
        <v>63</v>
      </c>
      <c r="AW34" s="20">
        <v>152</v>
      </c>
      <c r="AX34" s="20"/>
      <c r="AY34" s="49"/>
      <c r="AZ34" s="20">
        <v>350</v>
      </c>
      <c r="BA34" s="20">
        <v>26</v>
      </c>
      <c r="BB34" s="20"/>
      <c r="BC34" s="20">
        <v>70</v>
      </c>
      <c r="BD34" s="20">
        <v>38</v>
      </c>
      <c r="BE34" s="20">
        <v>80</v>
      </c>
      <c r="BF34" s="20"/>
      <c r="BG34" s="49"/>
      <c r="BH34" s="51">
        <v>220</v>
      </c>
      <c r="BI34" s="52"/>
      <c r="BJ34" s="20"/>
      <c r="BK34" s="20">
        <v>80</v>
      </c>
      <c r="BL34" s="20">
        <v>48</v>
      </c>
      <c r="BM34" s="20">
        <v>94</v>
      </c>
      <c r="BN34" s="20"/>
      <c r="BO34" s="49">
        <v>222</v>
      </c>
      <c r="BP34" s="51">
        <v>235</v>
      </c>
      <c r="BQ34" s="46">
        <v>0</v>
      </c>
      <c r="BR34" s="20">
        <v>0</v>
      </c>
      <c r="BS34" s="20">
        <v>60</v>
      </c>
      <c r="BT34" s="20">
        <v>100</v>
      </c>
      <c r="BU34" s="20">
        <v>93</v>
      </c>
      <c r="BV34" s="47">
        <v>0</v>
      </c>
      <c r="BW34" s="72"/>
      <c r="BX34" s="46"/>
      <c r="BY34" s="20"/>
      <c r="BZ34" s="20">
        <v>68</v>
      </c>
      <c r="CA34" s="20">
        <v>72</v>
      </c>
      <c r="CB34" s="20">
        <v>113</v>
      </c>
      <c r="CC34" s="47"/>
      <c r="CD34" s="49">
        <f>BX34+BY34+BZ34+CA34+CB34+CC34</f>
        <v>253</v>
      </c>
      <c r="CE34" s="46"/>
      <c r="CF34" s="20"/>
      <c r="CG34" s="20">
        <v>74</v>
      </c>
      <c r="CH34" s="20">
        <v>36</v>
      </c>
      <c r="CI34" s="20">
        <v>110</v>
      </c>
      <c r="CJ34" s="47"/>
      <c r="CK34" s="49">
        <f>CE34+CF34+CG34+CH34+CI34+CJ34</f>
        <v>220</v>
      </c>
      <c r="CL34" s="46"/>
      <c r="CM34" s="20">
        <v>18</v>
      </c>
      <c r="CN34" s="20">
        <v>52</v>
      </c>
      <c r="CO34" s="20">
        <v>95</v>
      </c>
      <c r="CP34" s="20">
        <v>147</v>
      </c>
      <c r="CQ34" s="47"/>
      <c r="CR34" s="49"/>
      <c r="CS34" s="46"/>
      <c r="CT34" s="20">
        <v>24</v>
      </c>
      <c r="CU34" s="20">
        <v>97</v>
      </c>
      <c r="CV34" s="20">
        <v>75</v>
      </c>
      <c r="CW34" s="20">
        <v>70</v>
      </c>
      <c r="CX34" s="47"/>
      <c r="CY34" s="49"/>
      <c r="CZ34" s="46"/>
      <c r="DA34" s="20"/>
      <c r="DB34" s="20">
        <v>140</v>
      </c>
      <c r="DC34" s="20">
        <v>240</v>
      </c>
      <c r="DD34" s="20">
        <v>210</v>
      </c>
      <c r="DE34" s="47"/>
      <c r="DF34" s="49"/>
      <c r="DG34" s="20"/>
      <c r="DH34" s="20"/>
      <c r="DI34" s="20">
        <v>24</v>
      </c>
      <c r="DJ34" s="20"/>
      <c r="DK34" s="20">
        <v>63</v>
      </c>
      <c r="DL34" s="20">
        <v>152</v>
      </c>
      <c r="DM34" s="20"/>
      <c r="DN34" s="49"/>
      <c r="DO34" s="20">
        <v>350</v>
      </c>
      <c r="DP34" s="20">
        <v>26</v>
      </c>
      <c r="DQ34" s="20"/>
      <c r="DR34" s="20">
        <v>70</v>
      </c>
      <c r="DS34" s="20">
        <v>38</v>
      </c>
      <c r="DT34" s="20">
        <v>80</v>
      </c>
      <c r="DU34" s="20"/>
      <c r="DV34" s="49"/>
      <c r="DW34" s="52"/>
      <c r="DX34" s="20"/>
      <c r="DY34" s="20">
        <v>58</v>
      </c>
      <c r="DZ34" s="20"/>
      <c r="EA34" s="20">
        <v>122</v>
      </c>
      <c r="EB34" s="20"/>
      <c r="EC34" s="70">
        <v>160</v>
      </c>
      <c r="ED34" s="51">
        <v>140</v>
      </c>
      <c r="EE34" s="52"/>
      <c r="EF34" s="20"/>
      <c r="EG34" s="20">
        <v>38</v>
      </c>
      <c r="EH34" s="20"/>
      <c r="EI34" s="20">
        <v>23</v>
      </c>
      <c r="EJ34" s="20"/>
      <c r="EK34" s="70"/>
      <c r="EL34" s="51"/>
      <c r="EM34" s="52"/>
      <c r="EN34" s="20"/>
      <c r="EO34" s="20">
        <v>92</v>
      </c>
      <c r="EP34" s="20">
        <v>45</v>
      </c>
      <c r="EQ34" s="20">
        <v>106</v>
      </c>
      <c r="ER34" s="20"/>
      <c r="ES34" s="70">
        <v>243</v>
      </c>
      <c r="ET34" s="57">
        <v>150</v>
      </c>
      <c r="EU34" s="52"/>
      <c r="EV34" s="20"/>
      <c r="EW34" s="20"/>
      <c r="EX34" s="20">
        <v>20</v>
      </c>
      <c r="EY34" s="20">
        <v>183</v>
      </c>
      <c r="EZ34" s="20"/>
      <c r="FA34" s="70">
        <v>203</v>
      </c>
      <c r="FB34" s="57">
        <v>100</v>
      </c>
      <c r="FC34" s="52"/>
      <c r="FD34" s="20"/>
      <c r="FE34" s="20">
        <v>140</v>
      </c>
      <c r="FF34" s="20"/>
      <c r="FG34" s="20">
        <v>164</v>
      </c>
      <c r="FH34" s="20"/>
      <c r="FI34" s="70">
        <v>304</v>
      </c>
      <c r="FJ34" s="57">
        <v>300</v>
      </c>
      <c r="FK34" s="52"/>
      <c r="FL34" s="20"/>
      <c r="FM34" s="20">
        <v>104</v>
      </c>
      <c r="FN34" s="20">
        <v>35</v>
      </c>
      <c r="FO34" s="20"/>
      <c r="FP34" s="20"/>
      <c r="FQ34" s="70">
        <v>115</v>
      </c>
      <c r="FR34" s="57">
        <v>120</v>
      </c>
      <c r="FS34" s="52"/>
      <c r="FT34" s="20">
        <v>125</v>
      </c>
      <c r="FU34" s="20"/>
      <c r="FV34" s="20"/>
      <c r="FW34" s="20">
        <v>164</v>
      </c>
      <c r="FX34" s="20"/>
      <c r="FY34" s="70">
        <v>289</v>
      </c>
      <c r="FZ34" s="57">
        <v>240</v>
      </c>
      <c r="GA34" s="20"/>
      <c r="GB34" s="20"/>
      <c r="GC34" s="20">
        <v>45</v>
      </c>
      <c r="GD34" s="20">
        <v>30</v>
      </c>
      <c r="GE34" s="20">
        <v>144</v>
      </c>
      <c r="GF34" s="20"/>
      <c r="GG34" s="20">
        <v>222</v>
      </c>
      <c r="GH34" s="20">
        <v>170</v>
      </c>
      <c r="GI34" s="20"/>
      <c r="GJ34" s="20"/>
      <c r="GK34" s="20">
        <v>264</v>
      </c>
      <c r="GL34" s="20">
        <v>20</v>
      </c>
      <c r="GM34" s="20">
        <v>185</v>
      </c>
      <c r="GN34" s="20"/>
      <c r="GO34" s="20">
        <v>469</v>
      </c>
      <c r="GP34" s="20">
        <v>380</v>
      </c>
      <c r="GQ34" s="20"/>
      <c r="GR34" s="20"/>
      <c r="GS34" s="20">
        <v>162</v>
      </c>
      <c r="GT34" s="20"/>
      <c r="GU34" s="20">
        <v>166</v>
      </c>
      <c r="GV34" s="56"/>
      <c r="GW34" s="57">
        <v>328</v>
      </c>
      <c r="GX34" s="57">
        <v>300</v>
      </c>
      <c r="GY34" s="20"/>
      <c r="GZ34" s="20"/>
      <c r="HA34" s="20">
        <v>140</v>
      </c>
      <c r="HB34" s="20">
        <v>30</v>
      </c>
      <c r="HC34" s="20">
        <v>236</v>
      </c>
      <c r="HD34" s="56"/>
      <c r="HE34" s="57">
        <v>406</v>
      </c>
      <c r="HF34" s="57">
        <v>335</v>
      </c>
      <c r="HG34" s="20"/>
      <c r="HH34" s="20">
        <v>26</v>
      </c>
      <c r="HI34" s="20">
        <v>178</v>
      </c>
      <c r="HJ34" s="20"/>
      <c r="HK34" s="20">
        <v>128</v>
      </c>
      <c r="HL34" s="20"/>
      <c r="HM34" s="20">
        <v>332</v>
      </c>
      <c r="HN34" s="20">
        <v>270</v>
      </c>
      <c r="HO34" s="20"/>
      <c r="HP34" s="20"/>
      <c r="HQ34" s="20">
        <v>105</v>
      </c>
      <c r="HR34" s="20"/>
      <c r="HS34" s="20">
        <v>319</v>
      </c>
      <c r="HT34" s="20"/>
      <c r="HU34" s="20">
        <v>424</v>
      </c>
      <c r="HV34" s="20">
        <v>350</v>
      </c>
      <c r="HW34" s="20"/>
      <c r="HX34" s="20"/>
      <c r="HY34" s="20">
        <v>190</v>
      </c>
      <c r="HZ34" s="20"/>
      <c r="IA34" s="20">
        <v>282</v>
      </c>
      <c r="IB34" s="20"/>
      <c r="IC34" s="20">
        <v>472</v>
      </c>
      <c r="ID34" s="20">
        <v>450</v>
      </c>
      <c r="IE34" s="20"/>
      <c r="IF34" s="20">
        <v>24</v>
      </c>
      <c r="IG34" s="20">
        <v>70</v>
      </c>
      <c r="IH34" s="20">
        <v>42</v>
      </c>
      <c r="II34" s="20">
        <v>150</v>
      </c>
      <c r="IJ34" s="20"/>
      <c r="IK34" s="20">
        <v>286</v>
      </c>
      <c r="IL34" s="20">
        <v>260</v>
      </c>
      <c r="IM34" s="20"/>
      <c r="IN34" s="20">
        <v>72</v>
      </c>
      <c r="IO34" s="20">
        <v>149</v>
      </c>
      <c r="IP34" s="20">
        <v>20</v>
      </c>
      <c r="IQ34" s="20">
        <v>507</v>
      </c>
      <c r="IR34" s="20"/>
      <c r="IS34" s="69">
        <v>748</v>
      </c>
      <c r="IT34" s="20">
        <v>610</v>
      </c>
      <c r="IU34" s="20"/>
      <c r="IV34" s="20">
        <v>200</v>
      </c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>
        <v>150</v>
      </c>
      <c r="KC34" s="20">
        <v>466</v>
      </c>
      <c r="KD34" s="20"/>
      <c r="KE34" s="69">
        <v>816</v>
      </c>
      <c r="KF34" s="20">
        <v>800</v>
      </c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>
        <v>104</v>
      </c>
      <c r="LN34" s="20"/>
      <c r="LO34" s="20">
        <v>365</v>
      </c>
      <c r="LP34" s="20"/>
      <c r="LQ34" s="136">
        <v>105</v>
      </c>
      <c r="LR34" s="136">
        <v>718</v>
      </c>
      <c r="LS34" s="136">
        <v>860</v>
      </c>
      <c r="LT34" s="136">
        <v>667</v>
      </c>
      <c r="LU34" s="136">
        <v>680</v>
      </c>
      <c r="LV34" s="136">
        <v>426</v>
      </c>
      <c r="LW34" s="136">
        <v>306</v>
      </c>
      <c r="LX34" s="136">
        <v>463</v>
      </c>
      <c r="LY34" s="136">
        <v>544</v>
      </c>
      <c r="LZ34" s="136">
        <v>510</v>
      </c>
      <c r="MA34" s="136">
        <v>591</v>
      </c>
      <c r="MB34" s="136">
        <v>402</v>
      </c>
      <c r="MC34" s="137">
        <v>338</v>
      </c>
      <c r="MD34" s="137">
        <v>256</v>
      </c>
      <c r="ME34" s="136">
        <v>223</v>
      </c>
      <c r="MF34" s="137">
        <v>185</v>
      </c>
      <c r="MG34" s="137">
        <v>273</v>
      </c>
      <c r="MH34" s="137">
        <v>485</v>
      </c>
      <c r="MI34" s="137">
        <v>506</v>
      </c>
      <c r="MJ34" s="137">
        <v>340</v>
      </c>
      <c r="MK34" s="137">
        <v>266</v>
      </c>
      <c r="ML34" s="137">
        <v>514</v>
      </c>
      <c r="MM34" s="137">
        <v>496</v>
      </c>
      <c r="MN34" s="137">
        <v>687</v>
      </c>
      <c r="MO34" s="137">
        <v>530</v>
      </c>
      <c r="MP34" s="137">
        <v>743</v>
      </c>
      <c r="MQ34" s="1">
        <v>575</v>
      </c>
      <c r="MR34" s="137">
        <v>970</v>
      </c>
      <c r="MS34" s="1">
        <v>882</v>
      </c>
      <c r="MT34" s="137">
        <v>695</v>
      </c>
      <c r="MU34" s="138">
        <v>721</v>
      </c>
      <c r="MV34" s="139">
        <f t="shared" si="4"/>
        <v>15957</v>
      </c>
      <c r="MW34" s="121"/>
    </row>
    <row r="35" spans="1:361" s="43" customFormat="1" ht="27.4" customHeight="1" thickBot="1">
      <c r="A35" s="28"/>
      <c r="B35" s="29"/>
      <c r="C35" s="30"/>
      <c r="D35" s="30"/>
      <c r="E35" s="30"/>
      <c r="F35" s="30"/>
      <c r="G35" s="31"/>
      <c r="H35" s="32"/>
      <c r="I35" s="29"/>
      <c r="J35" s="30"/>
      <c r="K35" s="30"/>
      <c r="L35" s="30"/>
      <c r="M35" s="30"/>
      <c r="N35" s="31"/>
      <c r="O35" s="33">
        <f>SUM(O4:O34)</f>
        <v>8149</v>
      </c>
      <c r="P35" s="29"/>
      <c r="Q35" s="30"/>
      <c r="R35" s="30"/>
      <c r="S35" s="30"/>
      <c r="T35" s="30"/>
      <c r="U35" s="31"/>
      <c r="V35" s="33">
        <f>SUM(V4:V34)</f>
        <v>8427</v>
      </c>
      <c r="W35" s="29"/>
      <c r="X35" s="30"/>
      <c r="Y35" s="30"/>
      <c r="Z35" s="30"/>
      <c r="AA35" s="30"/>
      <c r="AB35" s="31"/>
      <c r="AC35" s="33"/>
      <c r="AD35" s="29"/>
      <c r="AE35" s="30"/>
      <c r="AF35" s="30"/>
      <c r="AG35" s="30"/>
      <c r="AH35" s="30"/>
      <c r="AI35" s="31"/>
      <c r="AJ35" s="33"/>
      <c r="AK35" s="29"/>
      <c r="AL35" s="30"/>
      <c r="AM35" s="30"/>
      <c r="AN35" s="30"/>
      <c r="AO35" s="30"/>
      <c r="AP35" s="31"/>
      <c r="AQ35" s="33"/>
      <c r="AR35" s="34"/>
      <c r="AS35" s="30"/>
      <c r="AT35" s="30"/>
      <c r="AU35" s="30"/>
      <c r="AV35" s="30"/>
      <c r="AW35" s="30"/>
      <c r="AX35" s="30"/>
      <c r="AY35" s="33"/>
      <c r="AZ35" s="33">
        <f>SUM(AZ4:AZ34)</f>
        <v>10770</v>
      </c>
      <c r="BA35" s="30"/>
      <c r="BB35" s="30"/>
      <c r="BC35" s="30"/>
      <c r="BD35" s="30"/>
      <c r="BE35" s="30"/>
      <c r="BF35" s="30"/>
      <c r="BG35" s="33"/>
      <c r="BH35" s="35"/>
      <c r="BI35" s="36"/>
      <c r="BJ35" s="30"/>
      <c r="BK35" s="30"/>
      <c r="BL35" s="30"/>
      <c r="BM35" s="30"/>
      <c r="BN35" s="28"/>
      <c r="BO35" s="37">
        <v>9827</v>
      </c>
      <c r="BP35" s="38">
        <v>13215</v>
      </c>
      <c r="BQ35" s="29"/>
      <c r="BR35" s="30"/>
      <c r="BS35" s="30"/>
      <c r="BT35" s="30"/>
      <c r="BU35" s="30"/>
      <c r="BV35" s="31"/>
      <c r="BW35" s="32"/>
      <c r="BX35" s="29"/>
      <c r="BY35" s="30"/>
      <c r="BZ35" s="30"/>
      <c r="CA35" s="30"/>
      <c r="CB35" s="30"/>
      <c r="CC35" s="31"/>
      <c r="CD35" s="33">
        <f>SUM(CD4:CD34)</f>
        <v>8149</v>
      </c>
      <c r="CE35" s="29"/>
      <c r="CF35" s="30"/>
      <c r="CG35" s="30"/>
      <c r="CH35" s="30"/>
      <c r="CI35" s="30"/>
      <c r="CJ35" s="31"/>
      <c r="CK35" s="33">
        <f>SUM(CK4:CK34)</f>
        <v>8427</v>
      </c>
      <c r="CL35" s="29"/>
      <c r="CM35" s="30"/>
      <c r="CN35" s="30"/>
      <c r="CO35" s="30"/>
      <c r="CP35" s="30"/>
      <c r="CQ35" s="31"/>
      <c r="CR35" s="33"/>
      <c r="CS35" s="29"/>
      <c r="CT35" s="30"/>
      <c r="CU35" s="30"/>
      <c r="CV35" s="30"/>
      <c r="CW35" s="30"/>
      <c r="CX35" s="31"/>
      <c r="CY35" s="33"/>
      <c r="CZ35" s="29"/>
      <c r="DA35" s="30"/>
      <c r="DB35" s="30"/>
      <c r="DC35" s="30"/>
      <c r="DD35" s="30"/>
      <c r="DE35" s="31"/>
      <c r="DF35" s="33"/>
      <c r="DG35" s="34"/>
      <c r="DH35" s="30"/>
      <c r="DI35" s="30"/>
      <c r="DJ35" s="30"/>
      <c r="DK35" s="30"/>
      <c r="DL35" s="30"/>
      <c r="DM35" s="30"/>
      <c r="DN35" s="33"/>
      <c r="DO35" s="33">
        <f>SUM(DO4:DO34)</f>
        <v>10770</v>
      </c>
      <c r="DP35" s="30"/>
      <c r="DQ35" s="30"/>
      <c r="DR35" s="30"/>
      <c r="DS35" s="30"/>
      <c r="DT35" s="30"/>
      <c r="DU35" s="30"/>
      <c r="DV35" s="33"/>
      <c r="DW35" s="36"/>
      <c r="DX35" s="30"/>
      <c r="DY35" s="30"/>
      <c r="DZ35" s="30"/>
      <c r="EA35" s="30"/>
      <c r="EB35" s="28"/>
      <c r="EC35" s="37">
        <v>10947</v>
      </c>
      <c r="ED35" s="38">
        <v>11655</v>
      </c>
      <c r="EE35" s="36"/>
      <c r="EF35" s="30"/>
      <c r="EG35" s="30"/>
      <c r="EH35" s="30"/>
      <c r="EI35" s="30">
        <v>1698</v>
      </c>
      <c r="EJ35" s="28"/>
      <c r="EK35" s="37"/>
      <c r="EL35" s="38"/>
      <c r="EM35" s="36"/>
      <c r="EN35" s="30"/>
      <c r="EO35" s="30"/>
      <c r="EP35" s="30"/>
      <c r="EQ35" s="30"/>
      <c r="ER35" s="28"/>
      <c r="ES35" s="37">
        <v>14270</v>
      </c>
      <c r="ET35" s="38">
        <v>9700</v>
      </c>
      <c r="EU35" s="36"/>
      <c r="EV35" s="30"/>
      <c r="EW35" s="30"/>
      <c r="EX35" s="30"/>
      <c r="EY35" s="30"/>
      <c r="EZ35" s="28"/>
      <c r="FA35" s="37">
        <v>15080</v>
      </c>
      <c r="FB35" s="38">
        <v>14200</v>
      </c>
      <c r="FC35" s="36"/>
      <c r="FD35" s="30"/>
      <c r="FE35" s="30"/>
      <c r="FF35" s="30"/>
      <c r="FG35" s="30"/>
      <c r="FH35" s="28"/>
      <c r="FI35" s="37">
        <v>12867</v>
      </c>
      <c r="FJ35" s="38">
        <v>14080</v>
      </c>
      <c r="FK35" s="36"/>
      <c r="FL35" s="30"/>
      <c r="FM35" s="30"/>
      <c r="FN35" s="30"/>
      <c r="FO35" s="30"/>
      <c r="FP35" s="28"/>
      <c r="FQ35" s="37">
        <v>14448</v>
      </c>
      <c r="FR35" s="38">
        <v>15355</v>
      </c>
      <c r="FS35" s="36"/>
      <c r="FT35" s="30"/>
      <c r="FU35" s="30"/>
      <c r="FV35" s="30"/>
      <c r="FW35" s="30"/>
      <c r="FX35" s="28"/>
      <c r="FY35" s="37">
        <v>16870</v>
      </c>
      <c r="FZ35" s="38">
        <v>15985</v>
      </c>
      <c r="GA35" s="30"/>
      <c r="GB35" s="30"/>
      <c r="GC35" s="30"/>
      <c r="GD35" s="30"/>
      <c r="GE35" s="30"/>
      <c r="GF35" s="30"/>
      <c r="GG35" s="34">
        <v>20167</v>
      </c>
      <c r="GH35" s="34">
        <v>20965</v>
      </c>
      <c r="GI35" s="30"/>
      <c r="GJ35" s="30"/>
      <c r="GK35" s="30"/>
      <c r="GL35" s="30"/>
      <c r="GM35" s="30"/>
      <c r="GN35" s="30"/>
      <c r="GO35" s="34">
        <v>19932</v>
      </c>
      <c r="GP35" s="34">
        <v>19195</v>
      </c>
      <c r="GQ35" s="30"/>
      <c r="GR35" s="30"/>
      <c r="GS35" s="30"/>
      <c r="GT35" s="30"/>
      <c r="GU35" s="30"/>
      <c r="GV35" s="28"/>
      <c r="GW35" s="39">
        <v>20813</v>
      </c>
      <c r="GX35" s="39">
        <v>21210</v>
      </c>
      <c r="GY35" s="30"/>
      <c r="GZ35" s="30"/>
      <c r="HA35" s="30"/>
      <c r="HB35" s="30"/>
      <c r="HC35" s="30"/>
      <c r="HD35" s="28"/>
      <c r="HE35" s="39">
        <v>21240</v>
      </c>
      <c r="HF35" s="39">
        <v>21375</v>
      </c>
      <c r="HG35" s="30"/>
      <c r="HH35" s="30"/>
      <c r="HI35" s="30"/>
      <c r="HJ35" s="30"/>
      <c r="HK35" s="30"/>
      <c r="HL35" s="30"/>
      <c r="HM35" s="34">
        <v>18173</v>
      </c>
      <c r="HN35" s="34">
        <v>19130</v>
      </c>
      <c r="HO35" s="30"/>
      <c r="HP35" s="30"/>
      <c r="HQ35" s="30"/>
      <c r="HR35" s="30"/>
      <c r="HS35" s="30"/>
      <c r="HT35" s="30"/>
      <c r="HU35" s="30">
        <v>17775</v>
      </c>
      <c r="HV35" s="30"/>
      <c r="HW35" s="30"/>
      <c r="HX35" s="30"/>
      <c r="HY35" s="30"/>
      <c r="HZ35" s="30"/>
      <c r="IA35" s="30"/>
      <c r="IB35" s="30"/>
      <c r="IC35" s="30">
        <v>23056</v>
      </c>
      <c r="ID35" s="30">
        <v>26300</v>
      </c>
      <c r="IE35" s="30"/>
      <c r="IF35" s="30"/>
      <c r="IG35" s="30"/>
      <c r="IH35" s="30"/>
      <c r="II35" s="30"/>
      <c r="IJ35" s="30"/>
      <c r="IK35" s="30">
        <v>27239</v>
      </c>
      <c r="IL35" s="30">
        <v>20450</v>
      </c>
      <c r="IM35" s="30"/>
      <c r="IN35" s="30"/>
      <c r="IO35" s="30"/>
      <c r="IP35" s="30"/>
      <c r="IQ35" s="30"/>
      <c r="IR35" s="30"/>
      <c r="IS35" s="30">
        <v>35636</v>
      </c>
      <c r="IT35" s="30">
        <v>27560</v>
      </c>
      <c r="IU35" s="30"/>
      <c r="IV35" s="30"/>
      <c r="IW35" s="30"/>
      <c r="IX35" s="30"/>
      <c r="IY35" s="30"/>
      <c r="IZ35" s="30"/>
      <c r="JA35" s="34"/>
      <c r="JB35" s="34"/>
      <c r="JC35" s="30"/>
      <c r="JD35" s="30"/>
      <c r="JE35" s="30"/>
      <c r="JF35" s="30"/>
      <c r="JG35" s="30"/>
      <c r="JH35" s="30"/>
      <c r="JI35" s="30"/>
      <c r="JJ35" s="30"/>
      <c r="JK35" s="30"/>
      <c r="JL35" s="30"/>
      <c r="JM35" s="30"/>
      <c r="JN35" s="30"/>
      <c r="JO35" s="30"/>
      <c r="JP35" s="30"/>
      <c r="JQ35" s="30"/>
      <c r="JR35" s="30"/>
      <c r="JS35" s="30"/>
      <c r="JT35" s="30"/>
      <c r="JU35" s="30"/>
      <c r="JV35" s="30"/>
      <c r="JW35" s="30"/>
      <c r="JX35" s="30"/>
      <c r="JY35" s="30"/>
      <c r="JZ35" s="30"/>
      <c r="KA35" s="30"/>
      <c r="KB35" s="30"/>
      <c r="KC35" s="30"/>
      <c r="KD35" s="30"/>
      <c r="KE35" s="30">
        <v>27362</v>
      </c>
      <c r="KF35" s="30">
        <v>24355</v>
      </c>
      <c r="KG35" s="30"/>
      <c r="KH35" s="30"/>
      <c r="KI35" s="30"/>
      <c r="KJ35" s="30"/>
      <c r="KK35" s="30"/>
      <c r="KL35" s="30"/>
      <c r="KM35" s="34"/>
      <c r="KN35" s="34"/>
      <c r="KO35" s="30"/>
      <c r="KP35" s="30"/>
      <c r="KQ35" s="30"/>
      <c r="KR35" s="30"/>
      <c r="KS35" s="30"/>
      <c r="KT35" s="30"/>
      <c r="KU35" s="30"/>
      <c r="KV35" s="30"/>
      <c r="KW35" s="30"/>
      <c r="KX35" s="30"/>
      <c r="KY35" s="30"/>
      <c r="KZ35" s="30"/>
      <c r="LA35" s="30"/>
      <c r="LB35" s="30"/>
      <c r="LC35" s="30"/>
      <c r="LD35" s="30"/>
      <c r="LE35" s="30"/>
      <c r="LF35" s="30"/>
      <c r="LG35" s="30"/>
      <c r="LH35" s="30"/>
      <c r="LI35" s="30"/>
      <c r="LJ35" s="30"/>
      <c r="LK35" s="30"/>
      <c r="LL35" s="30"/>
      <c r="LM35" s="30"/>
      <c r="LN35" s="30"/>
      <c r="LO35" s="30"/>
      <c r="LP35" s="30"/>
      <c r="LQ35" s="30">
        <v>16594</v>
      </c>
      <c r="LR35" s="34">
        <v>18165</v>
      </c>
      <c r="LS35" s="30">
        <v>16891</v>
      </c>
      <c r="LT35" s="34">
        <v>16467</v>
      </c>
      <c r="LU35" s="34">
        <v>15070</v>
      </c>
      <c r="LV35" s="34">
        <v>11517</v>
      </c>
      <c r="LW35" s="34">
        <v>12340</v>
      </c>
      <c r="LX35" s="28">
        <v>11990</v>
      </c>
      <c r="LY35" s="34">
        <v>12759</v>
      </c>
      <c r="LZ35" s="34">
        <v>12109</v>
      </c>
      <c r="MA35" s="34">
        <v>12596</v>
      </c>
      <c r="MB35" s="34">
        <v>10554</v>
      </c>
      <c r="MC35" s="40">
        <v>8888</v>
      </c>
      <c r="MD35" s="40">
        <v>8493</v>
      </c>
      <c r="ME35" s="34">
        <v>8358</v>
      </c>
      <c r="MF35" s="34">
        <v>10928</v>
      </c>
      <c r="MG35" s="34">
        <v>13187</v>
      </c>
      <c r="MH35" s="40">
        <v>18706</v>
      </c>
      <c r="MI35" s="40">
        <v>24470</v>
      </c>
      <c r="MJ35" s="40">
        <v>24440</v>
      </c>
      <c r="MK35" s="40">
        <v>21826</v>
      </c>
      <c r="ML35" s="41">
        <v>31312</v>
      </c>
      <c r="MM35" s="40">
        <v>34231</v>
      </c>
      <c r="MN35" s="40">
        <v>29815</v>
      </c>
      <c r="MO35" s="40">
        <v>43514</v>
      </c>
      <c r="MP35" s="40">
        <v>54604</v>
      </c>
      <c r="MQ35" s="150">
        <v>76199</v>
      </c>
      <c r="MR35" s="40">
        <v>67490</v>
      </c>
      <c r="MS35" s="40">
        <v>65710</v>
      </c>
      <c r="MT35" s="42">
        <v>69304</v>
      </c>
      <c r="MU35" s="104">
        <v>62795</v>
      </c>
      <c r="MV35" s="139">
        <f>SUM(MV4:MV34)</f>
        <v>841331</v>
      </c>
    </row>
    <row r="36" spans="1:361" s="207" customFormat="1" ht="23.85" customHeight="1" thickBot="1">
      <c r="A36" s="239" t="s">
        <v>202</v>
      </c>
      <c r="B36" s="221"/>
      <c r="C36" s="222"/>
      <c r="D36" s="222"/>
      <c r="E36" s="222"/>
      <c r="F36" s="222"/>
      <c r="G36" s="223"/>
      <c r="H36" s="224"/>
      <c r="I36" s="221"/>
      <c r="J36" s="222"/>
      <c r="K36" s="222"/>
      <c r="L36" s="222"/>
      <c r="M36" s="222"/>
      <c r="N36" s="223"/>
      <c r="O36" s="225"/>
      <c r="P36" s="221"/>
      <c r="Q36" s="222"/>
      <c r="R36" s="222"/>
      <c r="S36" s="222"/>
      <c r="T36" s="222"/>
      <c r="U36" s="223"/>
      <c r="V36" s="225"/>
      <c r="W36" s="221"/>
      <c r="X36" s="222"/>
      <c r="Y36" s="222"/>
      <c r="Z36" s="222"/>
      <c r="AA36" s="222"/>
      <c r="AB36" s="223"/>
      <c r="AC36" s="225"/>
      <c r="AD36" s="221"/>
      <c r="AE36" s="222"/>
      <c r="AF36" s="222"/>
      <c r="AG36" s="222"/>
      <c r="AH36" s="222"/>
      <c r="AI36" s="223"/>
      <c r="AJ36" s="225"/>
      <c r="AK36" s="221"/>
      <c r="AL36" s="222"/>
      <c r="AM36" s="222"/>
      <c r="AN36" s="222"/>
      <c r="AO36" s="222"/>
      <c r="AP36" s="223"/>
      <c r="AQ36" s="225"/>
      <c r="AR36" s="222"/>
      <c r="AS36" s="222"/>
      <c r="AT36" s="222"/>
      <c r="AU36" s="222"/>
      <c r="AV36" s="222"/>
      <c r="AW36" s="222"/>
      <c r="AX36" s="222"/>
      <c r="AY36" s="226"/>
      <c r="AZ36" s="222"/>
      <c r="BA36" s="222"/>
      <c r="BB36" s="222"/>
      <c r="BC36" s="222"/>
      <c r="BD36" s="222"/>
      <c r="BE36" s="222"/>
      <c r="BF36" s="222"/>
      <c r="BG36" s="226"/>
      <c r="BH36" s="227"/>
      <c r="BI36" s="228"/>
      <c r="BJ36" s="222"/>
      <c r="BK36" s="222"/>
      <c r="BL36" s="222"/>
      <c r="BM36" s="222"/>
      <c r="BN36" s="222"/>
      <c r="BO36" s="226"/>
      <c r="BP36" s="229"/>
      <c r="BQ36" s="221"/>
      <c r="BR36" s="222"/>
      <c r="BS36" s="222"/>
      <c r="BT36" s="222"/>
      <c r="BU36" s="222"/>
      <c r="BV36" s="223"/>
      <c r="BW36" s="224"/>
      <c r="BX36" s="221"/>
      <c r="BY36" s="222"/>
      <c r="BZ36" s="222"/>
      <c r="CA36" s="222"/>
      <c r="CB36" s="222"/>
      <c r="CC36" s="223"/>
      <c r="CD36" s="225"/>
      <c r="CE36" s="221"/>
      <c r="CF36" s="222"/>
      <c r="CG36" s="222"/>
      <c r="CH36" s="222"/>
      <c r="CI36" s="222"/>
      <c r="CJ36" s="223"/>
      <c r="CK36" s="225"/>
      <c r="CL36" s="221"/>
      <c r="CM36" s="222"/>
      <c r="CN36" s="222"/>
      <c r="CO36" s="222"/>
      <c r="CP36" s="222"/>
      <c r="CQ36" s="223"/>
      <c r="CR36" s="225"/>
      <c r="CS36" s="221"/>
      <c r="CT36" s="222"/>
      <c r="CU36" s="222"/>
      <c r="CV36" s="222"/>
      <c r="CW36" s="222"/>
      <c r="CX36" s="223"/>
      <c r="CY36" s="225"/>
      <c r="CZ36" s="221"/>
      <c r="DA36" s="222"/>
      <c r="DB36" s="222"/>
      <c r="DC36" s="222"/>
      <c r="DD36" s="222"/>
      <c r="DE36" s="223"/>
      <c r="DF36" s="225"/>
      <c r="DG36" s="222"/>
      <c r="DH36" s="222"/>
      <c r="DI36" s="222"/>
      <c r="DJ36" s="222"/>
      <c r="DK36" s="222"/>
      <c r="DL36" s="222"/>
      <c r="DM36" s="222"/>
      <c r="DN36" s="226"/>
      <c r="DO36" s="222"/>
      <c r="DP36" s="222"/>
      <c r="DQ36" s="222"/>
      <c r="DR36" s="222"/>
      <c r="DS36" s="222"/>
      <c r="DT36" s="222"/>
      <c r="DU36" s="222"/>
      <c r="DV36" s="226"/>
      <c r="DW36" s="228"/>
      <c r="DX36" s="222"/>
      <c r="DY36" s="222"/>
      <c r="DZ36" s="222"/>
      <c r="EA36" s="222"/>
      <c r="EB36" s="222"/>
      <c r="EC36" s="230"/>
      <c r="ED36" s="229"/>
      <c r="EE36" s="228"/>
      <c r="EF36" s="222"/>
      <c r="EG36" s="222"/>
      <c r="EH36" s="222"/>
      <c r="EI36" s="222"/>
      <c r="EJ36" s="222"/>
      <c r="EK36" s="230"/>
      <c r="EL36" s="229"/>
      <c r="EM36" s="228"/>
      <c r="EN36" s="222"/>
      <c r="EO36" s="222"/>
      <c r="EP36" s="222"/>
      <c r="EQ36" s="222"/>
      <c r="ER36" s="222"/>
      <c r="ES36" s="230"/>
      <c r="ET36" s="231"/>
      <c r="EU36" s="228"/>
      <c r="EV36" s="222"/>
      <c r="EW36" s="222"/>
      <c r="EX36" s="222"/>
      <c r="EY36" s="222"/>
      <c r="EZ36" s="222"/>
      <c r="FA36" s="230"/>
      <c r="FB36" s="231"/>
      <c r="FC36" s="228"/>
      <c r="FD36" s="222"/>
      <c r="FE36" s="222"/>
      <c r="FF36" s="222"/>
      <c r="FG36" s="222"/>
      <c r="FH36" s="222"/>
      <c r="FI36" s="230"/>
      <c r="FJ36" s="231"/>
      <c r="FK36" s="228"/>
      <c r="FL36" s="222"/>
      <c r="FM36" s="222"/>
      <c r="FN36" s="222"/>
      <c r="FO36" s="222"/>
      <c r="FP36" s="222"/>
      <c r="FQ36" s="230"/>
      <c r="FR36" s="231"/>
      <c r="FS36" s="228"/>
      <c r="FT36" s="222"/>
      <c r="FU36" s="222"/>
      <c r="FV36" s="222"/>
      <c r="FW36" s="222"/>
      <c r="FX36" s="222"/>
      <c r="FY36" s="230"/>
      <c r="FZ36" s="231"/>
      <c r="GA36" s="222" t="s">
        <v>32</v>
      </c>
      <c r="GB36" s="222" t="s">
        <v>33</v>
      </c>
      <c r="GC36" s="222" t="s">
        <v>34</v>
      </c>
      <c r="GD36" s="222" t="s">
        <v>35</v>
      </c>
      <c r="GE36" s="222" t="s">
        <v>36</v>
      </c>
      <c r="GF36" s="222" t="s">
        <v>37</v>
      </c>
      <c r="GG36" s="222"/>
      <c r="GH36" s="222"/>
      <c r="GI36" s="222"/>
      <c r="GJ36" s="222"/>
      <c r="GK36" s="222"/>
      <c r="GL36" s="222"/>
      <c r="GM36" s="222"/>
      <c r="GN36" s="222"/>
      <c r="GO36" s="222"/>
      <c r="GP36" s="222"/>
      <c r="GQ36" s="222"/>
      <c r="GR36" s="222"/>
      <c r="GS36" s="222"/>
      <c r="GT36" s="222"/>
      <c r="GU36" s="222"/>
      <c r="GV36" s="232"/>
      <c r="GW36" s="233"/>
      <c r="GX36" s="233"/>
      <c r="GY36" s="222"/>
      <c r="GZ36" s="222"/>
      <c r="HA36" s="222"/>
      <c r="HB36" s="222"/>
      <c r="HC36" s="222"/>
      <c r="HD36" s="232"/>
      <c r="HE36" s="233"/>
      <c r="HF36" s="233"/>
      <c r="HG36" s="222"/>
      <c r="HH36" s="222"/>
      <c r="HI36" s="222"/>
      <c r="HJ36" s="222"/>
      <c r="HK36" s="222"/>
      <c r="HL36" s="222"/>
      <c r="HM36" s="222"/>
      <c r="HN36" s="222"/>
      <c r="HO36" s="222"/>
      <c r="HP36" s="222"/>
      <c r="HQ36" s="222"/>
      <c r="HR36" s="222"/>
      <c r="HS36" s="222"/>
      <c r="HT36" s="222"/>
      <c r="HU36" s="222"/>
      <c r="HV36" s="222"/>
      <c r="HW36" s="222"/>
      <c r="HX36" s="222"/>
      <c r="HY36" s="222"/>
      <c r="HZ36" s="222"/>
      <c r="IA36" s="222"/>
      <c r="IB36" s="222"/>
      <c r="IC36" s="222"/>
      <c r="ID36" s="222"/>
      <c r="IE36" s="222"/>
      <c r="IF36" s="222"/>
      <c r="IG36" s="222"/>
      <c r="IH36" s="222"/>
      <c r="II36" s="222"/>
      <c r="IJ36" s="222"/>
      <c r="IK36" s="222"/>
      <c r="IL36" s="222"/>
      <c r="IM36" s="222"/>
      <c r="IN36" s="222"/>
      <c r="IO36" s="222"/>
      <c r="IP36" s="222"/>
      <c r="IQ36" s="222"/>
      <c r="IR36" s="222"/>
      <c r="IS36" s="222"/>
      <c r="IT36" s="222"/>
      <c r="IU36" s="222"/>
      <c r="IV36" s="222"/>
      <c r="IW36" s="222"/>
      <c r="IX36" s="222"/>
      <c r="IY36" s="222"/>
      <c r="IZ36" s="222"/>
      <c r="JA36" s="222"/>
      <c r="JB36" s="222"/>
      <c r="JC36" s="222"/>
      <c r="JD36" s="222"/>
      <c r="JE36" s="222"/>
      <c r="JF36" s="222"/>
      <c r="JG36" s="222"/>
      <c r="JH36" s="222"/>
      <c r="JI36" s="222"/>
      <c r="JJ36" s="222"/>
      <c r="JK36" s="222"/>
      <c r="JL36" s="222"/>
      <c r="JM36" s="222"/>
      <c r="JN36" s="222"/>
      <c r="JO36" s="222"/>
      <c r="JP36" s="222"/>
      <c r="JQ36" s="222"/>
      <c r="JR36" s="222"/>
      <c r="JS36" s="222"/>
      <c r="JT36" s="222"/>
      <c r="JU36" s="222"/>
      <c r="JV36" s="222"/>
      <c r="JW36" s="222"/>
      <c r="JX36" s="222"/>
      <c r="JY36" s="222"/>
      <c r="JZ36" s="222"/>
      <c r="KA36" s="222"/>
      <c r="KB36" s="222"/>
      <c r="KC36" s="222"/>
      <c r="KD36" s="222"/>
      <c r="KE36" s="222"/>
      <c r="KF36" s="222"/>
      <c r="KG36" s="222"/>
      <c r="KH36" s="222"/>
      <c r="KI36" s="222"/>
      <c r="KJ36" s="222"/>
      <c r="KK36" s="222"/>
      <c r="KL36" s="222"/>
      <c r="KM36" s="222"/>
      <c r="KN36" s="222"/>
      <c r="KO36" s="222"/>
      <c r="KP36" s="222"/>
      <c r="KQ36" s="222"/>
      <c r="KR36" s="222"/>
      <c r="KS36" s="222"/>
      <c r="KT36" s="222"/>
      <c r="KU36" s="222"/>
      <c r="KV36" s="222"/>
      <c r="KW36" s="222"/>
      <c r="KX36" s="222"/>
      <c r="KY36" s="222"/>
      <c r="KZ36" s="222"/>
      <c r="LA36" s="222"/>
      <c r="LB36" s="222"/>
      <c r="LC36" s="222"/>
      <c r="LD36" s="222"/>
      <c r="LE36" s="222"/>
      <c r="LF36" s="222"/>
      <c r="LG36" s="222"/>
      <c r="LH36" s="222"/>
      <c r="LI36" s="222"/>
      <c r="LJ36" s="222"/>
      <c r="LK36" s="222"/>
      <c r="LL36" s="222"/>
      <c r="LM36" s="222"/>
      <c r="LN36" s="222"/>
      <c r="LO36" s="222"/>
      <c r="LP36" s="222"/>
      <c r="LQ36" s="222"/>
      <c r="LR36" s="222"/>
      <c r="LS36" s="222"/>
      <c r="LT36" s="222"/>
      <c r="LU36" s="222"/>
      <c r="LV36" s="222"/>
      <c r="LW36" s="222"/>
      <c r="LX36" s="222"/>
      <c r="LY36" s="222"/>
      <c r="LZ36" s="222"/>
      <c r="MA36" s="222"/>
      <c r="MB36" s="222"/>
      <c r="MC36" s="234"/>
      <c r="MD36" s="234"/>
      <c r="ME36" s="222"/>
      <c r="MF36" s="234"/>
      <c r="MG36" s="234"/>
      <c r="MH36" s="234"/>
      <c r="MI36" s="234"/>
      <c r="MJ36" s="234"/>
      <c r="MK36" s="234"/>
      <c r="ML36" s="235"/>
      <c r="MM36" s="234"/>
      <c r="MN36" s="236"/>
      <c r="MO36" s="234"/>
      <c r="MP36" s="234"/>
      <c r="MQ36" s="208"/>
      <c r="MR36" s="234"/>
      <c r="MS36" s="208"/>
      <c r="MT36" s="234"/>
      <c r="MU36" s="237"/>
      <c r="MV36" s="238"/>
    </row>
    <row r="37" spans="1:361" s="58" customFormat="1" ht="18.75">
      <c r="A37" s="125" t="s">
        <v>203</v>
      </c>
      <c r="B37" s="46">
        <v>0</v>
      </c>
      <c r="C37" s="20"/>
      <c r="D37" s="20"/>
      <c r="E37" s="20"/>
      <c r="F37" s="20"/>
      <c r="G37" s="47"/>
      <c r="H37" s="48"/>
      <c r="I37" s="46"/>
      <c r="J37" s="20"/>
      <c r="K37" s="20"/>
      <c r="L37" s="20"/>
      <c r="M37" s="20"/>
      <c r="N37" s="47"/>
      <c r="O37" s="49">
        <f t="shared" ref="O37:O43" si="5">I37+J37+K37+L37+M37+N37</f>
        <v>0</v>
      </c>
      <c r="P37" s="46"/>
      <c r="Q37" s="20"/>
      <c r="R37" s="20"/>
      <c r="S37" s="20">
        <v>14</v>
      </c>
      <c r="T37" s="20"/>
      <c r="U37" s="47"/>
      <c r="V37" s="49">
        <f t="shared" ref="V37:V43" si="6">P37+Q37+R37+S37+T37+U37</f>
        <v>14</v>
      </c>
      <c r="W37" s="46"/>
      <c r="X37" s="20"/>
      <c r="Y37" s="20"/>
      <c r="Z37" s="20"/>
      <c r="AA37" s="20"/>
      <c r="AB37" s="46">
        <v>0</v>
      </c>
      <c r="AC37" s="49"/>
      <c r="AD37" s="46"/>
      <c r="AE37" s="20"/>
      <c r="AF37" s="20"/>
      <c r="AG37" s="20"/>
      <c r="AH37" s="20"/>
      <c r="AI37" s="46">
        <v>50</v>
      </c>
      <c r="AJ37" s="49"/>
      <c r="AK37" s="46"/>
      <c r="AL37" s="20"/>
      <c r="AM37" s="20"/>
      <c r="AN37" s="20"/>
      <c r="AO37" s="20">
        <v>12</v>
      </c>
      <c r="AP37" s="46">
        <v>20</v>
      </c>
      <c r="AQ37" s="49"/>
      <c r="AR37" s="20"/>
      <c r="AS37" s="20"/>
      <c r="AT37" s="20"/>
      <c r="AU37" s="20"/>
      <c r="AV37" s="20"/>
      <c r="AW37" s="20"/>
      <c r="AX37" s="20">
        <v>64</v>
      </c>
      <c r="AY37" s="49"/>
      <c r="AZ37" s="20">
        <v>100</v>
      </c>
      <c r="BA37" s="20"/>
      <c r="BB37" s="20"/>
      <c r="BC37" s="20"/>
      <c r="BD37" s="20"/>
      <c r="BE37" s="20"/>
      <c r="BF37" s="20">
        <v>18</v>
      </c>
      <c r="BG37" s="49"/>
      <c r="BH37" s="51">
        <v>30</v>
      </c>
      <c r="BI37" s="52"/>
      <c r="BJ37" s="20"/>
      <c r="BK37" s="20"/>
      <c r="BL37" s="20"/>
      <c r="BM37" s="20">
        <v>13</v>
      </c>
      <c r="BN37" s="20">
        <v>25</v>
      </c>
      <c r="BO37" s="49">
        <v>38</v>
      </c>
      <c r="BP37" s="51">
        <v>58</v>
      </c>
      <c r="BQ37" s="46">
        <v>0</v>
      </c>
      <c r="BR37" s="20"/>
      <c r="BS37" s="20"/>
      <c r="BT37" s="20"/>
      <c r="BU37" s="20"/>
      <c r="BV37" s="47"/>
      <c r="BW37" s="48"/>
      <c r="BX37" s="46"/>
      <c r="BY37" s="20"/>
      <c r="BZ37" s="20"/>
      <c r="CA37" s="20"/>
      <c r="CB37" s="20"/>
      <c r="CC37" s="47"/>
      <c r="CD37" s="49">
        <f t="shared" ref="CD37:CD43" si="7">BX37+BY37+BZ37+CA37+CB37+CC37</f>
        <v>0</v>
      </c>
      <c r="CE37" s="46"/>
      <c r="CF37" s="20"/>
      <c r="CG37" s="20"/>
      <c r="CH37" s="20">
        <v>14</v>
      </c>
      <c r="CI37" s="20"/>
      <c r="CJ37" s="47"/>
      <c r="CK37" s="49">
        <f t="shared" ref="CK37:CK43" si="8">CE37+CF37+CG37+CH37+CI37+CJ37</f>
        <v>14</v>
      </c>
      <c r="CL37" s="46"/>
      <c r="CM37" s="20"/>
      <c r="CN37" s="20"/>
      <c r="CO37" s="20"/>
      <c r="CP37" s="20"/>
      <c r="CQ37" s="46">
        <v>0</v>
      </c>
      <c r="CR37" s="49"/>
      <c r="CS37" s="46"/>
      <c r="CT37" s="20"/>
      <c r="CU37" s="20"/>
      <c r="CV37" s="20"/>
      <c r="CW37" s="20"/>
      <c r="CX37" s="46">
        <v>50</v>
      </c>
      <c r="CY37" s="49"/>
      <c r="CZ37" s="46"/>
      <c r="DA37" s="20"/>
      <c r="DB37" s="20"/>
      <c r="DC37" s="20"/>
      <c r="DD37" s="20">
        <v>12</v>
      </c>
      <c r="DE37" s="46">
        <v>20</v>
      </c>
      <c r="DF37" s="49"/>
      <c r="DG37" s="20"/>
      <c r="DH37" s="20"/>
      <c r="DI37" s="20"/>
      <c r="DJ37" s="20"/>
      <c r="DK37" s="20"/>
      <c r="DL37" s="20"/>
      <c r="DM37" s="20">
        <v>64</v>
      </c>
      <c r="DN37" s="49"/>
      <c r="DO37" s="20">
        <v>100</v>
      </c>
      <c r="DP37" s="20"/>
      <c r="DQ37" s="20"/>
      <c r="DR37" s="20"/>
      <c r="DS37" s="20"/>
      <c r="DT37" s="20"/>
      <c r="DU37" s="20">
        <v>18</v>
      </c>
      <c r="DV37" s="49"/>
      <c r="DW37" s="52"/>
      <c r="DX37" s="20"/>
      <c r="DY37" s="20"/>
      <c r="DZ37" s="20"/>
      <c r="EA37" s="20"/>
      <c r="EB37" s="20">
        <v>60</v>
      </c>
      <c r="EC37" s="70">
        <v>60</v>
      </c>
      <c r="ED37" s="51">
        <v>50</v>
      </c>
      <c r="EE37" s="52"/>
      <c r="EF37" s="20"/>
      <c r="EG37" s="20"/>
      <c r="EH37" s="20"/>
      <c r="EI37" s="20">
        <v>25</v>
      </c>
      <c r="EJ37" s="20"/>
      <c r="EK37" s="70"/>
      <c r="EL37" s="51"/>
      <c r="EM37" s="52"/>
      <c r="EN37" s="20"/>
      <c r="EO37" s="20"/>
      <c r="EP37" s="20"/>
      <c r="EQ37" s="20">
        <v>14</v>
      </c>
      <c r="ER37" s="20">
        <v>115</v>
      </c>
      <c r="ES37" s="70">
        <v>129</v>
      </c>
      <c r="ET37" s="57">
        <v>100</v>
      </c>
      <c r="EU37" s="52"/>
      <c r="EV37" s="20"/>
      <c r="EW37" s="20"/>
      <c r="EX37" s="20"/>
      <c r="EY37" s="20">
        <v>30</v>
      </c>
      <c r="EZ37" s="20">
        <v>100</v>
      </c>
      <c r="FA37" s="70">
        <v>130</v>
      </c>
      <c r="FB37" s="57">
        <v>120</v>
      </c>
      <c r="FC37" s="52"/>
      <c r="FD37" s="20"/>
      <c r="FE37" s="20"/>
      <c r="FF37" s="20"/>
      <c r="FG37" s="20">
        <v>59</v>
      </c>
      <c r="FH37" s="20">
        <v>70</v>
      </c>
      <c r="FI37" s="70">
        <v>129</v>
      </c>
      <c r="FJ37" s="57">
        <v>120</v>
      </c>
      <c r="FK37" s="52"/>
      <c r="FL37" s="20"/>
      <c r="FM37" s="20"/>
      <c r="FN37" s="20"/>
      <c r="FO37" s="20">
        <v>65</v>
      </c>
      <c r="FP37" s="20">
        <v>100</v>
      </c>
      <c r="FQ37" s="70">
        <v>165</v>
      </c>
      <c r="FR37" s="57">
        <v>180</v>
      </c>
      <c r="FS37" s="52"/>
      <c r="FT37" s="20"/>
      <c r="FU37" s="20"/>
      <c r="FV37" s="20"/>
      <c r="FW37" s="20">
        <v>118</v>
      </c>
      <c r="FX37" s="20">
        <v>75</v>
      </c>
      <c r="FY37" s="70">
        <v>193</v>
      </c>
      <c r="FZ37" s="57">
        <v>200</v>
      </c>
      <c r="GA37" s="20"/>
      <c r="GB37" s="20"/>
      <c r="GC37" s="20"/>
      <c r="GD37" s="20"/>
      <c r="GE37" s="20">
        <v>54</v>
      </c>
      <c r="GF37" s="20">
        <v>29</v>
      </c>
      <c r="GG37" s="20">
        <v>83</v>
      </c>
      <c r="GH37" s="20">
        <v>80</v>
      </c>
      <c r="GI37" s="20"/>
      <c r="GJ37" s="20"/>
      <c r="GK37" s="20"/>
      <c r="GL37" s="20"/>
      <c r="GM37" s="20">
        <v>55</v>
      </c>
      <c r="GN37" s="20">
        <v>73</v>
      </c>
      <c r="GO37" s="20">
        <v>128</v>
      </c>
      <c r="GP37" s="20">
        <v>150</v>
      </c>
      <c r="GQ37" s="20"/>
      <c r="GR37" s="20"/>
      <c r="GS37" s="20"/>
      <c r="GT37" s="20"/>
      <c r="GU37" s="20">
        <v>100</v>
      </c>
      <c r="GV37" s="56">
        <v>45</v>
      </c>
      <c r="GW37" s="57">
        <v>145</v>
      </c>
      <c r="GX37" s="57">
        <v>150</v>
      </c>
      <c r="GY37" s="20"/>
      <c r="GZ37" s="20"/>
      <c r="HA37" s="20"/>
      <c r="HB37" s="20"/>
      <c r="HC37" s="20">
        <v>100</v>
      </c>
      <c r="HD37" s="56">
        <v>35</v>
      </c>
      <c r="HE37" s="57">
        <v>135</v>
      </c>
      <c r="HF37" s="57">
        <v>140</v>
      </c>
      <c r="HG37" s="20"/>
      <c r="HH37" s="20"/>
      <c r="HI37" s="20"/>
      <c r="HJ37" s="20"/>
      <c r="HK37" s="20">
        <v>43</v>
      </c>
      <c r="HL37" s="20">
        <v>60</v>
      </c>
      <c r="HM37" s="20">
        <v>103</v>
      </c>
      <c r="HN37" s="20">
        <v>60</v>
      </c>
      <c r="HO37" s="20"/>
      <c r="HP37" s="20"/>
      <c r="HQ37" s="20"/>
      <c r="HR37" s="20"/>
      <c r="HS37" s="20">
        <v>47</v>
      </c>
      <c r="HT37" s="20">
        <v>30</v>
      </c>
      <c r="HU37" s="20">
        <v>77</v>
      </c>
      <c r="HV37" s="20">
        <v>80</v>
      </c>
      <c r="HW37" s="20"/>
      <c r="HX37" s="20"/>
      <c r="HY37" s="20"/>
      <c r="HZ37" s="20"/>
      <c r="IA37" s="20">
        <v>38</v>
      </c>
      <c r="IB37" s="20">
        <v>170</v>
      </c>
      <c r="IC37" s="20">
        <v>208</v>
      </c>
      <c r="ID37" s="20">
        <v>110</v>
      </c>
      <c r="IE37" s="20"/>
      <c r="IF37" s="20"/>
      <c r="IG37" s="20"/>
      <c r="IH37" s="20"/>
      <c r="II37" s="20">
        <v>75</v>
      </c>
      <c r="IJ37" s="20">
        <v>56</v>
      </c>
      <c r="IK37" s="20">
        <v>131</v>
      </c>
      <c r="IL37" s="20">
        <v>140</v>
      </c>
      <c r="IM37" s="20"/>
      <c r="IN37" s="20"/>
      <c r="IO37" s="20"/>
      <c r="IP37" s="20"/>
      <c r="IQ37" s="20">
        <v>46</v>
      </c>
      <c r="IR37" s="20">
        <v>40</v>
      </c>
      <c r="IS37" s="20">
        <v>86</v>
      </c>
      <c r="IT37" s="20">
        <v>125</v>
      </c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>
        <v>30</v>
      </c>
      <c r="KD37" s="20">
        <v>100</v>
      </c>
      <c r="KE37" s="20">
        <v>130</v>
      </c>
      <c r="KF37" s="20">
        <v>150</v>
      </c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>
        <v>65</v>
      </c>
      <c r="LP37" s="20">
        <v>50</v>
      </c>
      <c r="LQ37" s="136">
        <v>262</v>
      </c>
      <c r="LR37" s="136">
        <v>276</v>
      </c>
      <c r="LS37" s="136">
        <v>210</v>
      </c>
      <c r="LT37" s="136">
        <v>506</v>
      </c>
      <c r="LU37" s="136">
        <v>285</v>
      </c>
      <c r="LV37" s="136">
        <v>310</v>
      </c>
      <c r="LW37" s="136">
        <v>330</v>
      </c>
      <c r="LX37" s="136">
        <v>460</v>
      </c>
      <c r="LY37" s="136">
        <v>401</v>
      </c>
      <c r="LZ37" s="136">
        <v>439</v>
      </c>
      <c r="MA37" s="136">
        <v>313</v>
      </c>
      <c r="MB37" s="136">
        <v>490</v>
      </c>
      <c r="MC37" s="137">
        <v>318</v>
      </c>
      <c r="MD37" s="137">
        <v>300</v>
      </c>
      <c r="ME37" s="136">
        <v>400</v>
      </c>
      <c r="MF37" s="137">
        <v>310</v>
      </c>
      <c r="MG37" s="137">
        <v>214</v>
      </c>
      <c r="MH37" s="137">
        <v>187</v>
      </c>
      <c r="MI37" s="137">
        <v>190</v>
      </c>
      <c r="MJ37" s="137">
        <v>204</v>
      </c>
      <c r="MK37" s="137">
        <v>230</v>
      </c>
      <c r="ML37" s="137">
        <v>131</v>
      </c>
      <c r="MM37" s="137">
        <v>118</v>
      </c>
      <c r="MN37" s="137">
        <v>30</v>
      </c>
      <c r="MO37" s="137">
        <v>62</v>
      </c>
      <c r="MP37" s="137">
        <v>108</v>
      </c>
      <c r="MQ37" s="151">
        <v>68</v>
      </c>
      <c r="MR37" s="137">
        <v>151</v>
      </c>
      <c r="MS37" s="1">
        <v>24</v>
      </c>
      <c r="MT37" s="137">
        <v>71</v>
      </c>
      <c r="MU37" s="138">
        <v>14</v>
      </c>
      <c r="MV37" s="139">
        <f>SUM(LQ37:MU37)</f>
        <v>7412</v>
      </c>
      <c r="MW37" s="121"/>
    </row>
    <row r="38" spans="1:361" s="58" customFormat="1" ht="19.5" thickBot="1">
      <c r="A38" s="126" t="s">
        <v>204</v>
      </c>
      <c r="B38" s="46">
        <v>0</v>
      </c>
      <c r="C38" s="20"/>
      <c r="D38" s="20"/>
      <c r="E38" s="20"/>
      <c r="F38" s="20"/>
      <c r="G38" s="47">
        <v>30</v>
      </c>
      <c r="H38" s="48"/>
      <c r="I38" s="46"/>
      <c r="J38" s="20"/>
      <c r="K38" s="20"/>
      <c r="L38" s="20"/>
      <c r="M38" s="20"/>
      <c r="N38" s="47">
        <v>57</v>
      </c>
      <c r="O38" s="49">
        <f t="shared" si="5"/>
        <v>57</v>
      </c>
      <c r="P38" s="46"/>
      <c r="Q38" s="20"/>
      <c r="R38" s="20"/>
      <c r="S38" s="20"/>
      <c r="T38" s="20"/>
      <c r="U38" s="47">
        <v>50</v>
      </c>
      <c r="V38" s="49">
        <f t="shared" si="6"/>
        <v>50</v>
      </c>
      <c r="W38" s="46"/>
      <c r="X38" s="20"/>
      <c r="Y38" s="20"/>
      <c r="Z38" s="20"/>
      <c r="AA38" s="20"/>
      <c r="AB38" s="46">
        <v>75</v>
      </c>
      <c r="AC38" s="49"/>
      <c r="AD38" s="46"/>
      <c r="AE38" s="20"/>
      <c r="AF38" s="20"/>
      <c r="AG38" s="20"/>
      <c r="AH38" s="20"/>
      <c r="AI38" s="46">
        <v>60</v>
      </c>
      <c r="AJ38" s="49"/>
      <c r="AK38" s="46"/>
      <c r="AL38" s="20"/>
      <c r="AM38" s="20"/>
      <c r="AN38" s="20"/>
      <c r="AO38" s="20"/>
      <c r="AP38" s="46">
        <v>34</v>
      </c>
      <c r="AQ38" s="49"/>
      <c r="AR38" s="20"/>
      <c r="AS38" s="20"/>
      <c r="AT38" s="20"/>
      <c r="AU38" s="20"/>
      <c r="AV38" s="20"/>
      <c r="AW38" s="20"/>
      <c r="AX38" s="20">
        <v>27</v>
      </c>
      <c r="AY38" s="49"/>
      <c r="AZ38" s="20">
        <v>30</v>
      </c>
      <c r="BA38" s="20"/>
      <c r="BB38" s="20"/>
      <c r="BC38" s="20"/>
      <c r="BD38" s="20"/>
      <c r="BE38" s="20"/>
      <c r="BF38" s="20">
        <v>38</v>
      </c>
      <c r="BG38" s="49"/>
      <c r="BH38" s="51">
        <v>50</v>
      </c>
      <c r="BI38" s="52"/>
      <c r="BJ38" s="20"/>
      <c r="BK38" s="20"/>
      <c r="BL38" s="20"/>
      <c r="BM38" s="20"/>
      <c r="BN38" s="20">
        <v>27</v>
      </c>
      <c r="BO38" s="49">
        <v>27</v>
      </c>
      <c r="BP38" s="51">
        <v>30</v>
      </c>
      <c r="BQ38" s="46">
        <v>0</v>
      </c>
      <c r="BR38" s="20"/>
      <c r="BS38" s="20"/>
      <c r="BT38" s="20"/>
      <c r="BU38" s="20"/>
      <c r="BV38" s="47">
        <v>30</v>
      </c>
      <c r="BW38" s="48"/>
      <c r="BX38" s="46"/>
      <c r="BY38" s="20"/>
      <c r="BZ38" s="20"/>
      <c r="CA38" s="20"/>
      <c r="CB38" s="20"/>
      <c r="CC38" s="47">
        <v>57</v>
      </c>
      <c r="CD38" s="49">
        <f t="shared" si="7"/>
        <v>57</v>
      </c>
      <c r="CE38" s="46"/>
      <c r="CF38" s="20"/>
      <c r="CG38" s="20"/>
      <c r="CH38" s="20"/>
      <c r="CI38" s="20"/>
      <c r="CJ38" s="47">
        <v>50</v>
      </c>
      <c r="CK38" s="49">
        <f t="shared" si="8"/>
        <v>50</v>
      </c>
      <c r="CL38" s="46"/>
      <c r="CM38" s="20"/>
      <c r="CN38" s="20"/>
      <c r="CO38" s="20"/>
      <c r="CP38" s="20"/>
      <c r="CQ38" s="46">
        <v>75</v>
      </c>
      <c r="CR38" s="49"/>
      <c r="CS38" s="46"/>
      <c r="CT38" s="20"/>
      <c r="CU38" s="20"/>
      <c r="CV38" s="20"/>
      <c r="CW38" s="20"/>
      <c r="CX38" s="46">
        <v>60</v>
      </c>
      <c r="CY38" s="49"/>
      <c r="CZ38" s="46"/>
      <c r="DA38" s="20"/>
      <c r="DB38" s="20"/>
      <c r="DC38" s="20"/>
      <c r="DD38" s="20"/>
      <c r="DE38" s="46">
        <v>34</v>
      </c>
      <c r="DF38" s="49"/>
      <c r="DG38" s="20"/>
      <c r="DH38" s="20"/>
      <c r="DI38" s="20"/>
      <c r="DJ38" s="20"/>
      <c r="DK38" s="20"/>
      <c r="DL38" s="20"/>
      <c r="DM38" s="20">
        <v>27</v>
      </c>
      <c r="DN38" s="49"/>
      <c r="DO38" s="20">
        <v>30</v>
      </c>
      <c r="DP38" s="20"/>
      <c r="DQ38" s="20"/>
      <c r="DR38" s="20"/>
      <c r="DS38" s="20"/>
      <c r="DT38" s="20"/>
      <c r="DU38" s="20">
        <v>38</v>
      </c>
      <c r="DV38" s="49"/>
      <c r="DW38" s="52"/>
      <c r="DX38" s="20"/>
      <c r="DY38" s="20"/>
      <c r="DZ38" s="20"/>
      <c r="EA38" s="20"/>
      <c r="EB38" s="20">
        <v>43</v>
      </c>
      <c r="EC38" s="70">
        <v>43</v>
      </c>
      <c r="ED38" s="51">
        <v>30</v>
      </c>
      <c r="EE38" s="52"/>
      <c r="EF38" s="20"/>
      <c r="EG38" s="20"/>
      <c r="EH38" s="20"/>
      <c r="EI38" s="20"/>
      <c r="EJ38" s="20"/>
      <c r="EK38" s="70"/>
      <c r="EL38" s="51"/>
      <c r="EM38" s="52"/>
      <c r="EN38" s="20"/>
      <c r="EO38" s="20"/>
      <c r="EP38" s="20"/>
      <c r="EQ38" s="20"/>
      <c r="ER38" s="20">
        <v>18</v>
      </c>
      <c r="ES38" s="70">
        <v>18</v>
      </c>
      <c r="ET38" s="57">
        <v>30</v>
      </c>
      <c r="EU38" s="52"/>
      <c r="EV38" s="20"/>
      <c r="EW38" s="20"/>
      <c r="EX38" s="20"/>
      <c r="EY38" s="20"/>
      <c r="EZ38" s="20">
        <v>24</v>
      </c>
      <c r="FA38" s="70">
        <v>24</v>
      </c>
      <c r="FB38" s="57">
        <v>30</v>
      </c>
      <c r="FC38" s="52"/>
      <c r="FD38" s="20"/>
      <c r="FE38" s="20"/>
      <c r="FF38" s="20"/>
      <c r="FG38" s="20"/>
      <c r="FH38" s="20">
        <v>15</v>
      </c>
      <c r="FI38" s="70">
        <v>15</v>
      </c>
      <c r="FJ38" s="57">
        <v>20</v>
      </c>
      <c r="FK38" s="52"/>
      <c r="FL38" s="20"/>
      <c r="FM38" s="20"/>
      <c r="FN38" s="20"/>
      <c r="FO38" s="20"/>
      <c r="FP38" s="20">
        <v>15</v>
      </c>
      <c r="FQ38" s="70">
        <v>15</v>
      </c>
      <c r="FR38" s="57">
        <v>10</v>
      </c>
      <c r="FS38" s="52"/>
      <c r="FT38" s="20"/>
      <c r="FU38" s="20"/>
      <c r="FV38" s="20"/>
      <c r="FW38" s="20"/>
      <c r="FX38" s="20">
        <v>33</v>
      </c>
      <c r="FY38" s="70">
        <v>33</v>
      </c>
      <c r="FZ38" s="57">
        <v>30</v>
      </c>
      <c r="GA38" s="20"/>
      <c r="GB38" s="20"/>
      <c r="GC38" s="20"/>
      <c r="GD38" s="20"/>
      <c r="GE38" s="20"/>
      <c r="GF38" s="20">
        <v>38</v>
      </c>
      <c r="GG38" s="20">
        <v>38</v>
      </c>
      <c r="GH38" s="20">
        <v>20</v>
      </c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>
        <v>15</v>
      </c>
      <c r="GV38" s="56">
        <v>15</v>
      </c>
      <c r="GW38" s="57">
        <v>30</v>
      </c>
      <c r="GX38" s="57">
        <v>35</v>
      </c>
      <c r="GY38" s="20"/>
      <c r="GZ38" s="20"/>
      <c r="HA38" s="20"/>
      <c r="HB38" s="20"/>
      <c r="HC38" s="20"/>
      <c r="HD38" s="56">
        <v>40</v>
      </c>
      <c r="HE38" s="57">
        <v>40</v>
      </c>
      <c r="HF38" s="57">
        <v>20</v>
      </c>
      <c r="HG38" s="20"/>
      <c r="HH38" s="20"/>
      <c r="HI38" s="20"/>
      <c r="HJ38" s="20"/>
      <c r="HK38" s="20"/>
      <c r="HL38" s="20">
        <v>8</v>
      </c>
      <c r="HM38" s="20">
        <v>8</v>
      </c>
      <c r="HN38" s="20">
        <v>10</v>
      </c>
      <c r="HO38" s="20"/>
      <c r="HP38" s="20"/>
      <c r="HQ38" s="20"/>
      <c r="HR38" s="20"/>
      <c r="HS38" s="20"/>
      <c r="HT38" s="20">
        <v>50</v>
      </c>
      <c r="HU38" s="20">
        <v>50</v>
      </c>
      <c r="HV38" s="20">
        <v>50</v>
      </c>
      <c r="HW38" s="20"/>
      <c r="HX38" s="20"/>
      <c r="HY38" s="20"/>
      <c r="HZ38" s="20"/>
      <c r="IA38" s="20"/>
      <c r="IB38" s="20">
        <v>52</v>
      </c>
      <c r="IC38" s="20">
        <v>52</v>
      </c>
      <c r="ID38" s="20">
        <v>50</v>
      </c>
      <c r="IE38" s="20"/>
      <c r="IF38" s="20"/>
      <c r="IG38" s="20"/>
      <c r="IH38" s="20"/>
      <c r="II38" s="20"/>
      <c r="IJ38" s="20">
        <v>55</v>
      </c>
      <c r="IK38" s="20">
        <v>55</v>
      </c>
      <c r="IL38" s="20">
        <v>50</v>
      </c>
      <c r="IM38" s="20"/>
      <c r="IN38" s="20"/>
      <c r="IO38" s="20"/>
      <c r="IP38" s="20"/>
      <c r="IQ38" s="20"/>
      <c r="IR38" s="20">
        <v>82</v>
      </c>
      <c r="IS38" s="20">
        <v>82</v>
      </c>
      <c r="IT38" s="20">
        <v>100</v>
      </c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>
        <v>20</v>
      </c>
      <c r="KE38" s="20">
        <v>20</v>
      </c>
      <c r="KF38" s="20">
        <v>25</v>
      </c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136">
        <v>100</v>
      </c>
      <c r="LR38" s="136">
        <v>72</v>
      </c>
      <c r="LS38" s="136">
        <v>216</v>
      </c>
      <c r="LT38" s="136">
        <v>253</v>
      </c>
      <c r="LU38" s="136">
        <v>170</v>
      </c>
      <c r="LV38" s="136">
        <v>210</v>
      </c>
      <c r="LW38" s="136">
        <v>190</v>
      </c>
      <c r="LX38" s="136">
        <v>345</v>
      </c>
      <c r="LY38" s="136">
        <v>330</v>
      </c>
      <c r="LZ38" s="136">
        <v>340</v>
      </c>
      <c r="MA38" s="136">
        <v>400</v>
      </c>
      <c r="MB38" s="136">
        <v>395</v>
      </c>
      <c r="MC38" s="137">
        <v>300</v>
      </c>
      <c r="MD38" s="137">
        <v>335</v>
      </c>
      <c r="ME38" s="136">
        <v>350</v>
      </c>
      <c r="MF38" s="137">
        <v>550</v>
      </c>
      <c r="MG38" s="137">
        <v>636</v>
      </c>
      <c r="MH38" s="137">
        <v>618</v>
      </c>
      <c r="MI38" s="137">
        <v>685</v>
      </c>
      <c r="MJ38" s="137">
        <v>444</v>
      </c>
      <c r="MK38" s="137">
        <v>660</v>
      </c>
      <c r="ML38" s="137">
        <v>560</v>
      </c>
      <c r="MM38" s="137">
        <v>488</v>
      </c>
      <c r="MN38" s="137">
        <v>230</v>
      </c>
      <c r="MO38" s="137">
        <v>483</v>
      </c>
      <c r="MP38" s="137">
        <v>620</v>
      </c>
      <c r="MQ38" s="1">
        <v>595</v>
      </c>
      <c r="MR38" s="137">
        <v>563</v>
      </c>
      <c r="MS38" s="1">
        <v>617</v>
      </c>
      <c r="MT38" s="137">
        <v>425</v>
      </c>
      <c r="MU38" s="138">
        <v>455</v>
      </c>
      <c r="MV38" s="139">
        <f t="shared" ref="MV38:MV74" si="9">SUM(LQ38:MU38)</f>
        <v>12635</v>
      </c>
      <c r="MW38" s="121"/>
    </row>
    <row r="39" spans="1:361" s="58" customFormat="1" ht="19.5" thickBot="1">
      <c r="A39" s="126" t="s">
        <v>205</v>
      </c>
      <c r="B39" s="46"/>
      <c r="C39" s="20"/>
      <c r="D39" s="20"/>
      <c r="E39" s="20"/>
      <c r="F39" s="20">
        <v>16</v>
      </c>
      <c r="G39" s="47">
        <v>220</v>
      </c>
      <c r="H39" s="48"/>
      <c r="I39" s="46"/>
      <c r="J39" s="20"/>
      <c r="K39" s="20"/>
      <c r="L39" s="20"/>
      <c r="M39" s="20">
        <v>55</v>
      </c>
      <c r="N39" s="47">
        <v>150</v>
      </c>
      <c r="O39" s="49">
        <f t="shared" si="5"/>
        <v>205</v>
      </c>
      <c r="P39" s="46"/>
      <c r="Q39" s="20"/>
      <c r="R39" s="20"/>
      <c r="S39" s="20"/>
      <c r="T39" s="20"/>
      <c r="U39" s="47">
        <v>187</v>
      </c>
      <c r="V39" s="49">
        <f t="shared" si="6"/>
        <v>187</v>
      </c>
      <c r="W39" s="46"/>
      <c r="X39" s="20"/>
      <c r="Y39" s="20"/>
      <c r="Z39" s="20"/>
      <c r="AA39" s="20"/>
      <c r="AB39" s="46">
        <v>249</v>
      </c>
      <c r="AC39" s="49"/>
      <c r="AD39" s="46"/>
      <c r="AE39" s="20"/>
      <c r="AF39" s="20"/>
      <c r="AG39" s="20"/>
      <c r="AH39" s="20"/>
      <c r="AI39" s="46">
        <v>104</v>
      </c>
      <c r="AJ39" s="49"/>
      <c r="AK39" s="46"/>
      <c r="AL39" s="20"/>
      <c r="AM39" s="20"/>
      <c r="AN39" s="20"/>
      <c r="AO39" s="20"/>
      <c r="AP39" s="46">
        <v>100</v>
      </c>
      <c r="AQ39" s="49"/>
      <c r="AR39" s="20"/>
      <c r="AS39" s="20"/>
      <c r="AT39" s="20"/>
      <c r="AU39" s="20"/>
      <c r="AV39" s="20"/>
      <c r="AW39" s="20">
        <v>30</v>
      </c>
      <c r="AX39" s="20">
        <v>121</v>
      </c>
      <c r="AY39" s="49"/>
      <c r="AZ39" s="20">
        <v>170</v>
      </c>
      <c r="BA39" s="20"/>
      <c r="BB39" s="20"/>
      <c r="BC39" s="20"/>
      <c r="BD39" s="20"/>
      <c r="BE39" s="20"/>
      <c r="BF39" s="20">
        <v>100</v>
      </c>
      <c r="BG39" s="49"/>
      <c r="BH39" s="51">
        <v>150</v>
      </c>
      <c r="BI39" s="52"/>
      <c r="BJ39" s="20"/>
      <c r="BK39" s="20"/>
      <c r="BL39" s="20">
        <v>18</v>
      </c>
      <c r="BM39" s="20"/>
      <c r="BN39" s="20">
        <v>130</v>
      </c>
      <c r="BO39" s="49">
        <v>148</v>
      </c>
      <c r="BP39" s="51">
        <v>165</v>
      </c>
      <c r="BQ39" s="46"/>
      <c r="BR39" s="20"/>
      <c r="BS39" s="20"/>
      <c r="BT39" s="20"/>
      <c r="BU39" s="20">
        <v>16</v>
      </c>
      <c r="BV39" s="47">
        <v>220</v>
      </c>
      <c r="BW39" s="48"/>
      <c r="BX39" s="46"/>
      <c r="BY39" s="20"/>
      <c r="BZ39" s="20"/>
      <c r="CA39" s="20"/>
      <c r="CB39" s="20">
        <v>55</v>
      </c>
      <c r="CC39" s="47">
        <v>150</v>
      </c>
      <c r="CD39" s="49">
        <f t="shared" si="7"/>
        <v>205</v>
      </c>
      <c r="CE39" s="46"/>
      <c r="CF39" s="20"/>
      <c r="CG39" s="20"/>
      <c r="CH39" s="20"/>
      <c r="CI39" s="20"/>
      <c r="CJ39" s="47">
        <v>187</v>
      </c>
      <c r="CK39" s="49">
        <f t="shared" si="8"/>
        <v>187</v>
      </c>
      <c r="CL39" s="46"/>
      <c r="CM39" s="20"/>
      <c r="CN39" s="20"/>
      <c r="CO39" s="20"/>
      <c r="CP39" s="20"/>
      <c r="CQ39" s="46">
        <v>249</v>
      </c>
      <c r="CR39" s="49"/>
      <c r="CS39" s="46"/>
      <c r="CT39" s="20"/>
      <c r="CU39" s="20"/>
      <c r="CV39" s="20"/>
      <c r="CW39" s="20"/>
      <c r="CX39" s="46">
        <v>104</v>
      </c>
      <c r="CY39" s="49"/>
      <c r="CZ39" s="46"/>
      <c r="DA39" s="20"/>
      <c r="DB39" s="20"/>
      <c r="DC39" s="20"/>
      <c r="DD39" s="20"/>
      <c r="DE39" s="46">
        <v>100</v>
      </c>
      <c r="DF39" s="49"/>
      <c r="DG39" s="20"/>
      <c r="DH39" s="20"/>
      <c r="DI39" s="20"/>
      <c r="DJ39" s="20"/>
      <c r="DK39" s="20"/>
      <c r="DL39" s="20">
        <v>30</v>
      </c>
      <c r="DM39" s="20">
        <v>121</v>
      </c>
      <c r="DN39" s="49"/>
      <c r="DO39" s="20">
        <v>170</v>
      </c>
      <c r="DP39" s="20"/>
      <c r="DQ39" s="20"/>
      <c r="DR39" s="20"/>
      <c r="DS39" s="20"/>
      <c r="DT39" s="20"/>
      <c r="DU39" s="20">
        <v>100</v>
      </c>
      <c r="DV39" s="49"/>
      <c r="DW39" s="52"/>
      <c r="DX39" s="20"/>
      <c r="DY39" s="20"/>
      <c r="DZ39" s="20"/>
      <c r="EA39" s="20">
        <v>32</v>
      </c>
      <c r="EB39" s="20">
        <v>143</v>
      </c>
      <c r="EC39" s="70">
        <v>175</v>
      </c>
      <c r="ED39" s="51">
        <v>120</v>
      </c>
      <c r="EE39" s="52"/>
      <c r="EF39" s="20"/>
      <c r="EG39" s="20"/>
      <c r="EH39" s="20"/>
      <c r="EI39" s="20">
        <v>20</v>
      </c>
      <c r="EJ39" s="20">
        <v>50</v>
      </c>
      <c r="EK39" s="70"/>
      <c r="EL39" s="51"/>
      <c r="EM39" s="52"/>
      <c r="EN39" s="20"/>
      <c r="EO39" s="20"/>
      <c r="EP39" s="20"/>
      <c r="EQ39" s="20">
        <v>37</v>
      </c>
      <c r="ER39" s="20">
        <v>204</v>
      </c>
      <c r="ES39" s="70">
        <v>241</v>
      </c>
      <c r="ET39" s="57">
        <v>180</v>
      </c>
      <c r="EU39" s="52"/>
      <c r="EV39" s="20"/>
      <c r="EW39" s="20"/>
      <c r="EX39" s="20"/>
      <c r="EY39" s="20">
        <v>22</v>
      </c>
      <c r="EZ39" s="20">
        <v>57</v>
      </c>
      <c r="FA39" s="70">
        <v>77</v>
      </c>
      <c r="FB39" s="57">
        <v>100</v>
      </c>
      <c r="FC39" s="52"/>
      <c r="FD39" s="20"/>
      <c r="FE39" s="20"/>
      <c r="FF39" s="20"/>
      <c r="FG39" s="20">
        <v>30</v>
      </c>
      <c r="FH39" s="20">
        <v>164</v>
      </c>
      <c r="FI39" s="70">
        <v>194</v>
      </c>
      <c r="FJ39" s="57">
        <v>150</v>
      </c>
      <c r="FK39" s="52"/>
      <c r="FL39" s="20"/>
      <c r="FM39" s="20"/>
      <c r="FN39" s="20"/>
      <c r="FO39" s="20">
        <v>30</v>
      </c>
      <c r="FP39" s="20">
        <v>137</v>
      </c>
      <c r="FQ39" s="70">
        <v>167</v>
      </c>
      <c r="FR39" s="57">
        <v>170</v>
      </c>
      <c r="FS39" s="52"/>
      <c r="FT39" s="20"/>
      <c r="FU39" s="20"/>
      <c r="FV39" s="20"/>
      <c r="FW39" s="20">
        <v>30</v>
      </c>
      <c r="FX39" s="20">
        <v>171</v>
      </c>
      <c r="FY39" s="70">
        <v>201</v>
      </c>
      <c r="FZ39" s="57">
        <v>180</v>
      </c>
      <c r="GA39" s="20"/>
      <c r="GB39" s="20"/>
      <c r="GC39" s="20"/>
      <c r="GD39" s="20"/>
      <c r="GE39" s="20">
        <v>30</v>
      </c>
      <c r="GF39" s="20">
        <v>135</v>
      </c>
      <c r="GG39" s="20">
        <v>165</v>
      </c>
      <c r="GH39" s="20">
        <v>180</v>
      </c>
      <c r="GI39" s="20"/>
      <c r="GJ39" s="20"/>
      <c r="GK39" s="20"/>
      <c r="GL39" s="20"/>
      <c r="GM39" s="20">
        <v>60</v>
      </c>
      <c r="GN39" s="20">
        <v>257</v>
      </c>
      <c r="GO39" s="20">
        <v>317</v>
      </c>
      <c r="GP39" s="20">
        <v>250</v>
      </c>
      <c r="GQ39" s="20"/>
      <c r="GR39" s="20"/>
      <c r="GS39" s="20"/>
      <c r="GT39" s="20"/>
      <c r="GU39" s="20">
        <v>30</v>
      </c>
      <c r="GV39" s="56">
        <v>190</v>
      </c>
      <c r="GW39" s="57">
        <v>220</v>
      </c>
      <c r="GX39" s="57">
        <v>230</v>
      </c>
      <c r="GY39" s="20"/>
      <c r="GZ39" s="20"/>
      <c r="HA39" s="20"/>
      <c r="HB39" s="20"/>
      <c r="HC39" s="20">
        <v>28</v>
      </c>
      <c r="HD39" s="56">
        <v>150</v>
      </c>
      <c r="HE39" s="57">
        <v>178</v>
      </c>
      <c r="HF39" s="57">
        <v>180</v>
      </c>
      <c r="HG39" s="20"/>
      <c r="HH39" s="20"/>
      <c r="HI39" s="20"/>
      <c r="HJ39" s="20"/>
      <c r="HK39" s="20">
        <v>27</v>
      </c>
      <c r="HL39" s="20">
        <v>134</v>
      </c>
      <c r="HM39" s="20">
        <v>161</v>
      </c>
      <c r="HN39" s="20">
        <v>170</v>
      </c>
      <c r="HO39" s="20"/>
      <c r="HP39" s="20"/>
      <c r="HQ39" s="20"/>
      <c r="HR39" s="20"/>
      <c r="HS39" s="20">
        <v>18</v>
      </c>
      <c r="HT39" s="20">
        <v>240</v>
      </c>
      <c r="HU39" s="20">
        <v>258</v>
      </c>
      <c r="HV39" s="20">
        <v>210</v>
      </c>
      <c r="HW39" s="20"/>
      <c r="HX39" s="25"/>
      <c r="HY39" s="20"/>
      <c r="HZ39" s="20"/>
      <c r="IA39" s="20">
        <v>26</v>
      </c>
      <c r="IB39" s="20">
        <v>172</v>
      </c>
      <c r="IC39" s="20">
        <v>198</v>
      </c>
      <c r="ID39" s="20">
        <v>220</v>
      </c>
      <c r="IE39" s="20"/>
      <c r="IF39" s="25"/>
      <c r="IG39" s="20"/>
      <c r="IH39" s="20"/>
      <c r="II39" s="20">
        <v>34</v>
      </c>
      <c r="IJ39" s="20">
        <v>250</v>
      </c>
      <c r="IK39" s="20">
        <v>284</v>
      </c>
      <c r="IL39" s="20">
        <v>350</v>
      </c>
      <c r="IM39" s="20"/>
      <c r="IN39" s="20"/>
      <c r="IO39" s="20"/>
      <c r="IP39" s="20"/>
      <c r="IQ39" s="20">
        <v>21</v>
      </c>
      <c r="IR39" s="20">
        <v>270</v>
      </c>
      <c r="IS39" s="20">
        <v>291</v>
      </c>
      <c r="IT39" s="20">
        <v>220</v>
      </c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5"/>
      <c r="JM39" s="20"/>
      <c r="JN39" s="20"/>
      <c r="JO39" s="20"/>
      <c r="JP39" s="20"/>
      <c r="JQ39" s="20"/>
      <c r="JR39" s="20"/>
      <c r="JS39" s="20"/>
      <c r="JT39" s="25"/>
      <c r="JU39" s="20"/>
      <c r="JV39" s="20"/>
      <c r="JW39" s="20"/>
      <c r="JX39" s="20"/>
      <c r="JY39" s="20"/>
      <c r="JZ39" s="20"/>
      <c r="KA39" s="20"/>
      <c r="KB39" s="20"/>
      <c r="KC39" s="20">
        <v>32</v>
      </c>
      <c r="KD39" s="20">
        <v>200</v>
      </c>
      <c r="KE39" s="20">
        <v>232</v>
      </c>
      <c r="KF39" s="20">
        <v>210</v>
      </c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5"/>
      <c r="KY39" s="20"/>
      <c r="KZ39" s="20"/>
      <c r="LA39" s="20"/>
      <c r="LB39" s="20"/>
      <c r="LC39" s="20"/>
      <c r="LD39" s="20"/>
      <c r="LE39" s="20"/>
      <c r="LF39" s="25"/>
      <c r="LG39" s="20"/>
      <c r="LH39" s="20"/>
      <c r="LI39" s="20"/>
      <c r="LJ39" s="20"/>
      <c r="LK39" s="20"/>
      <c r="LL39" s="20"/>
      <c r="LM39" s="20"/>
      <c r="LN39" s="20"/>
      <c r="LO39" s="20">
        <v>40</v>
      </c>
      <c r="LP39" s="20"/>
      <c r="LQ39" s="136">
        <v>100</v>
      </c>
      <c r="LR39" s="136">
        <v>145</v>
      </c>
      <c r="LS39" s="136">
        <v>132</v>
      </c>
      <c r="LT39" s="136">
        <v>106</v>
      </c>
      <c r="LU39" s="136">
        <v>50</v>
      </c>
      <c r="LV39" s="136">
        <v>85</v>
      </c>
      <c r="LW39" s="136">
        <v>108</v>
      </c>
      <c r="LX39" s="136">
        <v>68</v>
      </c>
      <c r="LY39" s="136">
        <v>155</v>
      </c>
      <c r="LZ39" s="136">
        <v>70</v>
      </c>
      <c r="MA39" s="136">
        <v>80</v>
      </c>
      <c r="MB39" s="136">
        <v>80</v>
      </c>
      <c r="MC39" s="137">
        <v>27</v>
      </c>
      <c r="MD39" s="137">
        <v>40</v>
      </c>
      <c r="ME39" s="136">
        <v>52</v>
      </c>
      <c r="MF39" s="137">
        <v>15</v>
      </c>
      <c r="MG39" s="137">
        <v>65</v>
      </c>
      <c r="MH39" s="137">
        <v>28</v>
      </c>
      <c r="MI39" s="137">
        <v>78</v>
      </c>
      <c r="MJ39" s="137">
        <v>20</v>
      </c>
      <c r="MK39" s="137">
        <v>52</v>
      </c>
      <c r="ML39" s="137">
        <v>45</v>
      </c>
      <c r="MM39" s="137">
        <v>92</v>
      </c>
      <c r="MN39" s="137"/>
      <c r="MO39" s="137">
        <v>60</v>
      </c>
      <c r="MP39" s="137">
        <v>187</v>
      </c>
      <c r="MQ39" s="1">
        <v>105</v>
      </c>
      <c r="MR39" s="137">
        <v>47</v>
      </c>
      <c r="MS39" s="1">
        <v>173</v>
      </c>
      <c r="MT39" s="137">
        <v>150</v>
      </c>
      <c r="MU39" s="138">
        <v>124</v>
      </c>
      <c r="MV39" s="139">
        <f t="shared" si="9"/>
        <v>2539</v>
      </c>
      <c r="MW39" s="121"/>
    </row>
    <row r="40" spans="1:361" s="58" customFormat="1" ht="19.5" thickBot="1">
      <c r="A40" s="126" t="s">
        <v>206</v>
      </c>
      <c r="B40" s="46"/>
      <c r="C40" s="20"/>
      <c r="D40" s="20"/>
      <c r="E40" s="20"/>
      <c r="F40" s="20"/>
      <c r="G40" s="47"/>
      <c r="H40" s="48"/>
      <c r="I40" s="46"/>
      <c r="J40" s="20"/>
      <c r="K40" s="20"/>
      <c r="L40" s="20"/>
      <c r="M40" s="20"/>
      <c r="N40" s="47"/>
      <c r="O40" s="49">
        <f t="shared" si="5"/>
        <v>0</v>
      </c>
      <c r="P40" s="46"/>
      <c r="Q40" s="20"/>
      <c r="R40" s="20"/>
      <c r="S40" s="20"/>
      <c r="T40" s="20"/>
      <c r="U40" s="47"/>
      <c r="V40" s="49">
        <f t="shared" si="6"/>
        <v>0</v>
      </c>
      <c r="W40" s="46"/>
      <c r="X40" s="20"/>
      <c r="Y40" s="20"/>
      <c r="Z40" s="20"/>
      <c r="AA40" s="20"/>
      <c r="AB40" s="46"/>
      <c r="AC40" s="49"/>
      <c r="AD40" s="46"/>
      <c r="AE40" s="20"/>
      <c r="AF40" s="20"/>
      <c r="AG40" s="20"/>
      <c r="AH40" s="20"/>
      <c r="AI40" s="46"/>
      <c r="AJ40" s="49"/>
      <c r="AK40" s="46"/>
      <c r="AL40" s="20"/>
      <c r="AM40" s="20"/>
      <c r="AN40" s="20"/>
      <c r="AO40" s="20"/>
      <c r="AP40" s="46"/>
      <c r="AQ40" s="49"/>
      <c r="AR40" s="20"/>
      <c r="AS40" s="20"/>
      <c r="AT40" s="20"/>
      <c r="AU40" s="20"/>
      <c r="AV40" s="20"/>
      <c r="AW40" s="20"/>
      <c r="AX40" s="20">
        <v>0</v>
      </c>
      <c r="AY40" s="49"/>
      <c r="AZ40" s="20">
        <v>0</v>
      </c>
      <c r="BA40" s="20"/>
      <c r="BB40" s="20"/>
      <c r="BC40" s="20"/>
      <c r="BD40" s="20"/>
      <c r="BE40" s="20"/>
      <c r="BF40" s="20"/>
      <c r="BG40" s="49"/>
      <c r="BH40" s="51"/>
      <c r="BI40" s="52"/>
      <c r="BJ40" s="20"/>
      <c r="BK40" s="20"/>
      <c r="BL40" s="20"/>
      <c r="BM40" s="20"/>
      <c r="BN40" s="20">
        <v>0</v>
      </c>
      <c r="BO40" s="49">
        <v>0</v>
      </c>
      <c r="BP40" s="51">
        <v>0</v>
      </c>
      <c r="BQ40" s="46"/>
      <c r="BR40" s="20"/>
      <c r="BS40" s="20"/>
      <c r="BT40" s="20"/>
      <c r="BU40" s="20"/>
      <c r="BV40" s="47"/>
      <c r="BW40" s="48"/>
      <c r="BX40" s="46"/>
      <c r="BY40" s="20"/>
      <c r="BZ40" s="20"/>
      <c r="CA40" s="20"/>
      <c r="CB40" s="20"/>
      <c r="CC40" s="47"/>
      <c r="CD40" s="49">
        <f t="shared" si="7"/>
        <v>0</v>
      </c>
      <c r="CE40" s="46"/>
      <c r="CF40" s="20"/>
      <c r="CG40" s="20"/>
      <c r="CH40" s="20"/>
      <c r="CI40" s="20"/>
      <c r="CJ40" s="47"/>
      <c r="CK40" s="49">
        <f t="shared" si="8"/>
        <v>0</v>
      </c>
      <c r="CL40" s="46"/>
      <c r="CM40" s="20"/>
      <c r="CN40" s="20"/>
      <c r="CO40" s="20"/>
      <c r="CP40" s="20"/>
      <c r="CQ40" s="46"/>
      <c r="CR40" s="49"/>
      <c r="CS40" s="46"/>
      <c r="CT40" s="20"/>
      <c r="CU40" s="20"/>
      <c r="CV40" s="20"/>
      <c r="CW40" s="20"/>
      <c r="CX40" s="46"/>
      <c r="CY40" s="49"/>
      <c r="CZ40" s="46"/>
      <c r="DA40" s="20"/>
      <c r="DB40" s="20"/>
      <c r="DC40" s="20"/>
      <c r="DD40" s="20"/>
      <c r="DE40" s="46"/>
      <c r="DF40" s="49"/>
      <c r="DG40" s="20"/>
      <c r="DH40" s="20"/>
      <c r="DI40" s="20"/>
      <c r="DJ40" s="20"/>
      <c r="DK40" s="20"/>
      <c r="DL40" s="20"/>
      <c r="DM40" s="20">
        <v>0</v>
      </c>
      <c r="DN40" s="49"/>
      <c r="DO40" s="20">
        <v>0</v>
      </c>
      <c r="DP40" s="20"/>
      <c r="DQ40" s="20"/>
      <c r="DR40" s="20"/>
      <c r="DS40" s="20"/>
      <c r="DT40" s="20"/>
      <c r="DU40" s="20"/>
      <c r="DV40" s="49"/>
      <c r="DW40" s="52"/>
      <c r="DX40" s="20"/>
      <c r="DY40" s="20"/>
      <c r="DZ40" s="20"/>
      <c r="EA40" s="20"/>
      <c r="EB40" s="20"/>
      <c r="EC40" s="70"/>
      <c r="ED40" s="51"/>
      <c r="EE40" s="52"/>
      <c r="EF40" s="20"/>
      <c r="EG40" s="20"/>
      <c r="EH40" s="20"/>
      <c r="EI40" s="20"/>
      <c r="EJ40" s="20"/>
      <c r="EK40" s="70"/>
      <c r="EL40" s="51"/>
      <c r="EM40" s="52"/>
      <c r="EN40" s="20"/>
      <c r="EO40" s="20"/>
      <c r="EP40" s="20"/>
      <c r="EQ40" s="20"/>
      <c r="ER40" s="20"/>
      <c r="ES40" s="70"/>
      <c r="ET40" s="57"/>
      <c r="EU40" s="52"/>
      <c r="EV40" s="20"/>
      <c r="EW40" s="20"/>
      <c r="EX40" s="20"/>
      <c r="EY40" s="20"/>
      <c r="EZ40" s="20"/>
      <c r="FA40" s="70"/>
      <c r="FB40" s="57"/>
      <c r="FC40" s="52"/>
      <c r="FD40" s="20"/>
      <c r="FE40" s="20"/>
      <c r="FF40" s="20"/>
      <c r="FG40" s="20"/>
      <c r="FH40" s="20"/>
      <c r="FI40" s="70"/>
      <c r="FJ40" s="57"/>
      <c r="FK40" s="52"/>
      <c r="FL40" s="20"/>
      <c r="FM40" s="20"/>
      <c r="FN40" s="20"/>
      <c r="FO40" s="20"/>
      <c r="FP40" s="20"/>
      <c r="FQ40" s="70"/>
      <c r="FR40" s="57"/>
      <c r="FS40" s="52"/>
      <c r="FT40" s="20"/>
      <c r="FU40" s="20"/>
      <c r="FV40" s="20"/>
      <c r="FW40" s="20"/>
      <c r="FX40" s="20"/>
      <c r="FY40" s="70"/>
      <c r="FZ40" s="57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>
        <v>13</v>
      </c>
      <c r="GV40" s="56"/>
      <c r="GW40" s="57">
        <v>13</v>
      </c>
      <c r="GX40" s="57">
        <v>10</v>
      </c>
      <c r="GY40" s="20"/>
      <c r="GZ40" s="20"/>
      <c r="HA40" s="20"/>
      <c r="HB40" s="20"/>
      <c r="HC40" s="20">
        <v>20</v>
      </c>
      <c r="HD40" s="56"/>
      <c r="HE40" s="57">
        <v>20</v>
      </c>
      <c r="HF40" s="57">
        <v>120</v>
      </c>
      <c r="HG40" s="20"/>
      <c r="HH40" s="20"/>
      <c r="HI40" s="20"/>
      <c r="HJ40" s="20"/>
      <c r="HK40" s="20">
        <v>35</v>
      </c>
      <c r="HL40" s="20"/>
      <c r="HM40" s="20">
        <v>35</v>
      </c>
      <c r="HN40" s="20">
        <v>30</v>
      </c>
      <c r="HO40" s="20"/>
      <c r="HP40" s="20"/>
      <c r="HQ40" s="20"/>
      <c r="HR40" s="20"/>
      <c r="HS40" s="20">
        <v>22</v>
      </c>
      <c r="HT40" s="20"/>
      <c r="HU40" s="20">
        <v>22</v>
      </c>
      <c r="HV40" s="20">
        <v>20</v>
      </c>
      <c r="HW40" s="20"/>
      <c r="HX40" s="20"/>
      <c r="HY40" s="20"/>
      <c r="HZ40" s="20"/>
      <c r="IA40" s="20">
        <v>52</v>
      </c>
      <c r="IB40" s="20"/>
      <c r="IC40" s="20">
        <v>52</v>
      </c>
      <c r="ID40" s="20">
        <v>50</v>
      </c>
      <c r="IE40" s="20"/>
      <c r="IF40" s="20"/>
      <c r="IG40" s="20"/>
      <c r="IH40" s="20"/>
      <c r="II40" s="20">
        <v>50</v>
      </c>
      <c r="IJ40" s="20"/>
      <c r="IK40" s="20">
        <v>50</v>
      </c>
      <c r="IL40" s="20">
        <v>50</v>
      </c>
      <c r="IM40" s="20"/>
      <c r="IN40" s="20"/>
      <c r="IO40" s="20"/>
      <c r="IP40" s="20"/>
      <c r="IQ40" s="20">
        <v>70</v>
      </c>
      <c r="IR40" s="20"/>
      <c r="IS40" s="20">
        <v>70</v>
      </c>
      <c r="IT40" s="20">
        <v>70</v>
      </c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>
        <v>50</v>
      </c>
      <c r="KD40" s="20"/>
      <c r="KE40" s="20">
        <v>50</v>
      </c>
      <c r="KF40" s="20">
        <v>50</v>
      </c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>
        <v>25</v>
      </c>
      <c r="LP40" s="20"/>
      <c r="LQ40" s="136"/>
      <c r="LR40" s="136"/>
      <c r="LS40" s="136"/>
      <c r="LT40" s="136"/>
      <c r="LU40" s="136"/>
      <c r="LV40" s="136">
        <v>25</v>
      </c>
      <c r="LW40" s="136"/>
      <c r="LX40" s="136"/>
      <c r="LY40" s="136"/>
      <c r="LZ40" s="136">
        <v>10</v>
      </c>
      <c r="MA40" s="136">
        <v>35</v>
      </c>
      <c r="MB40" s="136"/>
      <c r="MC40" s="137">
        <v>215</v>
      </c>
      <c r="MD40" s="137">
        <v>0</v>
      </c>
      <c r="ME40" s="136">
        <v>15</v>
      </c>
      <c r="MF40" s="137"/>
      <c r="MG40" s="137"/>
      <c r="MH40" s="137"/>
      <c r="MI40" s="137">
        <v>50</v>
      </c>
      <c r="MJ40" s="137"/>
      <c r="MK40" s="137">
        <v>35</v>
      </c>
      <c r="ML40" s="137">
        <v>25</v>
      </c>
      <c r="MM40" s="137">
        <v>24</v>
      </c>
      <c r="MN40" s="137"/>
      <c r="MO40" s="137">
        <v>50</v>
      </c>
      <c r="MP40" s="137">
        <v>50</v>
      </c>
      <c r="MQ40" s="1">
        <v>37</v>
      </c>
      <c r="MR40" s="137">
        <v>50</v>
      </c>
      <c r="MS40" s="1">
        <v>0</v>
      </c>
      <c r="MT40" s="137">
        <v>0</v>
      </c>
      <c r="MU40" s="138">
        <v>0</v>
      </c>
      <c r="MV40" s="139">
        <f t="shared" si="9"/>
        <v>621</v>
      </c>
      <c r="MW40" s="121"/>
    </row>
    <row r="41" spans="1:361" s="58" customFormat="1" ht="19.5" thickBot="1">
      <c r="A41" s="126" t="s">
        <v>207</v>
      </c>
      <c r="B41" s="46"/>
      <c r="C41" s="20"/>
      <c r="D41" s="20"/>
      <c r="E41" s="20"/>
      <c r="F41" s="20"/>
      <c r="G41" s="47">
        <v>350</v>
      </c>
      <c r="H41" s="48"/>
      <c r="I41" s="46"/>
      <c r="J41" s="20"/>
      <c r="K41" s="20"/>
      <c r="L41" s="20"/>
      <c r="M41" s="20"/>
      <c r="N41" s="47">
        <v>162</v>
      </c>
      <c r="O41" s="49">
        <f t="shared" si="5"/>
        <v>162</v>
      </c>
      <c r="P41" s="46"/>
      <c r="Q41" s="20"/>
      <c r="R41" s="20"/>
      <c r="S41" s="20"/>
      <c r="T41" s="20">
        <v>24</v>
      </c>
      <c r="U41" s="47">
        <v>230</v>
      </c>
      <c r="V41" s="49">
        <f t="shared" si="6"/>
        <v>254</v>
      </c>
      <c r="W41" s="46"/>
      <c r="X41" s="20"/>
      <c r="Y41" s="20"/>
      <c r="Z41" s="20"/>
      <c r="AA41" s="20"/>
      <c r="AB41" s="46">
        <v>140</v>
      </c>
      <c r="AC41" s="49"/>
      <c r="AD41" s="46"/>
      <c r="AE41" s="20"/>
      <c r="AF41" s="20"/>
      <c r="AG41" s="20"/>
      <c r="AH41" s="20"/>
      <c r="AI41" s="46">
        <v>300</v>
      </c>
      <c r="AJ41" s="49"/>
      <c r="AK41" s="46"/>
      <c r="AL41" s="20"/>
      <c r="AM41" s="20"/>
      <c r="AN41" s="20"/>
      <c r="AO41" s="20"/>
      <c r="AP41" s="46">
        <v>200</v>
      </c>
      <c r="AQ41" s="49"/>
      <c r="AR41" s="20"/>
      <c r="AS41" s="20"/>
      <c r="AT41" s="20"/>
      <c r="AU41" s="20"/>
      <c r="AV41" s="20"/>
      <c r="AW41" s="20">
        <v>13</v>
      </c>
      <c r="AX41" s="20">
        <v>208</v>
      </c>
      <c r="AY41" s="49"/>
      <c r="AZ41" s="20">
        <v>280</v>
      </c>
      <c r="BA41" s="20"/>
      <c r="BB41" s="20"/>
      <c r="BC41" s="20"/>
      <c r="BD41" s="20"/>
      <c r="BE41" s="20">
        <v>15</v>
      </c>
      <c r="BF41" s="20">
        <v>190</v>
      </c>
      <c r="BG41" s="49"/>
      <c r="BH41" s="51">
        <v>310</v>
      </c>
      <c r="BI41" s="52"/>
      <c r="BJ41" s="20"/>
      <c r="BK41" s="20"/>
      <c r="BL41" s="20"/>
      <c r="BM41" s="20"/>
      <c r="BN41" s="20">
        <v>317</v>
      </c>
      <c r="BO41" s="49">
        <v>317</v>
      </c>
      <c r="BP41" s="51">
        <v>332</v>
      </c>
      <c r="BQ41" s="46"/>
      <c r="BR41" s="20"/>
      <c r="BS41" s="20"/>
      <c r="BT41" s="20"/>
      <c r="BU41" s="20"/>
      <c r="BV41" s="47">
        <v>350</v>
      </c>
      <c r="BW41" s="48"/>
      <c r="BX41" s="46"/>
      <c r="BY41" s="20"/>
      <c r="BZ41" s="20"/>
      <c r="CA41" s="20"/>
      <c r="CB41" s="20"/>
      <c r="CC41" s="47">
        <v>162</v>
      </c>
      <c r="CD41" s="49">
        <f t="shared" si="7"/>
        <v>162</v>
      </c>
      <c r="CE41" s="46"/>
      <c r="CF41" s="20"/>
      <c r="CG41" s="20"/>
      <c r="CH41" s="20"/>
      <c r="CI41" s="20">
        <v>24</v>
      </c>
      <c r="CJ41" s="47">
        <v>230</v>
      </c>
      <c r="CK41" s="49">
        <f t="shared" si="8"/>
        <v>254</v>
      </c>
      <c r="CL41" s="46"/>
      <c r="CM41" s="20"/>
      <c r="CN41" s="20"/>
      <c r="CO41" s="20"/>
      <c r="CP41" s="20"/>
      <c r="CQ41" s="46">
        <v>140</v>
      </c>
      <c r="CR41" s="49"/>
      <c r="CS41" s="46"/>
      <c r="CT41" s="20"/>
      <c r="CU41" s="20"/>
      <c r="CV41" s="20"/>
      <c r="CW41" s="20"/>
      <c r="CX41" s="46">
        <v>300</v>
      </c>
      <c r="CY41" s="49"/>
      <c r="CZ41" s="46"/>
      <c r="DA41" s="20"/>
      <c r="DB41" s="20"/>
      <c r="DC41" s="20"/>
      <c r="DD41" s="20"/>
      <c r="DE41" s="46">
        <v>200</v>
      </c>
      <c r="DF41" s="49"/>
      <c r="DG41" s="20"/>
      <c r="DH41" s="20"/>
      <c r="DI41" s="20"/>
      <c r="DJ41" s="20"/>
      <c r="DK41" s="20"/>
      <c r="DL41" s="20">
        <v>13</v>
      </c>
      <c r="DM41" s="20">
        <v>208</v>
      </c>
      <c r="DN41" s="49"/>
      <c r="DO41" s="20">
        <v>280</v>
      </c>
      <c r="DP41" s="20"/>
      <c r="DQ41" s="20"/>
      <c r="DR41" s="20"/>
      <c r="DS41" s="20"/>
      <c r="DT41" s="20">
        <v>15</v>
      </c>
      <c r="DU41" s="20">
        <v>190</v>
      </c>
      <c r="DV41" s="49"/>
      <c r="DW41" s="52"/>
      <c r="DX41" s="20"/>
      <c r="DY41" s="20"/>
      <c r="DZ41" s="20"/>
      <c r="EA41" s="20"/>
      <c r="EB41" s="20">
        <v>243</v>
      </c>
      <c r="EC41" s="70">
        <v>243</v>
      </c>
      <c r="ED41" s="51">
        <v>180</v>
      </c>
      <c r="EE41" s="52"/>
      <c r="EF41" s="20"/>
      <c r="EG41" s="20"/>
      <c r="EH41" s="20"/>
      <c r="EI41" s="20">
        <v>17</v>
      </c>
      <c r="EJ41" s="20">
        <v>82</v>
      </c>
      <c r="EK41" s="70"/>
      <c r="EL41" s="51"/>
      <c r="EM41" s="52"/>
      <c r="EN41" s="20"/>
      <c r="EO41" s="20"/>
      <c r="EP41" s="20"/>
      <c r="EQ41" s="20"/>
      <c r="ER41" s="20">
        <v>295</v>
      </c>
      <c r="ES41" s="70">
        <v>295</v>
      </c>
      <c r="ET41" s="57">
        <v>250</v>
      </c>
      <c r="EU41" s="52"/>
      <c r="EV41" s="20"/>
      <c r="EW41" s="20"/>
      <c r="EX41" s="20"/>
      <c r="EY41" s="20"/>
      <c r="EZ41" s="20">
        <v>168</v>
      </c>
      <c r="FA41" s="70">
        <v>168</v>
      </c>
      <c r="FB41" s="57">
        <v>200</v>
      </c>
      <c r="FC41" s="52"/>
      <c r="FD41" s="20"/>
      <c r="FE41" s="20"/>
      <c r="FF41" s="20"/>
      <c r="FG41" s="20">
        <v>26</v>
      </c>
      <c r="FH41" s="20">
        <v>222</v>
      </c>
      <c r="FI41" s="70">
        <v>248</v>
      </c>
      <c r="FJ41" s="57">
        <v>220</v>
      </c>
      <c r="FK41" s="52"/>
      <c r="FL41" s="20"/>
      <c r="FM41" s="20"/>
      <c r="FN41" s="20"/>
      <c r="FO41" s="20">
        <v>22</v>
      </c>
      <c r="FP41" s="20">
        <v>170</v>
      </c>
      <c r="FQ41" s="70">
        <v>192</v>
      </c>
      <c r="FR41" s="57">
        <v>170</v>
      </c>
      <c r="FS41" s="52"/>
      <c r="FT41" s="20"/>
      <c r="FU41" s="20"/>
      <c r="FV41" s="20"/>
      <c r="FW41" s="20">
        <v>14</v>
      </c>
      <c r="FX41" s="20">
        <v>194</v>
      </c>
      <c r="FY41" s="70">
        <v>208</v>
      </c>
      <c r="FZ41" s="57">
        <v>210</v>
      </c>
      <c r="GA41" s="20"/>
      <c r="GB41" s="20"/>
      <c r="GC41" s="20"/>
      <c r="GD41" s="20"/>
      <c r="GE41" s="20">
        <v>16</v>
      </c>
      <c r="GF41" s="20">
        <v>226</v>
      </c>
      <c r="GG41" s="20">
        <v>242</v>
      </c>
      <c r="GH41" s="20">
        <v>210</v>
      </c>
      <c r="GI41" s="20"/>
      <c r="GJ41" s="20"/>
      <c r="GK41" s="20"/>
      <c r="GL41" s="20"/>
      <c r="GM41" s="20">
        <v>17</v>
      </c>
      <c r="GN41" s="20">
        <v>275</v>
      </c>
      <c r="GO41" s="20">
        <v>292</v>
      </c>
      <c r="GP41" s="20">
        <v>250</v>
      </c>
      <c r="GQ41" s="20"/>
      <c r="GR41" s="20"/>
      <c r="GS41" s="20"/>
      <c r="GT41" s="20"/>
      <c r="GU41" s="20"/>
      <c r="GV41" s="56">
        <v>384</v>
      </c>
      <c r="GW41" s="57">
        <v>384</v>
      </c>
      <c r="GX41" s="57">
        <v>300</v>
      </c>
      <c r="GY41" s="20"/>
      <c r="GZ41" s="20"/>
      <c r="HA41" s="20"/>
      <c r="HB41" s="20"/>
      <c r="HC41" s="20"/>
      <c r="HD41" s="56">
        <v>178</v>
      </c>
      <c r="HE41" s="57">
        <v>178</v>
      </c>
      <c r="HF41" s="57">
        <v>200</v>
      </c>
      <c r="HG41" s="20"/>
      <c r="HH41" s="20"/>
      <c r="HI41" s="20"/>
      <c r="HJ41" s="20"/>
      <c r="HK41" s="20"/>
      <c r="HL41" s="20">
        <v>200</v>
      </c>
      <c r="HM41" s="20">
        <v>200</v>
      </c>
      <c r="HN41" s="20">
        <v>200</v>
      </c>
      <c r="HO41" s="20"/>
      <c r="HP41" s="20"/>
      <c r="HQ41" s="20"/>
      <c r="HR41" s="20"/>
      <c r="HS41" s="20"/>
      <c r="HT41" s="20">
        <v>400</v>
      </c>
      <c r="HU41" s="20">
        <v>400</v>
      </c>
      <c r="HV41" s="20">
        <v>420</v>
      </c>
      <c r="HW41" s="20"/>
      <c r="HX41" s="25"/>
      <c r="HY41" s="20"/>
      <c r="HZ41" s="20"/>
      <c r="IA41" s="20"/>
      <c r="IB41" s="20">
        <v>280</v>
      </c>
      <c r="IC41" s="20">
        <v>280</v>
      </c>
      <c r="ID41" s="20">
        <v>250</v>
      </c>
      <c r="IE41" s="20"/>
      <c r="IF41" s="20"/>
      <c r="IG41" s="20"/>
      <c r="IH41" s="20"/>
      <c r="II41" s="20">
        <v>50</v>
      </c>
      <c r="IJ41" s="20">
        <v>610</v>
      </c>
      <c r="IK41" s="20">
        <v>660</v>
      </c>
      <c r="IL41" s="20">
        <v>450</v>
      </c>
      <c r="IM41" s="20"/>
      <c r="IN41" s="20"/>
      <c r="IO41" s="20"/>
      <c r="IP41" s="20"/>
      <c r="IQ41" s="20">
        <v>48</v>
      </c>
      <c r="IR41" s="20">
        <v>600</v>
      </c>
      <c r="IS41" s="20">
        <v>648</v>
      </c>
      <c r="IT41" s="20">
        <v>590</v>
      </c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5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>
        <v>48</v>
      </c>
      <c r="KD41" s="20">
        <v>650</v>
      </c>
      <c r="KE41" s="20">
        <v>698</v>
      </c>
      <c r="KF41" s="20">
        <v>630</v>
      </c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5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>
        <v>25</v>
      </c>
      <c r="LP41" s="20">
        <v>10</v>
      </c>
      <c r="LQ41" s="136">
        <v>505</v>
      </c>
      <c r="LR41" s="136">
        <v>925</v>
      </c>
      <c r="LS41" s="136">
        <v>240</v>
      </c>
      <c r="LT41" s="136">
        <v>30</v>
      </c>
      <c r="LU41" s="136">
        <v>375</v>
      </c>
      <c r="LV41" s="136">
        <v>165</v>
      </c>
      <c r="LW41" s="136">
        <v>134</v>
      </c>
      <c r="LX41" s="136">
        <v>436</v>
      </c>
      <c r="LY41" s="136">
        <v>315</v>
      </c>
      <c r="LZ41" s="136">
        <v>220</v>
      </c>
      <c r="MA41" s="136">
        <v>257</v>
      </c>
      <c r="MB41" s="136">
        <v>110</v>
      </c>
      <c r="MC41" s="137">
        <v>577</v>
      </c>
      <c r="MD41" s="137">
        <v>130</v>
      </c>
      <c r="ME41" s="136">
        <v>110</v>
      </c>
      <c r="MF41" s="137">
        <v>150</v>
      </c>
      <c r="MG41" s="137">
        <v>87</v>
      </c>
      <c r="MH41" s="137">
        <v>161</v>
      </c>
      <c r="MI41" s="137">
        <v>103</v>
      </c>
      <c r="MJ41" s="137">
        <v>15</v>
      </c>
      <c r="MK41" s="137">
        <v>110</v>
      </c>
      <c r="ML41" s="137">
        <v>50</v>
      </c>
      <c r="MM41" s="137">
        <v>150</v>
      </c>
      <c r="MN41" s="137">
        <v>80</v>
      </c>
      <c r="MO41" s="137">
        <v>150</v>
      </c>
      <c r="MP41" s="137">
        <v>203</v>
      </c>
      <c r="MQ41" s="1">
        <v>200</v>
      </c>
      <c r="MR41" s="137">
        <v>260</v>
      </c>
      <c r="MS41" s="1">
        <v>232</v>
      </c>
      <c r="MT41" s="137">
        <v>367</v>
      </c>
      <c r="MU41" s="138">
        <v>269</v>
      </c>
      <c r="MV41" s="139">
        <f t="shared" si="9"/>
        <v>7116</v>
      </c>
      <c r="MW41" s="121"/>
    </row>
    <row r="42" spans="1:361" s="58" customFormat="1" ht="19.5" thickBot="1">
      <c r="A42" s="126" t="s">
        <v>208</v>
      </c>
      <c r="B42" s="46"/>
      <c r="C42" s="20"/>
      <c r="D42" s="20"/>
      <c r="E42" s="20"/>
      <c r="F42" s="20"/>
      <c r="G42" s="47"/>
      <c r="H42" s="48"/>
      <c r="I42" s="46"/>
      <c r="J42" s="20"/>
      <c r="K42" s="20"/>
      <c r="L42" s="20"/>
      <c r="M42" s="20"/>
      <c r="N42" s="47"/>
      <c r="O42" s="49">
        <f t="shared" si="5"/>
        <v>0</v>
      </c>
      <c r="P42" s="46"/>
      <c r="Q42" s="20"/>
      <c r="R42" s="20"/>
      <c r="S42" s="20"/>
      <c r="T42" s="20"/>
      <c r="U42" s="47"/>
      <c r="V42" s="49">
        <f t="shared" si="6"/>
        <v>0</v>
      </c>
      <c r="W42" s="46"/>
      <c r="X42" s="20"/>
      <c r="Y42" s="20"/>
      <c r="Z42" s="20"/>
      <c r="AA42" s="20"/>
      <c r="AB42" s="47"/>
      <c r="AC42" s="49"/>
      <c r="AD42" s="46"/>
      <c r="AE42" s="20"/>
      <c r="AF42" s="20"/>
      <c r="AG42" s="20"/>
      <c r="AH42" s="20"/>
      <c r="AI42" s="47"/>
      <c r="AJ42" s="49"/>
      <c r="AK42" s="46"/>
      <c r="AL42" s="20"/>
      <c r="AM42" s="20"/>
      <c r="AN42" s="20"/>
      <c r="AO42" s="20">
        <v>38</v>
      </c>
      <c r="AP42" s="47"/>
      <c r="AQ42" s="49"/>
      <c r="AR42" s="20"/>
      <c r="AS42" s="20"/>
      <c r="AT42" s="20"/>
      <c r="AU42" s="20"/>
      <c r="AV42" s="20"/>
      <c r="AW42" s="20">
        <v>15</v>
      </c>
      <c r="AX42" s="20">
        <v>0</v>
      </c>
      <c r="AY42" s="49"/>
      <c r="AZ42" s="20">
        <v>27</v>
      </c>
      <c r="BA42" s="20"/>
      <c r="BB42" s="20"/>
      <c r="BC42" s="20"/>
      <c r="BD42" s="20"/>
      <c r="BE42" s="20">
        <v>13</v>
      </c>
      <c r="BF42" s="20"/>
      <c r="BG42" s="49"/>
      <c r="BH42" s="51">
        <v>20</v>
      </c>
      <c r="BI42" s="52"/>
      <c r="BJ42" s="20"/>
      <c r="BK42" s="20"/>
      <c r="BL42" s="20"/>
      <c r="BM42" s="20">
        <v>50</v>
      </c>
      <c r="BN42" s="20">
        <v>0</v>
      </c>
      <c r="BO42" s="49">
        <v>50</v>
      </c>
      <c r="BP42" s="51">
        <v>100</v>
      </c>
      <c r="BQ42" s="46"/>
      <c r="BR42" s="20"/>
      <c r="BS42" s="20"/>
      <c r="BT42" s="20"/>
      <c r="BU42" s="20"/>
      <c r="BV42" s="47"/>
      <c r="BW42" s="48"/>
      <c r="BX42" s="46"/>
      <c r="BY42" s="20"/>
      <c r="BZ42" s="20"/>
      <c r="CA42" s="20"/>
      <c r="CB42" s="20"/>
      <c r="CC42" s="47"/>
      <c r="CD42" s="49">
        <f t="shared" si="7"/>
        <v>0</v>
      </c>
      <c r="CE42" s="46"/>
      <c r="CF42" s="20"/>
      <c r="CG42" s="20"/>
      <c r="CH42" s="20"/>
      <c r="CI42" s="20"/>
      <c r="CJ42" s="47"/>
      <c r="CK42" s="49">
        <f t="shared" si="8"/>
        <v>0</v>
      </c>
      <c r="CL42" s="46"/>
      <c r="CM42" s="20"/>
      <c r="CN42" s="20"/>
      <c r="CO42" s="20"/>
      <c r="CP42" s="20"/>
      <c r="CQ42" s="47"/>
      <c r="CR42" s="49"/>
      <c r="CS42" s="46"/>
      <c r="CT42" s="20"/>
      <c r="CU42" s="20"/>
      <c r="CV42" s="20"/>
      <c r="CW42" s="20"/>
      <c r="CX42" s="47"/>
      <c r="CY42" s="49"/>
      <c r="CZ42" s="46"/>
      <c r="DA42" s="20"/>
      <c r="DB42" s="20"/>
      <c r="DC42" s="20"/>
      <c r="DD42" s="20">
        <v>38</v>
      </c>
      <c r="DE42" s="47"/>
      <c r="DF42" s="49"/>
      <c r="DG42" s="20"/>
      <c r="DH42" s="20"/>
      <c r="DI42" s="20"/>
      <c r="DJ42" s="20"/>
      <c r="DK42" s="20"/>
      <c r="DL42" s="20">
        <v>15</v>
      </c>
      <c r="DM42" s="20">
        <v>0</v>
      </c>
      <c r="DN42" s="49"/>
      <c r="DO42" s="20">
        <v>27</v>
      </c>
      <c r="DP42" s="20"/>
      <c r="DQ42" s="20"/>
      <c r="DR42" s="20"/>
      <c r="DS42" s="20"/>
      <c r="DT42" s="20">
        <v>13</v>
      </c>
      <c r="DU42" s="20"/>
      <c r="DV42" s="49"/>
      <c r="DW42" s="52"/>
      <c r="DX42" s="20"/>
      <c r="DY42" s="20"/>
      <c r="DZ42" s="20"/>
      <c r="EA42" s="20">
        <v>38</v>
      </c>
      <c r="EB42" s="20"/>
      <c r="EC42" s="70">
        <v>38</v>
      </c>
      <c r="ED42" s="51">
        <v>50</v>
      </c>
      <c r="EE42" s="52"/>
      <c r="EF42" s="20"/>
      <c r="EG42" s="20"/>
      <c r="EH42" s="20"/>
      <c r="EI42" s="20">
        <v>32</v>
      </c>
      <c r="EJ42" s="20"/>
      <c r="EK42" s="70"/>
      <c r="EL42" s="51"/>
      <c r="EM42" s="52"/>
      <c r="EN42" s="20"/>
      <c r="EO42" s="20"/>
      <c r="EP42" s="20"/>
      <c r="EQ42" s="20">
        <v>74</v>
      </c>
      <c r="ER42" s="20"/>
      <c r="ES42" s="70">
        <v>74</v>
      </c>
      <c r="ET42" s="57">
        <v>100</v>
      </c>
      <c r="EU42" s="52"/>
      <c r="EV42" s="20"/>
      <c r="EW42" s="20"/>
      <c r="EX42" s="20"/>
      <c r="EY42" s="20">
        <v>130</v>
      </c>
      <c r="EZ42" s="20"/>
      <c r="FA42" s="70">
        <v>130</v>
      </c>
      <c r="FB42" s="57">
        <v>80</v>
      </c>
      <c r="FC42" s="52"/>
      <c r="FD42" s="20"/>
      <c r="FE42" s="20"/>
      <c r="FF42" s="20"/>
      <c r="FG42" s="20">
        <v>97</v>
      </c>
      <c r="FH42" s="20"/>
      <c r="FI42" s="70">
        <v>97</v>
      </c>
      <c r="FJ42" s="57">
        <v>50</v>
      </c>
      <c r="FK42" s="52"/>
      <c r="FL42" s="20"/>
      <c r="FM42" s="20"/>
      <c r="FN42" s="20"/>
      <c r="FO42" s="20"/>
      <c r="FP42" s="20">
        <v>94</v>
      </c>
      <c r="FQ42" s="70">
        <v>94</v>
      </c>
      <c r="FR42" s="57">
        <v>90</v>
      </c>
      <c r="FS42" s="52"/>
      <c r="FT42" s="20"/>
      <c r="FU42" s="20"/>
      <c r="FV42" s="20"/>
      <c r="FW42" s="20">
        <v>168</v>
      </c>
      <c r="FX42" s="20"/>
      <c r="FY42" s="70">
        <v>168</v>
      </c>
      <c r="FZ42" s="57">
        <v>250</v>
      </c>
      <c r="GA42" s="20"/>
      <c r="GB42" s="20"/>
      <c r="GC42" s="20"/>
      <c r="GD42" s="20"/>
      <c r="GE42" s="20">
        <v>140</v>
      </c>
      <c r="GF42" s="20"/>
      <c r="GG42" s="20">
        <v>140</v>
      </c>
      <c r="GH42" s="20">
        <v>150</v>
      </c>
      <c r="GI42" s="20"/>
      <c r="GJ42" s="20"/>
      <c r="GK42" s="20"/>
      <c r="GL42" s="20"/>
      <c r="GM42" s="20">
        <v>130</v>
      </c>
      <c r="GN42" s="20">
        <v>11</v>
      </c>
      <c r="GO42" s="20">
        <v>141</v>
      </c>
      <c r="GP42" s="20">
        <v>10</v>
      </c>
      <c r="GQ42" s="20"/>
      <c r="GR42" s="20"/>
      <c r="GS42" s="20"/>
      <c r="GT42" s="20"/>
      <c r="GU42" s="20">
        <v>110</v>
      </c>
      <c r="GV42" s="56">
        <v>21</v>
      </c>
      <c r="GW42" s="57">
        <v>131</v>
      </c>
      <c r="GX42" s="57">
        <v>125</v>
      </c>
      <c r="GY42" s="20"/>
      <c r="GZ42" s="20"/>
      <c r="HA42" s="20"/>
      <c r="HB42" s="20"/>
      <c r="HC42" s="20">
        <v>67</v>
      </c>
      <c r="HD42" s="56"/>
      <c r="HE42" s="57">
        <v>67</v>
      </c>
      <c r="HF42" s="57">
        <v>100</v>
      </c>
      <c r="HG42" s="20"/>
      <c r="HH42" s="20"/>
      <c r="HI42" s="20"/>
      <c r="HJ42" s="20"/>
      <c r="HK42" s="20">
        <v>138</v>
      </c>
      <c r="HL42" s="20">
        <v>35</v>
      </c>
      <c r="HM42" s="20">
        <v>173</v>
      </c>
      <c r="HN42" s="20">
        <v>140</v>
      </c>
      <c r="HO42" s="20"/>
      <c r="HP42" s="20"/>
      <c r="HQ42" s="20"/>
      <c r="HR42" s="20"/>
      <c r="HS42" s="20">
        <v>87</v>
      </c>
      <c r="HT42" s="20"/>
      <c r="HU42" s="20">
        <v>87</v>
      </c>
      <c r="HV42" s="20">
        <v>50</v>
      </c>
      <c r="HW42" s="20"/>
      <c r="HX42" s="25"/>
      <c r="HY42" s="20"/>
      <c r="HZ42" s="20"/>
      <c r="IA42" s="20">
        <v>110</v>
      </c>
      <c r="IB42" s="20">
        <v>65</v>
      </c>
      <c r="IC42" s="20">
        <v>175</v>
      </c>
      <c r="ID42" s="20">
        <v>280</v>
      </c>
      <c r="IE42" s="20"/>
      <c r="IF42" s="20"/>
      <c r="IG42" s="20"/>
      <c r="IH42" s="20"/>
      <c r="II42" s="20">
        <v>155</v>
      </c>
      <c r="IJ42" s="20"/>
      <c r="IK42" s="20">
        <v>155</v>
      </c>
      <c r="IL42" s="20">
        <v>130</v>
      </c>
      <c r="IM42" s="20"/>
      <c r="IN42" s="20"/>
      <c r="IO42" s="20"/>
      <c r="IP42" s="20"/>
      <c r="IQ42" s="20">
        <v>250</v>
      </c>
      <c r="IR42" s="20">
        <v>216</v>
      </c>
      <c r="IS42" s="20">
        <v>466</v>
      </c>
      <c r="IT42" s="20">
        <v>450</v>
      </c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5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>
        <v>240</v>
      </c>
      <c r="KD42" s="20">
        <v>270</v>
      </c>
      <c r="KE42" s="20">
        <v>510</v>
      </c>
      <c r="KF42" s="20">
        <v>550</v>
      </c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5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>
        <v>96</v>
      </c>
      <c r="LQ42" s="136">
        <v>594</v>
      </c>
      <c r="LR42" s="136">
        <v>690</v>
      </c>
      <c r="LS42" s="136">
        <v>787</v>
      </c>
      <c r="LT42" s="136">
        <v>1100</v>
      </c>
      <c r="LU42" s="136">
        <v>950</v>
      </c>
      <c r="LV42" s="136">
        <v>570</v>
      </c>
      <c r="LW42" s="136">
        <v>710</v>
      </c>
      <c r="LX42" s="136">
        <v>880</v>
      </c>
      <c r="LY42" s="136">
        <v>670</v>
      </c>
      <c r="LZ42" s="136">
        <v>620</v>
      </c>
      <c r="MA42" s="136">
        <v>690</v>
      </c>
      <c r="MB42" s="136">
        <v>660</v>
      </c>
      <c r="MC42" s="137">
        <v>20</v>
      </c>
      <c r="MD42" s="137">
        <v>280</v>
      </c>
      <c r="ME42" s="136">
        <v>534</v>
      </c>
      <c r="MF42" s="137">
        <v>340</v>
      </c>
      <c r="MG42" s="137"/>
      <c r="MH42" s="137">
        <v>150</v>
      </c>
      <c r="MI42" s="137">
        <v>185</v>
      </c>
      <c r="MJ42" s="137">
        <v>250</v>
      </c>
      <c r="MK42" s="137">
        <v>153</v>
      </c>
      <c r="ML42" s="137">
        <v>200</v>
      </c>
      <c r="MM42" s="137">
        <v>30</v>
      </c>
      <c r="MN42" s="137">
        <v>52</v>
      </c>
      <c r="MO42" s="137">
        <v>175</v>
      </c>
      <c r="MP42" s="137">
        <v>277</v>
      </c>
      <c r="MQ42" s="1">
        <v>150</v>
      </c>
      <c r="MR42" s="137">
        <v>191</v>
      </c>
      <c r="MS42" s="1">
        <v>50</v>
      </c>
      <c r="MT42" s="137">
        <v>100</v>
      </c>
      <c r="MU42" s="138">
        <v>17</v>
      </c>
      <c r="MV42" s="139">
        <f t="shared" si="9"/>
        <v>12075</v>
      </c>
      <c r="MW42" s="121"/>
    </row>
    <row r="43" spans="1:361" s="58" customFormat="1" ht="19.5" thickBot="1">
      <c r="A43" s="126" t="s">
        <v>209</v>
      </c>
      <c r="B43" s="46"/>
      <c r="C43" s="20"/>
      <c r="D43" s="20"/>
      <c r="E43" s="20"/>
      <c r="F43" s="20"/>
      <c r="G43" s="47">
        <v>38</v>
      </c>
      <c r="H43" s="48"/>
      <c r="I43" s="46"/>
      <c r="J43" s="20"/>
      <c r="K43" s="20"/>
      <c r="L43" s="20"/>
      <c r="M43" s="20"/>
      <c r="N43" s="47"/>
      <c r="O43" s="49">
        <f t="shared" si="5"/>
        <v>0</v>
      </c>
      <c r="P43" s="46"/>
      <c r="Q43" s="20"/>
      <c r="R43" s="20"/>
      <c r="S43" s="20"/>
      <c r="T43" s="20"/>
      <c r="U43" s="47">
        <v>50</v>
      </c>
      <c r="V43" s="49">
        <f t="shared" si="6"/>
        <v>50</v>
      </c>
      <c r="W43" s="46"/>
      <c r="X43" s="20"/>
      <c r="Y43" s="20"/>
      <c r="Z43" s="20"/>
      <c r="AA43" s="20"/>
      <c r="AB43" s="47">
        <v>135</v>
      </c>
      <c r="AC43" s="49"/>
      <c r="AD43" s="46"/>
      <c r="AE43" s="20"/>
      <c r="AF43" s="20"/>
      <c r="AG43" s="20"/>
      <c r="AH43" s="20"/>
      <c r="AI43" s="47">
        <v>114</v>
      </c>
      <c r="AJ43" s="49"/>
      <c r="AK43" s="46"/>
      <c r="AL43" s="20"/>
      <c r="AM43" s="20"/>
      <c r="AN43" s="20"/>
      <c r="AO43" s="20"/>
      <c r="AP43" s="47">
        <v>53</v>
      </c>
      <c r="AQ43" s="49"/>
      <c r="AR43" s="20"/>
      <c r="AS43" s="20"/>
      <c r="AT43" s="20"/>
      <c r="AU43" s="20"/>
      <c r="AV43" s="20"/>
      <c r="AW43" s="20"/>
      <c r="AX43" s="20">
        <v>227</v>
      </c>
      <c r="AY43" s="49"/>
      <c r="AZ43" s="20">
        <v>310</v>
      </c>
      <c r="BA43" s="20"/>
      <c r="BB43" s="20"/>
      <c r="BC43" s="20"/>
      <c r="BD43" s="20"/>
      <c r="BE43" s="20"/>
      <c r="BF43" s="20">
        <v>100</v>
      </c>
      <c r="BG43" s="49"/>
      <c r="BH43" s="51">
        <v>150</v>
      </c>
      <c r="BI43" s="52"/>
      <c r="BJ43" s="20"/>
      <c r="BK43" s="20"/>
      <c r="BL43" s="20"/>
      <c r="BM43" s="20"/>
      <c r="BN43" s="20">
        <v>130</v>
      </c>
      <c r="BO43" s="49">
        <v>130</v>
      </c>
      <c r="BP43" s="51">
        <v>150</v>
      </c>
      <c r="BQ43" s="46"/>
      <c r="BR43" s="20"/>
      <c r="BS43" s="20"/>
      <c r="BT43" s="20"/>
      <c r="BU43" s="20"/>
      <c r="BV43" s="47">
        <v>38</v>
      </c>
      <c r="BW43" s="48"/>
      <c r="BX43" s="46"/>
      <c r="BY43" s="20"/>
      <c r="BZ43" s="20"/>
      <c r="CA43" s="20"/>
      <c r="CB43" s="20"/>
      <c r="CC43" s="47"/>
      <c r="CD43" s="49">
        <f t="shared" si="7"/>
        <v>0</v>
      </c>
      <c r="CE43" s="46"/>
      <c r="CF43" s="20"/>
      <c r="CG43" s="20"/>
      <c r="CH43" s="20"/>
      <c r="CI43" s="20"/>
      <c r="CJ43" s="47">
        <v>50</v>
      </c>
      <c r="CK43" s="49">
        <f t="shared" si="8"/>
        <v>50</v>
      </c>
      <c r="CL43" s="46"/>
      <c r="CM43" s="20"/>
      <c r="CN43" s="20"/>
      <c r="CO43" s="20"/>
      <c r="CP43" s="20"/>
      <c r="CQ43" s="47">
        <v>135</v>
      </c>
      <c r="CR43" s="49"/>
      <c r="CS43" s="46"/>
      <c r="CT43" s="20"/>
      <c r="CU43" s="20"/>
      <c r="CV43" s="20"/>
      <c r="CW43" s="20"/>
      <c r="CX43" s="47">
        <v>114</v>
      </c>
      <c r="CY43" s="49"/>
      <c r="CZ43" s="46"/>
      <c r="DA43" s="20"/>
      <c r="DB43" s="20"/>
      <c r="DC43" s="20"/>
      <c r="DD43" s="20"/>
      <c r="DE43" s="47">
        <v>53</v>
      </c>
      <c r="DF43" s="49"/>
      <c r="DG43" s="20"/>
      <c r="DH43" s="20"/>
      <c r="DI43" s="20"/>
      <c r="DJ43" s="20"/>
      <c r="DK43" s="20"/>
      <c r="DL43" s="20"/>
      <c r="DM43" s="20">
        <v>227</v>
      </c>
      <c r="DN43" s="49"/>
      <c r="DO43" s="20">
        <v>310</v>
      </c>
      <c r="DP43" s="20"/>
      <c r="DQ43" s="20"/>
      <c r="DR43" s="20"/>
      <c r="DS43" s="20"/>
      <c r="DT43" s="20"/>
      <c r="DU43" s="20">
        <v>100</v>
      </c>
      <c r="DV43" s="49"/>
      <c r="DW43" s="52"/>
      <c r="DX43" s="20"/>
      <c r="DY43" s="20"/>
      <c r="DZ43" s="20"/>
      <c r="EA43" s="20"/>
      <c r="EB43" s="20">
        <v>150</v>
      </c>
      <c r="EC43" s="70">
        <v>150</v>
      </c>
      <c r="ED43" s="51">
        <v>160</v>
      </c>
      <c r="EE43" s="52"/>
      <c r="EF43" s="20"/>
      <c r="EG43" s="20"/>
      <c r="EH43" s="20"/>
      <c r="EI43" s="20"/>
      <c r="EJ43" s="20">
        <v>80</v>
      </c>
      <c r="EK43" s="70"/>
      <c r="EL43" s="51"/>
      <c r="EM43" s="52"/>
      <c r="EN43" s="20"/>
      <c r="EO43" s="20"/>
      <c r="EP43" s="20"/>
      <c r="EQ43" s="20"/>
      <c r="ER43" s="20">
        <v>140</v>
      </c>
      <c r="ES43" s="70">
        <v>140</v>
      </c>
      <c r="ET43" s="57">
        <v>150</v>
      </c>
      <c r="EU43" s="52"/>
      <c r="EV43" s="20"/>
      <c r="EW43" s="20"/>
      <c r="EX43" s="20"/>
      <c r="EY43" s="20"/>
      <c r="EZ43" s="20">
        <v>85</v>
      </c>
      <c r="FA43" s="70">
        <v>85</v>
      </c>
      <c r="FB43" s="57">
        <v>100</v>
      </c>
      <c r="FC43" s="52"/>
      <c r="FD43" s="20"/>
      <c r="FE43" s="20"/>
      <c r="FF43" s="20"/>
      <c r="FG43" s="20"/>
      <c r="FH43" s="20">
        <v>72</v>
      </c>
      <c r="FI43" s="70">
        <v>72</v>
      </c>
      <c r="FJ43" s="57">
        <v>80</v>
      </c>
      <c r="FK43" s="52"/>
      <c r="FL43" s="20"/>
      <c r="FM43" s="20"/>
      <c r="FN43" s="20">
        <v>60</v>
      </c>
      <c r="FO43" s="20"/>
      <c r="FP43" s="20"/>
      <c r="FQ43" s="70">
        <v>60</v>
      </c>
      <c r="FR43" s="57">
        <v>40</v>
      </c>
      <c r="FS43" s="52"/>
      <c r="FT43" s="20"/>
      <c r="FU43" s="20"/>
      <c r="FV43" s="20"/>
      <c r="FW43" s="20"/>
      <c r="FX43" s="20">
        <v>91</v>
      </c>
      <c r="FY43" s="70"/>
      <c r="FZ43" s="57">
        <v>100</v>
      </c>
      <c r="GA43" s="20"/>
      <c r="GB43" s="20"/>
      <c r="GC43" s="20"/>
      <c r="GD43" s="20"/>
      <c r="GE43" s="20"/>
      <c r="GF43" s="20">
        <v>78</v>
      </c>
      <c r="GG43" s="20">
        <v>78</v>
      </c>
      <c r="GH43" s="20">
        <v>100</v>
      </c>
      <c r="GI43" s="20"/>
      <c r="GJ43" s="20"/>
      <c r="GK43" s="20"/>
      <c r="GL43" s="20"/>
      <c r="GM43" s="20"/>
      <c r="GN43" s="20">
        <v>65</v>
      </c>
      <c r="GO43" s="20">
        <v>65</v>
      </c>
      <c r="GP43" s="20">
        <v>50</v>
      </c>
      <c r="GQ43" s="20"/>
      <c r="GR43" s="20"/>
      <c r="GS43" s="20"/>
      <c r="GT43" s="20"/>
      <c r="GU43" s="20"/>
      <c r="GV43" s="56"/>
      <c r="GW43" s="57"/>
      <c r="GX43" s="57"/>
      <c r="GY43" s="20"/>
      <c r="GZ43" s="20"/>
      <c r="HA43" s="20"/>
      <c r="HB43" s="20"/>
      <c r="HC43" s="20"/>
      <c r="HD43" s="56">
        <v>50</v>
      </c>
      <c r="HE43" s="57">
        <v>50</v>
      </c>
      <c r="HF43" s="57">
        <v>50</v>
      </c>
      <c r="HG43" s="20"/>
      <c r="HH43" s="20"/>
      <c r="HI43" s="20"/>
      <c r="HJ43" s="20"/>
      <c r="HK43" s="20"/>
      <c r="HL43" s="20">
        <v>50</v>
      </c>
      <c r="HM43" s="20">
        <v>50</v>
      </c>
      <c r="HN43" s="20">
        <v>50</v>
      </c>
      <c r="HO43" s="20"/>
      <c r="HP43" s="20"/>
      <c r="HQ43" s="20"/>
      <c r="HR43" s="20"/>
      <c r="HS43" s="20"/>
      <c r="HT43" s="20">
        <v>50</v>
      </c>
      <c r="HU43" s="20">
        <v>50</v>
      </c>
      <c r="HV43" s="20">
        <v>40</v>
      </c>
      <c r="HW43" s="20"/>
      <c r="HX43" s="25"/>
      <c r="HY43" s="20"/>
      <c r="HZ43" s="20"/>
      <c r="IA43" s="20"/>
      <c r="IB43" s="20">
        <v>236</v>
      </c>
      <c r="IC43" s="20">
        <v>236</v>
      </c>
      <c r="ID43" s="20">
        <v>100</v>
      </c>
      <c r="IE43" s="20"/>
      <c r="IF43" s="25"/>
      <c r="IG43" s="20"/>
      <c r="IH43" s="20"/>
      <c r="II43" s="20"/>
      <c r="IJ43" s="20">
        <v>155</v>
      </c>
      <c r="IK43" s="20">
        <v>155</v>
      </c>
      <c r="IL43" s="20">
        <v>100</v>
      </c>
      <c r="IM43" s="20"/>
      <c r="IN43" s="20"/>
      <c r="IO43" s="20"/>
      <c r="IP43" s="20"/>
      <c r="IQ43" s="20"/>
      <c r="IR43" s="20">
        <v>108</v>
      </c>
      <c r="IS43" s="20">
        <v>108</v>
      </c>
      <c r="IT43" s="20">
        <v>100</v>
      </c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5"/>
      <c r="JM43" s="20"/>
      <c r="JN43" s="20"/>
      <c r="JO43" s="20"/>
      <c r="JP43" s="20"/>
      <c r="JQ43" s="20"/>
      <c r="JR43" s="20"/>
      <c r="JS43" s="20"/>
      <c r="JT43" s="25"/>
      <c r="JU43" s="20"/>
      <c r="JV43" s="20"/>
      <c r="JW43" s="20"/>
      <c r="JX43" s="20"/>
      <c r="JY43" s="20"/>
      <c r="JZ43" s="20"/>
      <c r="KA43" s="20"/>
      <c r="KB43" s="20"/>
      <c r="KC43" s="20"/>
      <c r="KD43" s="20">
        <v>120</v>
      </c>
      <c r="KE43" s="20">
        <v>120</v>
      </c>
      <c r="KF43" s="20">
        <v>100</v>
      </c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5"/>
      <c r="KY43" s="20"/>
      <c r="KZ43" s="20"/>
      <c r="LA43" s="20"/>
      <c r="LB43" s="20"/>
      <c r="LC43" s="20"/>
      <c r="LD43" s="20"/>
      <c r="LE43" s="20"/>
      <c r="LF43" s="25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136">
        <v>80</v>
      </c>
      <c r="LR43" s="136">
        <v>39</v>
      </c>
      <c r="LS43" s="136">
        <v>34</v>
      </c>
      <c r="LT43" s="136">
        <v>66</v>
      </c>
      <c r="LU43" s="136">
        <v>30</v>
      </c>
      <c r="LV43" s="136">
        <v>20</v>
      </c>
      <c r="LW43" s="136"/>
      <c r="LX43" s="136">
        <v>45</v>
      </c>
      <c r="LY43" s="136">
        <v>30</v>
      </c>
      <c r="LZ43" s="136">
        <v>20</v>
      </c>
      <c r="MA43" s="136">
        <v>20</v>
      </c>
      <c r="MB43" s="136">
        <v>20</v>
      </c>
      <c r="MC43" s="137">
        <v>55</v>
      </c>
      <c r="MD43" s="137">
        <v>0</v>
      </c>
      <c r="ME43" s="136">
        <v>5</v>
      </c>
      <c r="MF43" s="137"/>
      <c r="MG43" s="137">
        <v>37</v>
      </c>
      <c r="MH43" s="137">
        <v>26</v>
      </c>
      <c r="MI43" s="137">
        <v>22</v>
      </c>
      <c r="MJ43" s="137">
        <v>26</v>
      </c>
      <c r="MK43" s="137"/>
      <c r="ML43" s="137">
        <v>16</v>
      </c>
      <c r="MM43" s="137"/>
      <c r="MN43" s="137">
        <v>28</v>
      </c>
      <c r="MO43" s="137">
        <v>12</v>
      </c>
      <c r="MP43" s="137">
        <v>22</v>
      </c>
      <c r="MQ43" s="1">
        <v>30</v>
      </c>
      <c r="MR43" s="137">
        <v>50</v>
      </c>
      <c r="MS43" s="1">
        <v>18</v>
      </c>
      <c r="MT43" s="137">
        <v>102</v>
      </c>
      <c r="MU43" s="138">
        <v>45</v>
      </c>
      <c r="MV43" s="139">
        <f t="shared" si="9"/>
        <v>898</v>
      </c>
      <c r="MW43" s="121"/>
    </row>
    <row r="44" spans="1:361" s="58" customFormat="1" ht="18.75">
      <c r="A44" s="126" t="s">
        <v>210</v>
      </c>
      <c r="B44" s="46"/>
      <c r="C44" s="20"/>
      <c r="D44" s="20"/>
      <c r="E44" s="20"/>
      <c r="F44" s="20"/>
      <c r="G44" s="47"/>
      <c r="H44" s="48"/>
      <c r="I44" s="46"/>
      <c r="J44" s="20"/>
      <c r="K44" s="20"/>
      <c r="L44" s="20"/>
      <c r="M44" s="20"/>
      <c r="N44" s="47"/>
      <c r="O44" s="49"/>
      <c r="P44" s="46"/>
      <c r="Q44" s="20"/>
      <c r="R44" s="20"/>
      <c r="S44" s="20"/>
      <c r="T44" s="20"/>
      <c r="U44" s="47"/>
      <c r="V44" s="49"/>
      <c r="W44" s="46"/>
      <c r="X44" s="20"/>
      <c r="Y44" s="20"/>
      <c r="Z44" s="20"/>
      <c r="AA44" s="20"/>
      <c r="AB44" s="47"/>
      <c r="AC44" s="49"/>
      <c r="AD44" s="46"/>
      <c r="AE44" s="20"/>
      <c r="AF44" s="20"/>
      <c r="AG44" s="20"/>
      <c r="AH44" s="20"/>
      <c r="AI44" s="47"/>
      <c r="AJ44" s="49"/>
      <c r="AK44" s="46"/>
      <c r="AL44" s="20"/>
      <c r="AM44" s="20"/>
      <c r="AN44" s="20"/>
      <c r="AO44" s="20"/>
      <c r="AP44" s="47"/>
      <c r="AQ44" s="49"/>
      <c r="AR44" s="20"/>
      <c r="AS44" s="20"/>
      <c r="AT44" s="20"/>
      <c r="AU44" s="20"/>
      <c r="AV44" s="20"/>
      <c r="AW44" s="20"/>
      <c r="AX44" s="20"/>
      <c r="AY44" s="49"/>
      <c r="AZ44" s="20"/>
      <c r="BA44" s="20"/>
      <c r="BB44" s="20"/>
      <c r="BC44" s="20"/>
      <c r="BD44" s="20"/>
      <c r="BE44" s="20"/>
      <c r="BF44" s="20"/>
      <c r="BG44" s="49"/>
      <c r="BH44" s="51"/>
      <c r="BI44" s="52"/>
      <c r="BJ44" s="20"/>
      <c r="BK44" s="20"/>
      <c r="BL44" s="20"/>
      <c r="BM44" s="20"/>
      <c r="BN44" s="20"/>
      <c r="BO44" s="49"/>
      <c r="BP44" s="51"/>
      <c r="BQ44" s="46"/>
      <c r="BR44" s="20"/>
      <c r="BS44" s="20"/>
      <c r="BT44" s="20"/>
      <c r="BU44" s="20"/>
      <c r="BV44" s="47"/>
      <c r="BW44" s="48"/>
      <c r="BX44" s="46"/>
      <c r="BY44" s="20"/>
      <c r="BZ44" s="20"/>
      <c r="CA44" s="20"/>
      <c r="CB44" s="20"/>
      <c r="CC44" s="47"/>
      <c r="CD44" s="49"/>
      <c r="CE44" s="46"/>
      <c r="CF44" s="20"/>
      <c r="CG44" s="20"/>
      <c r="CH44" s="20"/>
      <c r="CI44" s="20"/>
      <c r="CJ44" s="47"/>
      <c r="CK44" s="49"/>
      <c r="CL44" s="46"/>
      <c r="CM44" s="20"/>
      <c r="CN44" s="20"/>
      <c r="CO44" s="20"/>
      <c r="CP44" s="20"/>
      <c r="CQ44" s="47"/>
      <c r="CR44" s="49"/>
      <c r="CS44" s="46"/>
      <c r="CT44" s="20"/>
      <c r="CU44" s="20"/>
      <c r="CV44" s="20"/>
      <c r="CW44" s="20"/>
      <c r="CX44" s="47"/>
      <c r="CY44" s="49"/>
      <c r="CZ44" s="46"/>
      <c r="DA44" s="20"/>
      <c r="DB44" s="20"/>
      <c r="DC44" s="20"/>
      <c r="DD44" s="20"/>
      <c r="DE44" s="47"/>
      <c r="DF44" s="49"/>
      <c r="DG44" s="20"/>
      <c r="DH44" s="20"/>
      <c r="DI44" s="20"/>
      <c r="DJ44" s="20"/>
      <c r="DK44" s="20"/>
      <c r="DL44" s="20"/>
      <c r="DM44" s="20"/>
      <c r="DN44" s="49"/>
      <c r="DO44" s="20"/>
      <c r="DP44" s="20"/>
      <c r="DQ44" s="20"/>
      <c r="DR44" s="20"/>
      <c r="DS44" s="20"/>
      <c r="DT44" s="20"/>
      <c r="DU44" s="20"/>
      <c r="DV44" s="49"/>
      <c r="DW44" s="52"/>
      <c r="DX44" s="20"/>
      <c r="DY44" s="20"/>
      <c r="DZ44" s="20"/>
      <c r="EA44" s="20"/>
      <c r="EB44" s="20"/>
      <c r="EC44" s="70"/>
      <c r="ED44" s="51"/>
      <c r="EE44" s="52"/>
      <c r="EF44" s="20"/>
      <c r="EG44" s="20"/>
      <c r="EH44" s="20"/>
      <c r="EI44" s="20"/>
      <c r="EJ44" s="20"/>
      <c r="EK44" s="70"/>
      <c r="EL44" s="51"/>
      <c r="EM44" s="52"/>
      <c r="EN44" s="20"/>
      <c r="EO44" s="20"/>
      <c r="EP44" s="20"/>
      <c r="EQ44" s="20"/>
      <c r="ER44" s="20"/>
      <c r="ES44" s="70"/>
      <c r="ET44" s="57"/>
      <c r="EU44" s="52"/>
      <c r="EV44" s="20"/>
      <c r="EW44" s="20"/>
      <c r="EX44" s="20"/>
      <c r="EY44" s="20"/>
      <c r="EZ44" s="20"/>
      <c r="FA44" s="70"/>
      <c r="FB44" s="57"/>
      <c r="FC44" s="52"/>
      <c r="FD44" s="20"/>
      <c r="FE44" s="20"/>
      <c r="FF44" s="20"/>
      <c r="FG44" s="20"/>
      <c r="FH44" s="20"/>
      <c r="FI44" s="70"/>
      <c r="FJ44" s="57"/>
      <c r="FK44" s="52"/>
      <c r="FL44" s="20"/>
      <c r="FM44" s="20"/>
      <c r="FN44" s="20"/>
      <c r="FO44" s="20"/>
      <c r="FP44" s="20"/>
      <c r="FQ44" s="70"/>
      <c r="FR44" s="57"/>
      <c r="FS44" s="52"/>
      <c r="FT44" s="20"/>
      <c r="FU44" s="20"/>
      <c r="FV44" s="20"/>
      <c r="FW44" s="20"/>
      <c r="FX44" s="20"/>
      <c r="FY44" s="70"/>
      <c r="FZ44" s="57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56"/>
      <c r="GW44" s="57"/>
      <c r="GX44" s="57"/>
      <c r="GY44" s="20"/>
      <c r="GZ44" s="20"/>
      <c r="HA44" s="20"/>
      <c r="HB44" s="20"/>
      <c r="HC44" s="20"/>
      <c r="HD44" s="56"/>
      <c r="HE44" s="57"/>
      <c r="HF44" s="57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73"/>
      <c r="HY44" s="20"/>
      <c r="HZ44" s="20"/>
      <c r="IA44" s="20"/>
      <c r="IB44" s="20"/>
      <c r="IC44" s="20"/>
      <c r="ID44" s="20"/>
      <c r="IE44" s="20"/>
      <c r="IF44" s="73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73"/>
      <c r="JM44" s="20"/>
      <c r="JN44" s="20"/>
      <c r="JO44" s="20"/>
      <c r="JP44" s="20"/>
      <c r="JQ44" s="20"/>
      <c r="JR44" s="20"/>
      <c r="JS44" s="20"/>
      <c r="JT44" s="73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73"/>
      <c r="KY44" s="20"/>
      <c r="KZ44" s="20"/>
      <c r="LA44" s="20"/>
      <c r="LB44" s="20"/>
      <c r="LC44" s="20"/>
      <c r="LD44" s="20"/>
      <c r="LE44" s="20"/>
      <c r="LF44" s="73"/>
      <c r="LG44" s="20"/>
      <c r="LH44" s="20"/>
      <c r="LI44" s="20"/>
      <c r="LJ44" s="20"/>
      <c r="LK44" s="20"/>
      <c r="LL44" s="20"/>
      <c r="LM44" s="20">
        <v>50</v>
      </c>
      <c r="LN44" s="20"/>
      <c r="LO44" s="20"/>
      <c r="LP44" s="20"/>
      <c r="LQ44" s="136"/>
      <c r="LR44" s="136"/>
      <c r="LS44" s="136"/>
      <c r="LT44" s="136">
        <v>59</v>
      </c>
      <c r="LU44" s="136"/>
      <c r="LV44" s="136">
        <v>9</v>
      </c>
      <c r="LW44" s="136">
        <v>13</v>
      </c>
      <c r="LX44" s="136"/>
      <c r="LY44" s="136"/>
      <c r="LZ44" s="136">
        <v>30</v>
      </c>
      <c r="MA44" s="136">
        <v>13</v>
      </c>
      <c r="MB44" s="136">
        <v>7</v>
      </c>
      <c r="MC44" s="137">
        <v>71</v>
      </c>
      <c r="MD44" s="137">
        <v>8</v>
      </c>
      <c r="ME44" s="136">
        <v>40</v>
      </c>
      <c r="MF44" s="137">
        <v>40</v>
      </c>
      <c r="MG44" s="137">
        <v>50</v>
      </c>
      <c r="MH44" s="137">
        <v>15</v>
      </c>
      <c r="MI44" s="137"/>
      <c r="MJ44" s="137">
        <v>40</v>
      </c>
      <c r="MK44" s="137"/>
      <c r="ML44" s="137"/>
      <c r="MM44" s="137">
        <v>52</v>
      </c>
      <c r="MN44" s="137">
        <v>10</v>
      </c>
      <c r="MO44" s="137"/>
      <c r="MP44" s="137">
        <v>42</v>
      </c>
      <c r="MQ44" s="1">
        <v>20</v>
      </c>
      <c r="MR44" s="137">
        <v>0</v>
      </c>
      <c r="MS44" s="1">
        <v>26</v>
      </c>
      <c r="MT44" s="137">
        <v>15</v>
      </c>
      <c r="MU44" s="138">
        <v>0</v>
      </c>
      <c r="MV44" s="139">
        <f t="shared" si="9"/>
        <v>560</v>
      </c>
      <c r="MW44" s="121"/>
    </row>
    <row r="45" spans="1:361" s="58" customFormat="1" ht="18.75">
      <c r="A45" s="126" t="s">
        <v>211</v>
      </c>
      <c r="B45" s="46"/>
      <c r="C45" s="20"/>
      <c r="D45" s="20"/>
      <c r="E45" s="20"/>
      <c r="F45" s="20"/>
      <c r="G45" s="47"/>
      <c r="H45" s="48"/>
      <c r="I45" s="46"/>
      <c r="J45" s="20"/>
      <c r="K45" s="20"/>
      <c r="L45" s="20"/>
      <c r="M45" s="20"/>
      <c r="N45" s="47"/>
      <c r="O45" s="49"/>
      <c r="P45" s="46"/>
      <c r="Q45" s="20"/>
      <c r="R45" s="20"/>
      <c r="S45" s="20"/>
      <c r="T45" s="20">
        <v>107</v>
      </c>
      <c r="U45" s="47"/>
      <c r="V45" s="49"/>
      <c r="W45" s="46"/>
      <c r="X45" s="20"/>
      <c r="Y45" s="20"/>
      <c r="Z45" s="20"/>
      <c r="AA45" s="20">
        <v>50</v>
      </c>
      <c r="AB45" s="47"/>
      <c r="AC45" s="49"/>
      <c r="AD45" s="46"/>
      <c r="AE45" s="20"/>
      <c r="AF45" s="20"/>
      <c r="AG45" s="20"/>
      <c r="AH45" s="20"/>
      <c r="AI45" s="47"/>
      <c r="AJ45" s="49"/>
      <c r="AK45" s="46"/>
      <c r="AL45" s="20"/>
      <c r="AM45" s="20"/>
      <c r="AN45" s="20"/>
      <c r="AO45" s="20">
        <v>100</v>
      </c>
      <c r="AP45" s="47"/>
      <c r="AQ45" s="49"/>
      <c r="AR45" s="20"/>
      <c r="AS45" s="20"/>
      <c r="AT45" s="20"/>
      <c r="AU45" s="20"/>
      <c r="AV45" s="20"/>
      <c r="AW45" s="20">
        <v>40</v>
      </c>
      <c r="AX45" s="20">
        <v>0</v>
      </c>
      <c r="AY45" s="49"/>
      <c r="AZ45" s="20">
        <v>80</v>
      </c>
      <c r="BA45" s="20"/>
      <c r="BB45" s="20"/>
      <c r="BC45" s="20"/>
      <c r="BD45" s="20"/>
      <c r="BE45" s="20">
        <v>36</v>
      </c>
      <c r="BF45" s="20"/>
      <c r="BG45" s="49"/>
      <c r="BH45" s="51">
        <v>30</v>
      </c>
      <c r="BI45" s="52"/>
      <c r="BJ45" s="20"/>
      <c r="BK45" s="20"/>
      <c r="BL45" s="20"/>
      <c r="BM45" s="20">
        <v>60</v>
      </c>
      <c r="BN45" s="20">
        <v>60</v>
      </c>
      <c r="BO45" s="49">
        <v>120</v>
      </c>
      <c r="BP45" s="51">
        <v>135</v>
      </c>
      <c r="BQ45" s="46"/>
      <c r="BR45" s="20"/>
      <c r="BS45" s="20"/>
      <c r="BT45" s="20"/>
      <c r="BU45" s="20"/>
      <c r="BV45" s="47"/>
      <c r="BW45" s="48"/>
      <c r="BX45" s="46"/>
      <c r="BY45" s="20"/>
      <c r="BZ45" s="20"/>
      <c r="CA45" s="20"/>
      <c r="CB45" s="20"/>
      <c r="CC45" s="47"/>
      <c r="CD45" s="49"/>
      <c r="CE45" s="46"/>
      <c r="CF45" s="20"/>
      <c r="CG45" s="20"/>
      <c r="CH45" s="20"/>
      <c r="CI45" s="20">
        <v>107</v>
      </c>
      <c r="CJ45" s="47"/>
      <c r="CK45" s="49"/>
      <c r="CL45" s="46"/>
      <c r="CM45" s="20"/>
      <c r="CN45" s="20"/>
      <c r="CO45" s="20"/>
      <c r="CP45" s="20">
        <v>50</v>
      </c>
      <c r="CQ45" s="47"/>
      <c r="CR45" s="49"/>
      <c r="CS45" s="46"/>
      <c r="CT45" s="20"/>
      <c r="CU45" s="20"/>
      <c r="CV45" s="20"/>
      <c r="CW45" s="20"/>
      <c r="CX45" s="47"/>
      <c r="CY45" s="49"/>
      <c r="CZ45" s="46"/>
      <c r="DA45" s="20"/>
      <c r="DB45" s="20"/>
      <c r="DC45" s="20"/>
      <c r="DD45" s="20">
        <v>100</v>
      </c>
      <c r="DE45" s="47"/>
      <c r="DF45" s="49"/>
      <c r="DG45" s="20"/>
      <c r="DH45" s="20"/>
      <c r="DI45" s="20"/>
      <c r="DJ45" s="20"/>
      <c r="DK45" s="20"/>
      <c r="DL45" s="20">
        <v>40</v>
      </c>
      <c r="DM45" s="20">
        <v>0</v>
      </c>
      <c r="DN45" s="49"/>
      <c r="DO45" s="20">
        <v>80</v>
      </c>
      <c r="DP45" s="20"/>
      <c r="DQ45" s="20"/>
      <c r="DR45" s="20"/>
      <c r="DS45" s="20"/>
      <c r="DT45" s="20">
        <v>36</v>
      </c>
      <c r="DU45" s="20"/>
      <c r="DV45" s="49"/>
      <c r="DW45" s="52"/>
      <c r="DX45" s="20"/>
      <c r="DY45" s="20"/>
      <c r="DZ45" s="20"/>
      <c r="EA45" s="20">
        <v>80</v>
      </c>
      <c r="EB45" s="20"/>
      <c r="EC45" s="70">
        <v>80</v>
      </c>
      <c r="ED45" s="51">
        <v>70</v>
      </c>
      <c r="EE45" s="52"/>
      <c r="EF45" s="20"/>
      <c r="EG45" s="20"/>
      <c r="EH45" s="20"/>
      <c r="EI45" s="20">
        <v>11</v>
      </c>
      <c r="EJ45" s="20"/>
      <c r="EK45" s="70"/>
      <c r="EL45" s="51"/>
      <c r="EM45" s="52"/>
      <c r="EN45" s="20"/>
      <c r="EO45" s="20"/>
      <c r="EP45" s="20"/>
      <c r="EQ45" s="20">
        <v>174</v>
      </c>
      <c r="ER45" s="20"/>
      <c r="ES45" s="70">
        <v>174</v>
      </c>
      <c r="ET45" s="57">
        <v>150</v>
      </c>
      <c r="EU45" s="52"/>
      <c r="EV45" s="20"/>
      <c r="EW45" s="20"/>
      <c r="EX45" s="20"/>
      <c r="EY45" s="20">
        <v>50</v>
      </c>
      <c r="EZ45" s="20"/>
      <c r="FA45" s="70">
        <v>50</v>
      </c>
      <c r="FB45" s="57">
        <v>60</v>
      </c>
      <c r="FC45" s="52"/>
      <c r="FD45" s="20"/>
      <c r="FE45" s="20"/>
      <c r="FF45" s="20"/>
      <c r="FG45" s="20">
        <v>50</v>
      </c>
      <c r="FH45" s="20"/>
      <c r="FI45" s="70">
        <v>50</v>
      </c>
      <c r="FJ45" s="57">
        <v>60</v>
      </c>
      <c r="FK45" s="52"/>
      <c r="FL45" s="20"/>
      <c r="FM45" s="20"/>
      <c r="FN45" s="20"/>
      <c r="FO45" s="20">
        <v>65</v>
      </c>
      <c r="FP45" s="20"/>
      <c r="FQ45" s="70">
        <v>65</v>
      </c>
      <c r="FR45" s="57">
        <v>60</v>
      </c>
      <c r="FS45" s="52"/>
      <c r="FT45" s="20"/>
      <c r="FU45" s="20"/>
      <c r="FV45" s="20"/>
      <c r="FW45" s="20">
        <v>47</v>
      </c>
      <c r="FX45" s="20"/>
      <c r="FY45" s="70">
        <v>47</v>
      </c>
      <c r="FZ45" s="57">
        <v>30</v>
      </c>
      <c r="GA45" s="20"/>
      <c r="GB45" s="20"/>
      <c r="GC45" s="20"/>
      <c r="GD45" s="20"/>
      <c r="GE45" s="20">
        <v>80</v>
      </c>
      <c r="GF45" s="20"/>
      <c r="GG45" s="20">
        <v>80</v>
      </c>
      <c r="GH45" s="20">
        <v>50</v>
      </c>
      <c r="GI45" s="20"/>
      <c r="GJ45" s="20"/>
      <c r="GK45" s="20"/>
      <c r="GL45" s="20"/>
      <c r="GM45" s="20">
        <v>38</v>
      </c>
      <c r="GN45" s="20"/>
      <c r="GO45" s="20">
        <v>38</v>
      </c>
      <c r="GP45" s="20">
        <v>30</v>
      </c>
      <c r="GQ45" s="20"/>
      <c r="GR45" s="20"/>
      <c r="GS45" s="20"/>
      <c r="GT45" s="20"/>
      <c r="GU45" s="20">
        <v>26</v>
      </c>
      <c r="GV45" s="56"/>
      <c r="GW45" s="57">
        <v>26</v>
      </c>
      <c r="GX45" s="57">
        <v>20</v>
      </c>
      <c r="GY45" s="20"/>
      <c r="GZ45" s="20"/>
      <c r="HA45" s="20"/>
      <c r="HB45" s="20"/>
      <c r="HC45" s="20">
        <v>38</v>
      </c>
      <c r="HD45" s="56"/>
      <c r="HE45" s="57">
        <v>38</v>
      </c>
      <c r="HF45" s="57">
        <v>30</v>
      </c>
      <c r="HG45" s="20"/>
      <c r="HH45" s="20"/>
      <c r="HI45" s="20"/>
      <c r="HJ45" s="20"/>
      <c r="HK45" s="20">
        <v>30</v>
      </c>
      <c r="HL45" s="20"/>
      <c r="HM45" s="20">
        <v>30</v>
      </c>
      <c r="HN45" s="20">
        <v>30</v>
      </c>
      <c r="HO45" s="20"/>
      <c r="HP45" s="20"/>
      <c r="HQ45" s="20"/>
      <c r="HR45" s="20"/>
      <c r="HS45" s="20">
        <v>35</v>
      </c>
      <c r="HT45" s="20"/>
      <c r="HU45" s="20">
        <v>35</v>
      </c>
      <c r="HV45" s="20">
        <v>30</v>
      </c>
      <c r="HW45" s="20"/>
      <c r="HX45" s="20"/>
      <c r="HY45" s="20"/>
      <c r="HZ45" s="20"/>
      <c r="IA45" s="20">
        <v>38</v>
      </c>
      <c r="IB45" s="20"/>
      <c r="IC45" s="20">
        <v>38</v>
      </c>
      <c r="ID45" s="20">
        <v>30</v>
      </c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>
        <v>25</v>
      </c>
      <c r="IR45" s="20"/>
      <c r="IS45" s="20">
        <v>25</v>
      </c>
      <c r="IT45" s="20">
        <v>20</v>
      </c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>
        <v>100</v>
      </c>
      <c r="KD45" s="20">
        <v>0</v>
      </c>
      <c r="KE45" s="20">
        <v>100</v>
      </c>
      <c r="KF45" s="20">
        <v>70</v>
      </c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>
        <v>44</v>
      </c>
      <c r="LN45" s="20"/>
      <c r="LO45" s="20"/>
      <c r="LP45" s="20">
        <v>30</v>
      </c>
      <c r="LQ45" s="136">
        <v>30</v>
      </c>
      <c r="LR45" s="136"/>
      <c r="LS45" s="136"/>
      <c r="LT45" s="136">
        <v>70</v>
      </c>
      <c r="LU45" s="136">
        <v>40</v>
      </c>
      <c r="LV45" s="136"/>
      <c r="LW45" s="136">
        <v>50</v>
      </c>
      <c r="LX45" s="136"/>
      <c r="LY45" s="136">
        <v>83</v>
      </c>
      <c r="LZ45" s="136">
        <v>30</v>
      </c>
      <c r="MA45" s="136">
        <v>85</v>
      </c>
      <c r="MB45" s="136">
        <v>40</v>
      </c>
      <c r="MC45" s="137">
        <v>100</v>
      </c>
      <c r="MD45" s="137">
        <v>16</v>
      </c>
      <c r="ME45" s="136">
        <v>11</v>
      </c>
      <c r="MF45" s="137"/>
      <c r="MG45" s="137">
        <v>34</v>
      </c>
      <c r="MH45" s="137"/>
      <c r="MI45" s="137">
        <v>30</v>
      </c>
      <c r="MJ45" s="137"/>
      <c r="MK45" s="137"/>
      <c r="ML45" s="137"/>
      <c r="MM45" s="137"/>
      <c r="MN45" s="137"/>
      <c r="MO45" s="137"/>
      <c r="MP45" s="137"/>
      <c r="MQ45" s="1">
        <v>0</v>
      </c>
      <c r="MR45" s="137">
        <v>30</v>
      </c>
      <c r="MS45" s="1">
        <v>0</v>
      </c>
      <c r="MT45" s="137">
        <v>0</v>
      </c>
      <c r="MU45" s="138">
        <v>0</v>
      </c>
      <c r="MV45" s="139">
        <f t="shared" si="9"/>
        <v>649</v>
      </c>
      <c r="MW45" s="121"/>
    </row>
    <row r="46" spans="1:361" s="58" customFormat="1" ht="19.5" thickBot="1">
      <c r="A46" s="126" t="s">
        <v>212</v>
      </c>
      <c r="B46" s="46"/>
      <c r="C46" s="20"/>
      <c r="D46" s="20"/>
      <c r="E46" s="20"/>
      <c r="F46" s="20"/>
      <c r="G46" s="47">
        <v>100</v>
      </c>
      <c r="H46" s="48"/>
      <c r="I46" s="46"/>
      <c r="J46" s="20"/>
      <c r="K46" s="20"/>
      <c r="L46" s="20"/>
      <c r="M46" s="20"/>
      <c r="N46" s="47">
        <v>50</v>
      </c>
      <c r="O46" s="49">
        <f>I46+J46+K46+L46+M46+N46</f>
        <v>50</v>
      </c>
      <c r="P46" s="46"/>
      <c r="Q46" s="20"/>
      <c r="R46" s="20"/>
      <c r="S46" s="20"/>
      <c r="T46" s="20"/>
      <c r="U46" s="47">
        <v>98</v>
      </c>
      <c r="V46" s="49">
        <f>P46+Q46+R46+S46+T46+U46</f>
        <v>98</v>
      </c>
      <c r="W46" s="46"/>
      <c r="X46" s="20"/>
      <c r="Y46" s="20"/>
      <c r="Z46" s="20"/>
      <c r="AA46" s="20">
        <v>105</v>
      </c>
      <c r="AB46" s="47"/>
      <c r="AC46" s="49"/>
      <c r="AD46" s="46"/>
      <c r="AE46" s="20"/>
      <c r="AF46" s="20"/>
      <c r="AG46" s="20"/>
      <c r="AH46" s="20"/>
      <c r="AI46" s="47">
        <v>40</v>
      </c>
      <c r="AJ46" s="49"/>
      <c r="AK46" s="46"/>
      <c r="AL46" s="20"/>
      <c r="AM46" s="20"/>
      <c r="AN46" s="20"/>
      <c r="AO46" s="20"/>
      <c r="AP46" s="47">
        <v>79</v>
      </c>
      <c r="AQ46" s="49"/>
      <c r="AR46" s="20"/>
      <c r="AS46" s="20"/>
      <c r="AT46" s="20"/>
      <c r="AU46" s="20"/>
      <c r="AV46" s="20"/>
      <c r="AW46" s="20"/>
      <c r="AX46" s="20">
        <v>44</v>
      </c>
      <c r="AY46" s="49"/>
      <c r="AZ46" s="20">
        <v>65</v>
      </c>
      <c r="BA46" s="20"/>
      <c r="BB46" s="20"/>
      <c r="BC46" s="20"/>
      <c r="BD46" s="20"/>
      <c r="BE46" s="20"/>
      <c r="BF46" s="20">
        <v>64</v>
      </c>
      <c r="BG46" s="49"/>
      <c r="BH46" s="51">
        <v>80</v>
      </c>
      <c r="BI46" s="52"/>
      <c r="BJ46" s="20"/>
      <c r="BK46" s="20"/>
      <c r="BL46" s="20"/>
      <c r="BM46" s="20"/>
      <c r="BN46" s="20">
        <v>150</v>
      </c>
      <c r="BO46" s="49">
        <v>150</v>
      </c>
      <c r="BP46" s="51">
        <v>180</v>
      </c>
      <c r="BQ46" s="46"/>
      <c r="BR46" s="20"/>
      <c r="BS46" s="20"/>
      <c r="BT46" s="20"/>
      <c r="BU46" s="20"/>
      <c r="BV46" s="47">
        <v>100</v>
      </c>
      <c r="BW46" s="48"/>
      <c r="BX46" s="46"/>
      <c r="BY46" s="20"/>
      <c r="BZ46" s="20"/>
      <c r="CA46" s="20"/>
      <c r="CB46" s="20"/>
      <c r="CC46" s="47">
        <v>50</v>
      </c>
      <c r="CD46" s="49">
        <f>BX46+BY46+BZ46+CA46+CB46+CC46</f>
        <v>50</v>
      </c>
      <c r="CE46" s="46"/>
      <c r="CF46" s="20"/>
      <c r="CG46" s="20"/>
      <c r="CH46" s="20"/>
      <c r="CI46" s="20"/>
      <c r="CJ46" s="47">
        <v>98</v>
      </c>
      <c r="CK46" s="49">
        <f>CE46+CF46+CG46+CH46+CI46+CJ46</f>
        <v>98</v>
      </c>
      <c r="CL46" s="46"/>
      <c r="CM46" s="20"/>
      <c r="CN46" s="20"/>
      <c r="CO46" s="20"/>
      <c r="CP46" s="20">
        <v>105</v>
      </c>
      <c r="CQ46" s="47"/>
      <c r="CR46" s="49"/>
      <c r="CS46" s="46"/>
      <c r="CT46" s="20"/>
      <c r="CU46" s="20"/>
      <c r="CV46" s="20"/>
      <c r="CW46" s="20"/>
      <c r="CX46" s="47">
        <v>40</v>
      </c>
      <c r="CY46" s="49"/>
      <c r="CZ46" s="46"/>
      <c r="DA46" s="20"/>
      <c r="DB46" s="20"/>
      <c r="DC46" s="20"/>
      <c r="DD46" s="20"/>
      <c r="DE46" s="47">
        <v>79</v>
      </c>
      <c r="DF46" s="49"/>
      <c r="DG46" s="20"/>
      <c r="DH46" s="20"/>
      <c r="DI46" s="20"/>
      <c r="DJ46" s="20"/>
      <c r="DK46" s="20"/>
      <c r="DL46" s="20"/>
      <c r="DM46" s="20">
        <v>44</v>
      </c>
      <c r="DN46" s="49"/>
      <c r="DO46" s="20">
        <v>65</v>
      </c>
      <c r="DP46" s="20"/>
      <c r="DQ46" s="20"/>
      <c r="DR46" s="20"/>
      <c r="DS46" s="20"/>
      <c r="DT46" s="20"/>
      <c r="DU46" s="20">
        <v>64</v>
      </c>
      <c r="DV46" s="49"/>
      <c r="DW46" s="52"/>
      <c r="DX46" s="20"/>
      <c r="DY46" s="20"/>
      <c r="DZ46" s="20"/>
      <c r="EA46" s="20"/>
      <c r="EB46" s="20"/>
      <c r="EC46" s="70"/>
      <c r="ED46" s="51"/>
      <c r="EE46" s="52"/>
      <c r="EF46" s="20"/>
      <c r="EG46" s="20"/>
      <c r="EH46" s="20"/>
      <c r="EI46" s="20"/>
      <c r="EJ46" s="20">
        <v>50</v>
      </c>
      <c r="EK46" s="70"/>
      <c r="EL46" s="51"/>
      <c r="EM46" s="52"/>
      <c r="EN46" s="20"/>
      <c r="EO46" s="20"/>
      <c r="EP46" s="20"/>
      <c r="EQ46" s="20"/>
      <c r="ER46" s="20">
        <v>44</v>
      </c>
      <c r="ES46" s="70">
        <v>44</v>
      </c>
      <c r="ET46" s="57">
        <v>30</v>
      </c>
      <c r="EU46" s="52"/>
      <c r="EV46" s="20"/>
      <c r="EW46" s="20"/>
      <c r="EX46" s="20"/>
      <c r="EY46" s="20"/>
      <c r="EZ46" s="20">
        <v>56</v>
      </c>
      <c r="FA46" s="70">
        <v>56</v>
      </c>
      <c r="FB46" s="57">
        <v>60</v>
      </c>
      <c r="FC46" s="52"/>
      <c r="FD46" s="20"/>
      <c r="FE46" s="20"/>
      <c r="FF46" s="20"/>
      <c r="FG46" s="20"/>
      <c r="FH46" s="20"/>
      <c r="FI46" s="70">
        <v>30</v>
      </c>
      <c r="FJ46" s="57">
        <v>30</v>
      </c>
      <c r="FK46" s="52"/>
      <c r="FL46" s="20"/>
      <c r="FM46" s="20"/>
      <c r="FN46" s="20"/>
      <c r="FO46" s="20"/>
      <c r="FP46" s="20">
        <v>30</v>
      </c>
      <c r="FQ46" s="70">
        <v>30</v>
      </c>
      <c r="FR46" s="57">
        <v>50</v>
      </c>
      <c r="FS46" s="52"/>
      <c r="FT46" s="20"/>
      <c r="FU46" s="20"/>
      <c r="FV46" s="20"/>
      <c r="FW46" s="20"/>
      <c r="FX46" s="20">
        <v>26</v>
      </c>
      <c r="FY46" s="70">
        <v>26</v>
      </c>
      <c r="FZ46" s="57">
        <v>20</v>
      </c>
      <c r="GA46" s="20"/>
      <c r="GB46" s="20"/>
      <c r="GC46" s="20"/>
      <c r="GD46" s="20"/>
      <c r="GE46" s="20"/>
      <c r="GF46" s="20">
        <v>36</v>
      </c>
      <c r="GG46" s="20">
        <v>36</v>
      </c>
      <c r="GH46" s="20">
        <v>40</v>
      </c>
      <c r="GI46" s="20"/>
      <c r="GJ46" s="20"/>
      <c r="GK46" s="20"/>
      <c r="GL46" s="20"/>
      <c r="GM46" s="20"/>
      <c r="GN46" s="20">
        <v>33</v>
      </c>
      <c r="GO46" s="20">
        <v>33</v>
      </c>
      <c r="GP46" s="20">
        <v>30</v>
      </c>
      <c r="GQ46" s="20"/>
      <c r="GR46" s="20"/>
      <c r="GS46" s="20"/>
      <c r="GT46" s="20"/>
      <c r="GU46" s="20"/>
      <c r="GV46" s="56">
        <v>50</v>
      </c>
      <c r="GW46" s="57">
        <v>50</v>
      </c>
      <c r="GX46" s="57">
        <v>50</v>
      </c>
      <c r="GY46" s="20"/>
      <c r="GZ46" s="20"/>
      <c r="HA46" s="20"/>
      <c r="HB46" s="20"/>
      <c r="HC46" s="20"/>
      <c r="HD46" s="56">
        <v>32</v>
      </c>
      <c r="HE46" s="57">
        <v>32</v>
      </c>
      <c r="HF46" s="57">
        <v>35</v>
      </c>
      <c r="HG46" s="20"/>
      <c r="HH46" s="20"/>
      <c r="HI46" s="20"/>
      <c r="HJ46" s="20"/>
      <c r="HK46" s="20"/>
      <c r="HL46" s="20">
        <v>22</v>
      </c>
      <c r="HM46" s="20">
        <v>22</v>
      </c>
      <c r="HN46" s="20">
        <v>30</v>
      </c>
      <c r="HO46" s="20"/>
      <c r="HP46" s="20"/>
      <c r="HQ46" s="20"/>
      <c r="HR46" s="20"/>
      <c r="HS46" s="20"/>
      <c r="HT46" s="20">
        <v>50</v>
      </c>
      <c r="HU46" s="20">
        <v>50</v>
      </c>
      <c r="HV46" s="20">
        <v>70</v>
      </c>
      <c r="HW46" s="20"/>
      <c r="HX46" s="20"/>
      <c r="HY46" s="20"/>
      <c r="HZ46" s="20"/>
      <c r="IA46" s="20"/>
      <c r="IB46" s="20">
        <v>44</v>
      </c>
      <c r="IC46" s="20">
        <v>44</v>
      </c>
      <c r="ID46" s="20">
        <v>50</v>
      </c>
      <c r="IE46" s="20"/>
      <c r="IF46" s="20"/>
      <c r="IG46" s="20"/>
      <c r="IH46" s="20"/>
      <c r="II46" s="20"/>
      <c r="IJ46" s="20">
        <v>255</v>
      </c>
      <c r="IK46" s="20">
        <v>255</v>
      </c>
      <c r="IL46" s="20">
        <v>200</v>
      </c>
      <c r="IM46" s="20"/>
      <c r="IN46" s="20"/>
      <c r="IO46" s="20"/>
      <c r="IP46" s="20"/>
      <c r="IQ46" s="20"/>
      <c r="IR46" s="20">
        <v>150</v>
      </c>
      <c r="IS46" s="20">
        <v>150</v>
      </c>
      <c r="IT46" s="20">
        <v>200</v>
      </c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136">
        <v>250</v>
      </c>
      <c r="LR46" s="136">
        <v>145</v>
      </c>
      <c r="LS46" s="136">
        <v>70</v>
      </c>
      <c r="LT46" s="136">
        <v>300</v>
      </c>
      <c r="LU46" s="136">
        <v>130</v>
      </c>
      <c r="LV46" s="136">
        <v>80</v>
      </c>
      <c r="LW46" s="136">
        <v>120</v>
      </c>
      <c r="LX46" s="136">
        <v>190</v>
      </c>
      <c r="LY46" s="136">
        <v>105</v>
      </c>
      <c r="LZ46" s="136">
        <v>82</v>
      </c>
      <c r="MA46" s="136">
        <v>164</v>
      </c>
      <c r="MB46" s="136">
        <v>91</v>
      </c>
      <c r="MC46" s="137"/>
      <c r="MD46" s="137">
        <v>100</v>
      </c>
      <c r="ME46" s="136">
        <v>70</v>
      </c>
      <c r="MF46" s="137">
        <v>200</v>
      </c>
      <c r="MG46" s="137">
        <v>156</v>
      </c>
      <c r="MH46" s="137">
        <v>67</v>
      </c>
      <c r="MI46" s="137">
        <v>185</v>
      </c>
      <c r="MJ46" s="137">
        <v>240</v>
      </c>
      <c r="MK46" s="137">
        <v>237</v>
      </c>
      <c r="ML46" s="137">
        <v>150</v>
      </c>
      <c r="MM46" s="137">
        <v>175</v>
      </c>
      <c r="MN46" s="137">
        <v>147</v>
      </c>
      <c r="MO46" s="137">
        <v>172</v>
      </c>
      <c r="MP46" s="137">
        <v>156</v>
      </c>
      <c r="MQ46" s="1">
        <v>200</v>
      </c>
      <c r="MR46" s="137">
        <v>170</v>
      </c>
      <c r="MS46" s="1">
        <v>177</v>
      </c>
      <c r="MT46" s="137">
        <v>124</v>
      </c>
      <c r="MU46" s="138">
        <v>50</v>
      </c>
      <c r="MV46" s="139">
        <f t="shared" si="9"/>
        <v>4503</v>
      </c>
      <c r="MW46" s="121"/>
    </row>
    <row r="47" spans="1:361" s="58" customFormat="1" ht="19.5" thickBot="1">
      <c r="A47" s="126" t="s">
        <v>213</v>
      </c>
      <c r="B47" s="46"/>
      <c r="C47" s="20"/>
      <c r="D47" s="20"/>
      <c r="E47" s="20"/>
      <c r="F47" s="20"/>
      <c r="G47" s="47"/>
      <c r="H47" s="48"/>
      <c r="I47" s="46"/>
      <c r="J47" s="20"/>
      <c r="K47" s="20"/>
      <c r="L47" s="20"/>
      <c r="M47" s="20"/>
      <c r="N47" s="47">
        <v>15</v>
      </c>
      <c r="O47" s="49">
        <f>I47+J47+K47+L47+M47+N47</f>
        <v>15</v>
      </c>
      <c r="P47" s="46"/>
      <c r="Q47" s="20"/>
      <c r="R47" s="20"/>
      <c r="S47" s="20"/>
      <c r="T47" s="20"/>
      <c r="U47" s="47">
        <v>25</v>
      </c>
      <c r="V47" s="49">
        <f>P47+Q47+R47+S47+T47+U47</f>
        <v>25</v>
      </c>
      <c r="W47" s="46"/>
      <c r="X47" s="20"/>
      <c r="Y47" s="20"/>
      <c r="Z47" s="20"/>
      <c r="AA47" s="20"/>
      <c r="AB47" s="47">
        <v>30</v>
      </c>
      <c r="AC47" s="49"/>
      <c r="AD47" s="46"/>
      <c r="AE47" s="20"/>
      <c r="AF47" s="20"/>
      <c r="AG47" s="20"/>
      <c r="AH47" s="20"/>
      <c r="AI47" s="47"/>
      <c r="AJ47" s="49"/>
      <c r="AK47" s="46"/>
      <c r="AL47" s="20"/>
      <c r="AM47" s="20"/>
      <c r="AN47" s="20"/>
      <c r="AO47" s="20"/>
      <c r="AP47" s="47">
        <v>14</v>
      </c>
      <c r="AQ47" s="49"/>
      <c r="AR47" s="20"/>
      <c r="AS47" s="20"/>
      <c r="AT47" s="20"/>
      <c r="AU47" s="20"/>
      <c r="AV47" s="20"/>
      <c r="AW47" s="20"/>
      <c r="AX47" s="20">
        <v>20</v>
      </c>
      <c r="AY47" s="49"/>
      <c r="AZ47" s="20">
        <v>25</v>
      </c>
      <c r="BA47" s="20"/>
      <c r="BB47" s="20"/>
      <c r="BC47" s="20"/>
      <c r="BD47" s="20"/>
      <c r="BE47" s="20"/>
      <c r="BF47" s="20"/>
      <c r="BG47" s="49"/>
      <c r="BH47" s="51"/>
      <c r="BI47" s="52"/>
      <c r="BJ47" s="20"/>
      <c r="BK47" s="20"/>
      <c r="BL47" s="20"/>
      <c r="BM47" s="20"/>
      <c r="BN47" s="20"/>
      <c r="BO47" s="49">
        <v>0</v>
      </c>
      <c r="BP47" s="51">
        <v>0</v>
      </c>
      <c r="BQ47" s="46"/>
      <c r="BR47" s="20"/>
      <c r="BS47" s="20"/>
      <c r="BT47" s="20"/>
      <c r="BU47" s="20"/>
      <c r="BV47" s="47"/>
      <c r="BW47" s="48"/>
      <c r="BX47" s="46"/>
      <c r="BY47" s="20"/>
      <c r="BZ47" s="20"/>
      <c r="CA47" s="20"/>
      <c r="CB47" s="20"/>
      <c r="CC47" s="47">
        <v>15</v>
      </c>
      <c r="CD47" s="49">
        <f>BX47+BY47+BZ47+CA47+CB47+CC47</f>
        <v>15</v>
      </c>
      <c r="CE47" s="46"/>
      <c r="CF47" s="20"/>
      <c r="CG47" s="20"/>
      <c r="CH47" s="20"/>
      <c r="CI47" s="20"/>
      <c r="CJ47" s="47">
        <v>25</v>
      </c>
      <c r="CK47" s="49">
        <f>CE47+CF47+CG47+CH47+CI47+CJ47</f>
        <v>25</v>
      </c>
      <c r="CL47" s="46"/>
      <c r="CM47" s="20"/>
      <c r="CN47" s="20"/>
      <c r="CO47" s="20"/>
      <c r="CP47" s="20"/>
      <c r="CQ47" s="47">
        <v>30</v>
      </c>
      <c r="CR47" s="49"/>
      <c r="CS47" s="46"/>
      <c r="CT47" s="20"/>
      <c r="CU47" s="20"/>
      <c r="CV47" s="20"/>
      <c r="CW47" s="20"/>
      <c r="CX47" s="47"/>
      <c r="CY47" s="49"/>
      <c r="CZ47" s="46"/>
      <c r="DA47" s="20"/>
      <c r="DB47" s="20"/>
      <c r="DC47" s="20"/>
      <c r="DD47" s="20"/>
      <c r="DE47" s="47">
        <v>14</v>
      </c>
      <c r="DF47" s="49"/>
      <c r="DG47" s="20"/>
      <c r="DH47" s="20"/>
      <c r="DI47" s="20"/>
      <c r="DJ47" s="20"/>
      <c r="DK47" s="20"/>
      <c r="DL47" s="20"/>
      <c r="DM47" s="20">
        <v>20</v>
      </c>
      <c r="DN47" s="49"/>
      <c r="DO47" s="20">
        <v>25</v>
      </c>
      <c r="DP47" s="20"/>
      <c r="DQ47" s="20"/>
      <c r="DR47" s="20"/>
      <c r="DS47" s="20"/>
      <c r="DT47" s="20"/>
      <c r="DU47" s="20"/>
      <c r="DV47" s="49"/>
      <c r="DW47" s="52"/>
      <c r="DX47" s="20"/>
      <c r="DY47" s="20"/>
      <c r="DZ47" s="20"/>
      <c r="EA47" s="20"/>
      <c r="EB47" s="20">
        <v>57</v>
      </c>
      <c r="EC47" s="70">
        <v>57</v>
      </c>
      <c r="ED47" s="51">
        <v>0</v>
      </c>
      <c r="EE47" s="52"/>
      <c r="EF47" s="20"/>
      <c r="EG47" s="20"/>
      <c r="EH47" s="20"/>
      <c r="EI47" s="20"/>
      <c r="EJ47" s="20"/>
      <c r="EK47" s="70"/>
      <c r="EL47" s="51"/>
      <c r="EM47" s="52"/>
      <c r="EN47" s="20"/>
      <c r="EO47" s="20"/>
      <c r="EP47" s="20"/>
      <c r="EQ47" s="20"/>
      <c r="ER47" s="20">
        <v>48</v>
      </c>
      <c r="ES47" s="70">
        <v>48</v>
      </c>
      <c r="ET47" s="57">
        <v>30</v>
      </c>
      <c r="EU47" s="52"/>
      <c r="EV47" s="20"/>
      <c r="EW47" s="20"/>
      <c r="EX47" s="20"/>
      <c r="EY47" s="20"/>
      <c r="EZ47" s="20">
        <v>20</v>
      </c>
      <c r="FA47" s="70">
        <v>20</v>
      </c>
      <c r="FB47" s="57"/>
      <c r="FC47" s="52"/>
      <c r="FD47" s="20"/>
      <c r="FE47" s="20"/>
      <c r="FF47" s="20"/>
      <c r="FG47" s="20"/>
      <c r="FH47" s="20">
        <v>7</v>
      </c>
      <c r="FI47" s="70">
        <v>7</v>
      </c>
      <c r="FJ47" s="57">
        <v>20</v>
      </c>
      <c r="FK47" s="52"/>
      <c r="FL47" s="20"/>
      <c r="FM47" s="20"/>
      <c r="FN47" s="20"/>
      <c r="FO47" s="20"/>
      <c r="FP47" s="20">
        <v>50</v>
      </c>
      <c r="FQ47" s="70">
        <v>50</v>
      </c>
      <c r="FR47" s="57">
        <v>40</v>
      </c>
      <c r="FS47" s="52"/>
      <c r="FT47" s="20"/>
      <c r="FU47" s="20"/>
      <c r="FV47" s="20"/>
      <c r="FW47" s="20"/>
      <c r="FX47" s="20">
        <v>13</v>
      </c>
      <c r="FY47" s="70">
        <v>13</v>
      </c>
      <c r="FZ47" s="57">
        <v>10</v>
      </c>
      <c r="GA47" s="20"/>
      <c r="GB47" s="20"/>
      <c r="GC47" s="20"/>
      <c r="GD47" s="20"/>
      <c r="GE47" s="20"/>
      <c r="GF47" s="20">
        <v>28</v>
      </c>
      <c r="GG47" s="20">
        <v>28</v>
      </c>
      <c r="GH47" s="20">
        <v>20</v>
      </c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56">
        <v>33</v>
      </c>
      <c r="GW47" s="57">
        <v>33</v>
      </c>
      <c r="GX47" s="57">
        <v>30</v>
      </c>
      <c r="GY47" s="20"/>
      <c r="GZ47" s="20"/>
      <c r="HA47" s="20"/>
      <c r="HB47" s="20"/>
      <c r="HC47" s="20"/>
      <c r="HD47" s="56">
        <v>7</v>
      </c>
      <c r="HE47" s="57">
        <v>7</v>
      </c>
      <c r="HF47" s="57">
        <v>10</v>
      </c>
      <c r="HG47" s="20"/>
      <c r="HH47" s="20"/>
      <c r="HI47" s="20"/>
      <c r="HJ47" s="20"/>
      <c r="HK47" s="20"/>
      <c r="HL47" s="20">
        <v>10</v>
      </c>
      <c r="HM47" s="20">
        <v>10</v>
      </c>
      <c r="HN47" s="20">
        <v>15</v>
      </c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>
        <v>15</v>
      </c>
      <c r="IC47" s="20">
        <v>15</v>
      </c>
      <c r="ID47" s="20">
        <v>25</v>
      </c>
      <c r="IE47" s="20"/>
      <c r="IF47" s="25"/>
      <c r="IG47" s="20"/>
      <c r="IH47" s="20"/>
      <c r="II47" s="20"/>
      <c r="IJ47" s="20">
        <v>30</v>
      </c>
      <c r="IK47" s="20">
        <v>30</v>
      </c>
      <c r="IL47" s="20">
        <v>30</v>
      </c>
      <c r="IM47" s="20"/>
      <c r="IN47" s="20"/>
      <c r="IO47" s="20"/>
      <c r="IP47" s="20"/>
      <c r="IQ47" s="20"/>
      <c r="IR47" s="20">
        <v>12</v>
      </c>
      <c r="IS47" s="20">
        <v>12</v>
      </c>
      <c r="IT47" s="20">
        <v>10</v>
      </c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5"/>
      <c r="JU47" s="20"/>
      <c r="JV47" s="20"/>
      <c r="JW47" s="20"/>
      <c r="JX47" s="20"/>
      <c r="JY47" s="20"/>
      <c r="JZ47" s="20"/>
      <c r="KA47" s="20"/>
      <c r="KB47" s="20"/>
      <c r="KC47" s="20"/>
      <c r="KD47" s="20">
        <v>20</v>
      </c>
      <c r="KE47" s="20">
        <v>20</v>
      </c>
      <c r="KF47" s="20">
        <v>15</v>
      </c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5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136">
        <v>33</v>
      </c>
      <c r="LR47" s="136"/>
      <c r="LS47" s="136">
        <v>30</v>
      </c>
      <c r="LT47" s="136"/>
      <c r="LU47" s="136">
        <v>22</v>
      </c>
      <c r="LV47" s="136">
        <v>20</v>
      </c>
      <c r="LW47" s="136"/>
      <c r="LX47" s="136">
        <v>14</v>
      </c>
      <c r="LY47" s="136"/>
      <c r="LZ47" s="136">
        <v>28</v>
      </c>
      <c r="MA47" s="136">
        <v>15</v>
      </c>
      <c r="MB47" s="136">
        <v>20</v>
      </c>
      <c r="MC47" s="137">
        <v>278</v>
      </c>
      <c r="MD47" s="137">
        <v>15</v>
      </c>
      <c r="ME47" s="136">
        <v>14</v>
      </c>
      <c r="MF47" s="137"/>
      <c r="MG47" s="137">
        <v>50</v>
      </c>
      <c r="MH47" s="137"/>
      <c r="MI47" s="137"/>
      <c r="MJ47" s="137">
        <v>8</v>
      </c>
      <c r="MK47" s="137"/>
      <c r="ML47" s="137"/>
      <c r="MM47" s="137"/>
      <c r="MN47" s="137">
        <v>10</v>
      </c>
      <c r="MO47" s="137">
        <v>9</v>
      </c>
      <c r="MP47" s="137"/>
      <c r="MQ47" s="1">
        <v>10</v>
      </c>
      <c r="MR47" s="137">
        <v>0</v>
      </c>
      <c r="MS47" s="1">
        <v>9</v>
      </c>
      <c r="MT47" s="137">
        <v>0</v>
      </c>
      <c r="MU47" s="138">
        <v>5</v>
      </c>
      <c r="MV47" s="139">
        <f t="shared" si="9"/>
        <v>590</v>
      </c>
      <c r="MW47" s="121"/>
    </row>
    <row r="48" spans="1:361" s="58" customFormat="1" ht="18.75">
      <c r="A48" s="126" t="s">
        <v>214</v>
      </c>
      <c r="B48" s="46"/>
      <c r="C48" s="20"/>
      <c r="D48" s="20"/>
      <c r="E48" s="20"/>
      <c r="F48" s="20"/>
      <c r="G48" s="47">
        <v>50</v>
      </c>
      <c r="H48" s="48"/>
      <c r="I48" s="46"/>
      <c r="J48" s="20"/>
      <c r="K48" s="20"/>
      <c r="L48" s="20"/>
      <c r="M48" s="20">
        <v>20</v>
      </c>
      <c r="N48" s="47"/>
      <c r="O48" s="49">
        <f>I48+J48+K48+L48+M48+N48</f>
        <v>20</v>
      </c>
      <c r="P48" s="46"/>
      <c r="Q48" s="20"/>
      <c r="R48" s="20"/>
      <c r="S48" s="20"/>
      <c r="T48" s="20"/>
      <c r="U48" s="47"/>
      <c r="V48" s="49">
        <f>P48+Q48+R48+S48+T48+U48</f>
        <v>0</v>
      </c>
      <c r="W48" s="46"/>
      <c r="X48" s="20"/>
      <c r="Y48" s="20"/>
      <c r="Z48" s="20"/>
      <c r="AA48" s="20">
        <v>25</v>
      </c>
      <c r="AB48" s="47">
        <v>146</v>
      </c>
      <c r="AC48" s="49"/>
      <c r="AD48" s="46"/>
      <c r="AE48" s="20"/>
      <c r="AF48" s="20"/>
      <c r="AG48" s="20"/>
      <c r="AH48" s="20">
        <v>12</v>
      </c>
      <c r="AI48" s="47">
        <v>130</v>
      </c>
      <c r="AJ48" s="49"/>
      <c r="AK48" s="46"/>
      <c r="AL48" s="20"/>
      <c r="AM48" s="20"/>
      <c r="AN48" s="20"/>
      <c r="AO48" s="20">
        <v>7</v>
      </c>
      <c r="AP48" s="47">
        <v>200</v>
      </c>
      <c r="AQ48" s="49"/>
      <c r="AR48" s="20"/>
      <c r="AS48" s="20"/>
      <c r="AT48" s="20"/>
      <c r="AU48" s="20"/>
      <c r="AV48" s="20"/>
      <c r="AW48" s="20"/>
      <c r="AX48" s="20">
        <v>190</v>
      </c>
      <c r="AY48" s="49"/>
      <c r="AZ48" s="20">
        <v>210</v>
      </c>
      <c r="BA48" s="20"/>
      <c r="BB48" s="20"/>
      <c r="BC48" s="20"/>
      <c r="BD48" s="20"/>
      <c r="BE48" s="20"/>
      <c r="BF48" s="20">
        <v>131</v>
      </c>
      <c r="BG48" s="49"/>
      <c r="BH48" s="51">
        <v>150</v>
      </c>
      <c r="BI48" s="52"/>
      <c r="BJ48" s="20"/>
      <c r="BK48" s="20"/>
      <c r="BL48" s="20"/>
      <c r="BM48" s="20">
        <v>7</v>
      </c>
      <c r="BN48" s="20">
        <v>235</v>
      </c>
      <c r="BO48" s="49">
        <v>228</v>
      </c>
      <c r="BP48" s="51">
        <v>260</v>
      </c>
      <c r="BQ48" s="46"/>
      <c r="BR48" s="20"/>
      <c r="BS48" s="20"/>
      <c r="BT48" s="20"/>
      <c r="BU48" s="20"/>
      <c r="BV48" s="47">
        <v>50</v>
      </c>
      <c r="BW48" s="48"/>
      <c r="BX48" s="46"/>
      <c r="BY48" s="20"/>
      <c r="BZ48" s="20"/>
      <c r="CA48" s="20"/>
      <c r="CB48" s="20">
        <v>20</v>
      </c>
      <c r="CC48" s="47"/>
      <c r="CD48" s="49">
        <f>BX48+BY48+BZ48+CA48+CB48+CC48</f>
        <v>20</v>
      </c>
      <c r="CE48" s="46"/>
      <c r="CF48" s="20"/>
      <c r="CG48" s="20"/>
      <c r="CH48" s="20"/>
      <c r="CI48" s="20"/>
      <c r="CJ48" s="47"/>
      <c r="CK48" s="49">
        <f>CE48+CF48+CG48+CH48+CI48+CJ48</f>
        <v>0</v>
      </c>
      <c r="CL48" s="46"/>
      <c r="CM48" s="20"/>
      <c r="CN48" s="20"/>
      <c r="CO48" s="20"/>
      <c r="CP48" s="20">
        <v>25</v>
      </c>
      <c r="CQ48" s="47">
        <v>146</v>
      </c>
      <c r="CR48" s="49"/>
      <c r="CS48" s="46"/>
      <c r="CT48" s="20"/>
      <c r="CU48" s="20"/>
      <c r="CV48" s="20"/>
      <c r="CW48" s="20">
        <v>12</v>
      </c>
      <c r="CX48" s="47">
        <v>130</v>
      </c>
      <c r="CY48" s="49"/>
      <c r="CZ48" s="46"/>
      <c r="DA48" s="20"/>
      <c r="DB48" s="20"/>
      <c r="DC48" s="20"/>
      <c r="DD48" s="20">
        <v>7</v>
      </c>
      <c r="DE48" s="47">
        <v>200</v>
      </c>
      <c r="DF48" s="49"/>
      <c r="DG48" s="20"/>
      <c r="DH48" s="20"/>
      <c r="DI48" s="20"/>
      <c r="DJ48" s="20"/>
      <c r="DK48" s="20"/>
      <c r="DL48" s="20"/>
      <c r="DM48" s="20">
        <v>190</v>
      </c>
      <c r="DN48" s="49"/>
      <c r="DO48" s="20">
        <v>210</v>
      </c>
      <c r="DP48" s="20"/>
      <c r="DQ48" s="20"/>
      <c r="DR48" s="20"/>
      <c r="DS48" s="20"/>
      <c r="DT48" s="20"/>
      <c r="DU48" s="20">
        <v>131</v>
      </c>
      <c r="DV48" s="49"/>
      <c r="DW48" s="52"/>
      <c r="DX48" s="20"/>
      <c r="DY48" s="20"/>
      <c r="DZ48" s="20"/>
      <c r="EA48" s="20"/>
      <c r="EB48" s="20">
        <v>155</v>
      </c>
      <c r="EC48" s="70">
        <v>155</v>
      </c>
      <c r="ED48" s="51">
        <v>180</v>
      </c>
      <c r="EE48" s="52"/>
      <c r="EF48" s="20"/>
      <c r="EG48" s="20"/>
      <c r="EH48" s="20"/>
      <c r="EI48" s="20"/>
      <c r="EJ48" s="20">
        <v>150</v>
      </c>
      <c r="EK48" s="70"/>
      <c r="EL48" s="51"/>
      <c r="EM48" s="52"/>
      <c r="EN48" s="20"/>
      <c r="EO48" s="20"/>
      <c r="EP48" s="20"/>
      <c r="EQ48" s="20"/>
      <c r="ER48" s="20">
        <v>130</v>
      </c>
      <c r="ES48" s="70">
        <v>130</v>
      </c>
      <c r="ET48" s="57">
        <v>160</v>
      </c>
      <c r="EU48" s="52"/>
      <c r="EV48" s="20"/>
      <c r="EW48" s="20"/>
      <c r="EX48" s="20"/>
      <c r="EY48" s="20">
        <v>22</v>
      </c>
      <c r="EZ48" s="20">
        <v>172</v>
      </c>
      <c r="FA48" s="70">
        <v>194</v>
      </c>
      <c r="FB48" s="57">
        <v>180</v>
      </c>
      <c r="FC48" s="52"/>
      <c r="FD48" s="20"/>
      <c r="FE48" s="20"/>
      <c r="FF48" s="20"/>
      <c r="FG48" s="20"/>
      <c r="FH48" s="20">
        <v>90</v>
      </c>
      <c r="FI48" s="70">
        <v>90</v>
      </c>
      <c r="FJ48" s="57">
        <v>120</v>
      </c>
      <c r="FK48" s="52"/>
      <c r="FL48" s="20"/>
      <c r="FM48" s="20"/>
      <c r="FN48" s="20"/>
      <c r="FO48" s="20"/>
      <c r="FP48" s="20">
        <v>85</v>
      </c>
      <c r="FQ48" s="70">
        <v>85</v>
      </c>
      <c r="FR48" s="57">
        <v>100</v>
      </c>
      <c r="FS48" s="52"/>
      <c r="FT48" s="20"/>
      <c r="FU48" s="20"/>
      <c r="FV48" s="20"/>
      <c r="FW48" s="20"/>
      <c r="FX48" s="20">
        <v>37</v>
      </c>
      <c r="FY48" s="70">
        <v>37</v>
      </c>
      <c r="FZ48" s="57">
        <v>80</v>
      </c>
      <c r="GA48" s="20"/>
      <c r="GB48" s="20"/>
      <c r="GC48" s="20"/>
      <c r="GD48" s="20"/>
      <c r="GE48" s="20">
        <v>28</v>
      </c>
      <c r="GF48" s="20">
        <v>53</v>
      </c>
      <c r="GG48" s="20">
        <v>81</v>
      </c>
      <c r="GH48" s="20">
        <v>70</v>
      </c>
      <c r="GI48" s="20"/>
      <c r="GJ48" s="20"/>
      <c r="GK48" s="20"/>
      <c r="GL48" s="20"/>
      <c r="GM48" s="20">
        <v>8</v>
      </c>
      <c r="GN48" s="20">
        <v>50</v>
      </c>
      <c r="GO48" s="20">
        <v>58</v>
      </c>
      <c r="GP48" s="20">
        <v>50</v>
      </c>
      <c r="GQ48" s="20"/>
      <c r="GR48" s="20"/>
      <c r="GS48" s="20"/>
      <c r="GT48" s="20"/>
      <c r="GU48" s="20"/>
      <c r="GV48" s="56">
        <v>108</v>
      </c>
      <c r="GW48" s="57">
        <v>108</v>
      </c>
      <c r="GX48" s="57">
        <v>100</v>
      </c>
      <c r="GY48" s="20"/>
      <c r="GZ48" s="20"/>
      <c r="HA48" s="20"/>
      <c r="HB48" s="20"/>
      <c r="HC48" s="20"/>
      <c r="HD48" s="56">
        <v>20</v>
      </c>
      <c r="HE48" s="57">
        <v>20</v>
      </c>
      <c r="HF48" s="57">
        <v>50</v>
      </c>
      <c r="HG48" s="20"/>
      <c r="HH48" s="20"/>
      <c r="HI48" s="20"/>
      <c r="HJ48" s="20"/>
      <c r="HK48" s="20"/>
      <c r="HL48" s="20">
        <v>50</v>
      </c>
      <c r="HM48" s="20">
        <v>50</v>
      </c>
      <c r="HN48" s="20">
        <v>50</v>
      </c>
      <c r="HO48" s="20"/>
      <c r="HP48" s="20"/>
      <c r="HQ48" s="20"/>
      <c r="HR48" s="20"/>
      <c r="HS48" s="20"/>
      <c r="HT48" s="20">
        <v>40</v>
      </c>
      <c r="HU48" s="20">
        <v>40</v>
      </c>
      <c r="HV48" s="20">
        <v>30</v>
      </c>
      <c r="HW48" s="20"/>
      <c r="HX48" s="20"/>
      <c r="HY48" s="20"/>
      <c r="HZ48" s="20"/>
      <c r="IA48" s="20"/>
      <c r="IB48" s="20">
        <v>97</v>
      </c>
      <c r="IC48" s="20">
        <v>97</v>
      </c>
      <c r="ID48" s="20">
        <v>80</v>
      </c>
      <c r="IE48" s="20"/>
      <c r="IF48" s="20"/>
      <c r="IG48" s="20"/>
      <c r="IH48" s="20"/>
      <c r="II48" s="20"/>
      <c r="IJ48" s="20">
        <v>145</v>
      </c>
      <c r="IK48" s="20">
        <v>145</v>
      </c>
      <c r="IL48" s="20">
        <v>100</v>
      </c>
      <c r="IM48" s="20"/>
      <c r="IN48" s="20"/>
      <c r="IO48" s="20"/>
      <c r="IP48" s="20"/>
      <c r="IQ48" s="20"/>
      <c r="IR48" s="20">
        <v>110</v>
      </c>
      <c r="IS48" s="20">
        <v>110</v>
      </c>
      <c r="IT48" s="20">
        <v>130</v>
      </c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>
        <v>30</v>
      </c>
      <c r="KD48" s="20">
        <v>100</v>
      </c>
      <c r="KE48" s="20">
        <v>130</v>
      </c>
      <c r="KF48" s="20">
        <v>160</v>
      </c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136">
        <v>100</v>
      </c>
      <c r="LR48" s="136">
        <v>139</v>
      </c>
      <c r="LS48" s="136">
        <v>129</v>
      </c>
      <c r="LT48" s="136">
        <v>191</v>
      </c>
      <c r="LU48" s="136">
        <v>125</v>
      </c>
      <c r="LV48" s="136">
        <v>150</v>
      </c>
      <c r="LW48" s="136">
        <v>295</v>
      </c>
      <c r="LX48" s="136">
        <v>188</v>
      </c>
      <c r="LY48" s="136">
        <v>236</v>
      </c>
      <c r="LZ48" s="136">
        <v>313</v>
      </c>
      <c r="MA48" s="136">
        <v>373</v>
      </c>
      <c r="MB48" s="136">
        <v>243</v>
      </c>
      <c r="MC48" s="137">
        <v>70</v>
      </c>
      <c r="MD48" s="137">
        <v>286</v>
      </c>
      <c r="ME48" s="136">
        <v>111</v>
      </c>
      <c r="MF48" s="137">
        <v>229</v>
      </c>
      <c r="MG48" s="137">
        <v>269</v>
      </c>
      <c r="MH48" s="137">
        <v>253</v>
      </c>
      <c r="MI48" s="137">
        <v>230</v>
      </c>
      <c r="MJ48" s="137">
        <v>260</v>
      </c>
      <c r="MK48" s="137">
        <v>50</v>
      </c>
      <c r="ML48" s="137">
        <v>265</v>
      </c>
      <c r="MM48" s="137">
        <v>253</v>
      </c>
      <c r="MN48" s="137">
        <v>183</v>
      </c>
      <c r="MO48" s="137">
        <v>288</v>
      </c>
      <c r="MP48" s="137">
        <v>619</v>
      </c>
      <c r="MQ48" s="1">
        <v>380</v>
      </c>
      <c r="MR48" s="137">
        <v>665</v>
      </c>
      <c r="MS48" s="1">
        <v>0</v>
      </c>
      <c r="MT48" s="137">
        <v>569</v>
      </c>
      <c r="MU48" s="138">
        <v>140</v>
      </c>
      <c r="MV48" s="139">
        <f t="shared" si="9"/>
        <v>7602</v>
      </c>
      <c r="MW48" s="121"/>
    </row>
    <row r="49" spans="1:361" s="58" customFormat="1" ht="18.75">
      <c r="A49" s="126" t="s">
        <v>215</v>
      </c>
      <c r="B49" s="46"/>
      <c r="C49" s="20"/>
      <c r="D49" s="20"/>
      <c r="E49" s="20"/>
      <c r="F49" s="20"/>
      <c r="G49" s="47"/>
      <c r="H49" s="48"/>
      <c r="I49" s="46"/>
      <c r="J49" s="20"/>
      <c r="K49" s="20"/>
      <c r="L49" s="20"/>
      <c r="M49" s="20"/>
      <c r="N49" s="47"/>
      <c r="O49" s="49">
        <f t="shared" ref="O49:O51" si="10">I49+J49+K49+L49+M49+N49</f>
        <v>0</v>
      </c>
      <c r="P49" s="46"/>
      <c r="Q49" s="20"/>
      <c r="R49" s="20"/>
      <c r="S49" s="20"/>
      <c r="T49" s="20">
        <v>10</v>
      </c>
      <c r="U49" s="47">
        <v>150</v>
      </c>
      <c r="V49" s="49">
        <f t="shared" ref="V49:V51" si="11">P49+Q49+R49+S49+T49+U49</f>
        <v>160</v>
      </c>
      <c r="W49" s="46"/>
      <c r="X49" s="20"/>
      <c r="Y49" s="20"/>
      <c r="Z49" s="20"/>
      <c r="AA49" s="20"/>
      <c r="AB49" s="47"/>
      <c r="AC49" s="49"/>
      <c r="AD49" s="46"/>
      <c r="AE49" s="20"/>
      <c r="AF49" s="20"/>
      <c r="AG49" s="20"/>
      <c r="AH49" s="20"/>
      <c r="AI49" s="47"/>
      <c r="AJ49" s="49"/>
      <c r="AK49" s="46"/>
      <c r="AL49" s="20"/>
      <c r="AM49" s="20"/>
      <c r="AN49" s="20"/>
      <c r="AO49" s="20"/>
      <c r="AP49" s="47"/>
      <c r="AQ49" s="49"/>
      <c r="AR49" s="20"/>
      <c r="AS49" s="20"/>
      <c r="AT49" s="20"/>
      <c r="AU49" s="20"/>
      <c r="AV49" s="20"/>
      <c r="AW49" s="20"/>
      <c r="AX49" s="20">
        <v>0</v>
      </c>
      <c r="AY49" s="49"/>
      <c r="AZ49" s="20">
        <v>0</v>
      </c>
      <c r="BA49" s="20"/>
      <c r="BB49" s="20"/>
      <c r="BC49" s="20"/>
      <c r="BD49" s="20"/>
      <c r="BE49" s="20"/>
      <c r="BF49" s="20"/>
      <c r="BG49" s="49"/>
      <c r="BH49" s="51"/>
      <c r="BI49" s="52"/>
      <c r="BJ49" s="20"/>
      <c r="BK49" s="20"/>
      <c r="BL49" s="20"/>
      <c r="BM49" s="20"/>
      <c r="BN49" s="20"/>
      <c r="BO49" s="49">
        <v>0</v>
      </c>
      <c r="BP49" s="51">
        <v>0</v>
      </c>
      <c r="BQ49" s="46"/>
      <c r="BR49" s="20"/>
      <c r="BS49" s="20"/>
      <c r="BT49" s="20"/>
      <c r="BU49" s="20"/>
      <c r="BV49" s="47"/>
      <c r="BW49" s="48"/>
      <c r="BX49" s="46"/>
      <c r="BY49" s="20"/>
      <c r="BZ49" s="20"/>
      <c r="CA49" s="20"/>
      <c r="CB49" s="20"/>
      <c r="CC49" s="47"/>
      <c r="CD49" s="49">
        <f t="shared" ref="CD49:CD51" si="12">BX49+BY49+BZ49+CA49+CB49+CC49</f>
        <v>0</v>
      </c>
      <c r="CE49" s="46"/>
      <c r="CF49" s="20"/>
      <c r="CG49" s="20"/>
      <c r="CH49" s="20"/>
      <c r="CI49" s="20">
        <v>10</v>
      </c>
      <c r="CJ49" s="47">
        <v>150</v>
      </c>
      <c r="CK49" s="49">
        <f t="shared" ref="CK49:CK51" si="13">CE49+CF49+CG49+CH49+CI49+CJ49</f>
        <v>160</v>
      </c>
      <c r="CL49" s="46"/>
      <c r="CM49" s="20"/>
      <c r="CN49" s="20"/>
      <c r="CO49" s="20"/>
      <c r="CP49" s="20"/>
      <c r="CQ49" s="47"/>
      <c r="CR49" s="49"/>
      <c r="CS49" s="46"/>
      <c r="CT49" s="20"/>
      <c r="CU49" s="20"/>
      <c r="CV49" s="20"/>
      <c r="CW49" s="20"/>
      <c r="CX49" s="47"/>
      <c r="CY49" s="49"/>
      <c r="CZ49" s="46"/>
      <c r="DA49" s="20"/>
      <c r="DB49" s="20"/>
      <c r="DC49" s="20"/>
      <c r="DD49" s="20"/>
      <c r="DE49" s="47"/>
      <c r="DF49" s="49"/>
      <c r="DG49" s="20"/>
      <c r="DH49" s="20"/>
      <c r="DI49" s="20"/>
      <c r="DJ49" s="20"/>
      <c r="DK49" s="20"/>
      <c r="DL49" s="20"/>
      <c r="DM49" s="20">
        <v>0</v>
      </c>
      <c r="DN49" s="49"/>
      <c r="DO49" s="20">
        <v>0</v>
      </c>
      <c r="DP49" s="20"/>
      <c r="DQ49" s="20"/>
      <c r="DR49" s="20"/>
      <c r="DS49" s="20"/>
      <c r="DT49" s="20"/>
      <c r="DU49" s="20"/>
      <c r="DV49" s="49"/>
      <c r="DW49" s="52"/>
      <c r="DX49" s="20"/>
      <c r="DY49" s="20"/>
      <c r="DZ49" s="20"/>
      <c r="EA49" s="20"/>
      <c r="EB49" s="20"/>
      <c r="EC49" s="70"/>
      <c r="ED49" s="51"/>
      <c r="EE49" s="52"/>
      <c r="EF49" s="20"/>
      <c r="EG49" s="20"/>
      <c r="EH49" s="20"/>
      <c r="EI49" s="20"/>
      <c r="EJ49" s="20"/>
      <c r="EK49" s="70"/>
      <c r="EL49" s="51"/>
      <c r="EM49" s="52"/>
      <c r="EN49" s="20"/>
      <c r="EO49" s="20"/>
      <c r="EP49" s="20"/>
      <c r="EQ49" s="20"/>
      <c r="ER49" s="20"/>
      <c r="ES49" s="70"/>
      <c r="ET49" s="57"/>
      <c r="EU49" s="52"/>
      <c r="EV49" s="20"/>
      <c r="EW49" s="20"/>
      <c r="EX49" s="20"/>
      <c r="EY49" s="20"/>
      <c r="EZ49" s="20"/>
      <c r="FA49" s="70"/>
      <c r="FB49" s="57"/>
      <c r="FC49" s="52"/>
      <c r="FD49" s="20"/>
      <c r="FE49" s="20"/>
      <c r="FF49" s="20"/>
      <c r="FG49" s="20"/>
      <c r="FH49" s="20"/>
      <c r="FI49" s="70"/>
      <c r="FJ49" s="57"/>
      <c r="FK49" s="52"/>
      <c r="FL49" s="20"/>
      <c r="FM49" s="20"/>
      <c r="FN49" s="20"/>
      <c r="FO49" s="20"/>
      <c r="FP49" s="20"/>
      <c r="FQ49" s="70"/>
      <c r="FR49" s="57"/>
      <c r="FS49" s="52"/>
      <c r="FT49" s="20"/>
      <c r="FU49" s="20"/>
      <c r="FV49" s="20"/>
      <c r="FW49" s="20"/>
      <c r="FX49" s="20">
        <v>11</v>
      </c>
      <c r="FY49" s="70">
        <v>11</v>
      </c>
      <c r="FZ49" s="57">
        <v>5</v>
      </c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56">
        <v>13</v>
      </c>
      <c r="GW49" s="57">
        <v>13</v>
      </c>
      <c r="GX49" s="57">
        <v>10</v>
      </c>
      <c r="GY49" s="20"/>
      <c r="GZ49" s="20"/>
      <c r="HA49" s="20"/>
      <c r="HB49" s="20"/>
      <c r="HC49" s="20"/>
      <c r="HD49" s="56"/>
      <c r="HE49" s="57"/>
      <c r="HF49" s="57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>
        <v>21</v>
      </c>
      <c r="IK49" s="20">
        <v>21</v>
      </c>
      <c r="IL49" s="20">
        <v>15</v>
      </c>
      <c r="IM49" s="20"/>
      <c r="IN49" s="20"/>
      <c r="IO49" s="20"/>
      <c r="IP49" s="20"/>
      <c r="IQ49" s="20"/>
      <c r="IR49" s="20">
        <v>12</v>
      </c>
      <c r="IS49" s="20">
        <v>12</v>
      </c>
      <c r="IT49" s="20">
        <v>20</v>
      </c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136"/>
      <c r="LR49" s="136">
        <v>14</v>
      </c>
      <c r="LS49" s="136">
        <v>16</v>
      </c>
      <c r="LT49" s="136">
        <v>11</v>
      </c>
      <c r="LU49" s="136">
        <v>22</v>
      </c>
      <c r="LV49" s="136">
        <v>60</v>
      </c>
      <c r="LW49" s="136"/>
      <c r="LX49" s="136"/>
      <c r="LY49" s="136">
        <v>30</v>
      </c>
      <c r="LZ49" s="136">
        <v>30</v>
      </c>
      <c r="MA49" s="136">
        <v>48</v>
      </c>
      <c r="MB49" s="136">
        <v>55</v>
      </c>
      <c r="MC49" s="137">
        <v>15</v>
      </c>
      <c r="MD49" s="137">
        <v>50</v>
      </c>
      <c r="ME49" s="136">
        <v>60</v>
      </c>
      <c r="MF49" s="137">
        <v>34</v>
      </c>
      <c r="MG49" s="137">
        <v>135</v>
      </c>
      <c r="MH49" s="137">
        <v>55</v>
      </c>
      <c r="MI49" s="137">
        <v>113</v>
      </c>
      <c r="MJ49" s="137">
        <v>100</v>
      </c>
      <c r="MK49" s="137">
        <v>119</v>
      </c>
      <c r="ML49" s="137">
        <v>54</v>
      </c>
      <c r="MM49" s="137">
        <v>50</v>
      </c>
      <c r="MN49" s="137">
        <v>30</v>
      </c>
      <c r="MO49" s="137">
        <v>43</v>
      </c>
      <c r="MP49" s="137">
        <v>55</v>
      </c>
      <c r="MQ49" s="1">
        <v>72</v>
      </c>
      <c r="MR49" s="137">
        <v>85</v>
      </c>
      <c r="MS49" s="1">
        <v>134</v>
      </c>
      <c r="MT49" s="137">
        <v>108</v>
      </c>
      <c r="MU49" s="138">
        <v>116</v>
      </c>
      <c r="MV49" s="139">
        <f t="shared" si="9"/>
        <v>1714</v>
      </c>
      <c r="MW49" s="121"/>
    </row>
    <row r="50" spans="1:361" s="58" customFormat="1" ht="18.75">
      <c r="A50" s="126" t="s">
        <v>216</v>
      </c>
      <c r="B50" s="46"/>
      <c r="C50" s="20"/>
      <c r="D50" s="20"/>
      <c r="E50" s="20"/>
      <c r="F50" s="20"/>
      <c r="G50" s="47">
        <v>80</v>
      </c>
      <c r="H50" s="48"/>
      <c r="I50" s="46"/>
      <c r="J50" s="20"/>
      <c r="K50" s="20"/>
      <c r="L50" s="20"/>
      <c r="M50" s="20">
        <v>20</v>
      </c>
      <c r="N50" s="47"/>
      <c r="O50" s="49">
        <f t="shared" si="10"/>
        <v>20</v>
      </c>
      <c r="P50" s="46"/>
      <c r="Q50" s="20"/>
      <c r="R50" s="20">
        <v>15</v>
      </c>
      <c r="S50" s="20"/>
      <c r="T50" s="20"/>
      <c r="U50" s="47">
        <v>20</v>
      </c>
      <c r="V50" s="49">
        <f t="shared" si="11"/>
        <v>35</v>
      </c>
      <c r="W50" s="46"/>
      <c r="X50" s="20"/>
      <c r="Y50" s="20"/>
      <c r="Z50" s="20"/>
      <c r="AA50" s="20"/>
      <c r="AB50" s="47">
        <v>65</v>
      </c>
      <c r="AC50" s="49"/>
      <c r="AD50" s="46"/>
      <c r="AE50" s="20"/>
      <c r="AF50" s="20">
        <v>22</v>
      </c>
      <c r="AG50" s="20"/>
      <c r="AH50" s="20"/>
      <c r="AI50" s="47">
        <v>35</v>
      </c>
      <c r="AJ50" s="49"/>
      <c r="AK50" s="46"/>
      <c r="AL50" s="20"/>
      <c r="AM50" s="20">
        <v>15</v>
      </c>
      <c r="AN50" s="20"/>
      <c r="AO50" s="20"/>
      <c r="AP50" s="47">
        <v>14</v>
      </c>
      <c r="AQ50" s="49"/>
      <c r="AR50" s="20"/>
      <c r="AS50" s="20"/>
      <c r="AT50" s="20"/>
      <c r="AU50" s="20"/>
      <c r="AV50" s="20"/>
      <c r="AW50" s="20"/>
      <c r="AX50" s="20">
        <v>0</v>
      </c>
      <c r="AY50" s="49"/>
      <c r="AZ50" s="20">
        <v>25</v>
      </c>
      <c r="BA50" s="20"/>
      <c r="BB50" s="20"/>
      <c r="BC50" s="20"/>
      <c r="BD50" s="20"/>
      <c r="BE50" s="20"/>
      <c r="BF50" s="20">
        <v>18</v>
      </c>
      <c r="BG50" s="49"/>
      <c r="BH50" s="51">
        <v>20</v>
      </c>
      <c r="BI50" s="52"/>
      <c r="BJ50" s="20"/>
      <c r="BK50" s="20"/>
      <c r="BL50" s="20"/>
      <c r="BM50" s="20"/>
      <c r="BN50" s="20">
        <v>22</v>
      </c>
      <c r="BO50" s="49">
        <v>22</v>
      </c>
      <c r="BP50" s="51">
        <v>25</v>
      </c>
      <c r="BQ50" s="46"/>
      <c r="BR50" s="20"/>
      <c r="BS50" s="20"/>
      <c r="BT50" s="20"/>
      <c r="BU50" s="20"/>
      <c r="BV50" s="47">
        <v>80</v>
      </c>
      <c r="BW50" s="48"/>
      <c r="BX50" s="46"/>
      <c r="BY50" s="20"/>
      <c r="BZ50" s="20"/>
      <c r="CA50" s="20"/>
      <c r="CB50" s="20">
        <v>20</v>
      </c>
      <c r="CC50" s="47"/>
      <c r="CD50" s="49">
        <f t="shared" si="12"/>
        <v>20</v>
      </c>
      <c r="CE50" s="46"/>
      <c r="CF50" s="20"/>
      <c r="CG50" s="20">
        <v>15</v>
      </c>
      <c r="CH50" s="20"/>
      <c r="CI50" s="20"/>
      <c r="CJ50" s="47">
        <v>20</v>
      </c>
      <c r="CK50" s="49">
        <f t="shared" si="13"/>
        <v>35</v>
      </c>
      <c r="CL50" s="46"/>
      <c r="CM50" s="20"/>
      <c r="CN50" s="20"/>
      <c r="CO50" s="20"/>
      <c r="CP50" s="20"/>
      <c r="CQ50" s="47">
        <v>65</v>
      </c>
      <c r="CR50" s="49"/>
      <c r="CS50" s="46"/>
      <c r="CT50" s="20"/>
      <c r="CU50" s="20">
        <v>22</v>
      </c>
      <c r="CV50" s="20"/>
      <c r="CW50" s="20"/>
      <c r="CX50" s="47">
        <v>35</v>
      </c>
      <c r="CY50" s="49"/>
      <c r="CZ50" s="46"/>
      <c r="DA50" s="20"/>
      <c r="DB50" s="20">
        <v>15</v>
      </c>
      <c r="DC50" s="20"/>
      <c r="DD50" s="20"/>
      <c r="DE50" s="47">
        <v>14</v>
      </c>
      <c r="DF50" s="49"/>
      <c r="DG50" s="20"/>
      <c r="DH50" s="20"/>
      <c r="DI50" s="20"/>
      <c r="DJ50" s="20"/>
      <c r="DK50" s="20"/>
      <c r="DL50" s="20"/>
      <c r="DM50" s="20">
        <v>0</v>
      </c>
      <c r="DN50" s="49"/>
      <c r="DO50" s="20">
        <v>25</v>
      </c>
      <c r="DP50" s="20"/>
      <c r="DQ50" s="20"/>
      <c r="DR50" s="20"/>
      <c r="DS50" s="20"/>
      <c r="DT50" s="20"/>
      <c r="DU50" s="20">
        <v>18</v>
      </c>
      <c r="DV50" s="49"/>
      <c r="DW50" s="52"/>
      <c r="DX50" s="20"/>
      <c r="DY50" s="20"/>
      <c r="DZ50" s="20"/>
      <c r="EA50" s="20"/>
      <c r="EB50" s="20"/>
      <c r="EC50" s="70"/>
      <c r="ED50" s="51"/>
      <c r="EE50" s="52"/>
      <c r="EF50" s="20"/>
      <c r="EG50" s="20"/>
      <c r="EH50" s="20"/>
      <c r="EI50" s="20"/>
      <c r="EJ50" s="20"/>
      <c r="EK50" s="70"/>
      <c r="EL50" s="51"/>
      <c r="EM50" s="52"/>
      <c r="EN50" s="20"/>
      <c r="EO50" s="20"/>
      <c r="EP50" s="20"/>
      <c r="EQ50" s="20"/>
      <c r="ER50" s="20"/>
      <c r="ES50" s="70"/>
      <c r="ET50" s="57"/>
      <c r="EU50" s="52"/>
      <c r="EV50" s="20"/>
      <c r="EW50" s="20"/>
      <c r="EX50" s="20"/>
      <c r="EY50" s="20"/>
      <c r="EZ50" s="20">
        <v>20</v>
      </c>
      <c r="FA50" s="70">
        <v>20</v>
      </c>
      <c r="FB50" s="57">
        <v>20</v>
      </c>
      <c r="FC50" s="52"/>
      <c r="FD50" s="20"/>
      <c r="FE50" s="20"/>
      <c r="FF50" s="20"/>
      <c r="FG50" s="20">
        <v>7</v>
      </c>
      <c r="FH50" s="20">
        <v>90</v>
      </c>
      <c r="FI50" s="70">
        <v>97</v>
      </c>
      <c r="FJ50" s="57">
        <v>10</v>
      </c>
      <c r="FK50" s="52"/>
      <c r="FL50" s="20"/>
      <c r="FM50" s="20">
        <v>15</v>
      </c>
      <c r="FN50" s="20"/>
      <c r="FO50" s="20"/>
      <c r="FP50" s="20"/>
      <c r="FQ50" s="70">
        <v>15</v>
      </c>
      <c r="FR50" s="57">
        <v>20</v>
      </c>
      <c r="FS50" s="52"/>
      <c r="FT50" s="20"/>
      <c r="FU50" s="20"/>
      <c r="FV50" s="20"/>
      <c r="FW50" s="20"/>
      <c r="FX50" s="20">
        <v>12</v>
      </c>
      <c r="FY50" s="70">
        <v>12</v>
      </c>
      <c r="FZ50" s="57">
        <v>10</v>
      </c>
      <c r="GA50" s="20"/>
      <c r="GB50" s="20"/>
      <c r="GC50" s="20"/>
      <c r="GD50" s="20"/>
      <c r="GE50" s="20"/>
      <c r="GF50" s="20">
        <v>7</v>
      </c>
      <c r="GG50" s="20">
        <v>7</v>
      </c>
      <c r="GH50" s="20">
        <v>7</v>
      </c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56">
        <v>10</v>
      </c>
      <c r="GW50" s="57">
        <v>10</v>
      </c>
      <c r="GX50" s="57">
        <v>10</v>
      </c>
      <c r="GY50" s="20"/>
      <c r="GZ50" s="20"/>
      <c r="HA50" s="20"/>
      <c r="HB50" s="20"/>
      <c r="HC50" s="20"/>
      <c r="HD50" s="56"/>
      <c r="HE50" s="57"/>
      <c r="HF50" s="57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>
        <v>25</v>
      </c>
      <c r="HR50" s="20"/>
      <c r="HS50" s="20"/>
      <c r="HT50" s="20"/>
      <c r="HU50" s="20">
        <v>25</v>
      </c>
      <c r="HV50" s="20">
        <v>20</v>
      </c>
      <c r="HW50" s="20"/>
      <c r="HX50" s="20"/>
      <c r="HY50" s="20">
        <v>9</v>
      </c>
      <c r="HZ50" s="20"/>
      <c r="IA50" s="20"/>
      <c r="IB50" s="20"/>
      <c r="IC50" s="20">
        <v>9</v>
      </c>
      <c r="ID50" s="20">
        <v>10</v>
      </c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>
        <v>38</v>
      </c>
      <c r="IP50" s="20"/>
      <c r="IQ50" s="20"/>
      <c r="IR50" s="20"/>
      <c r="IS50" s="20">
        <v>38</v>
      </c>
      <c r="IT50" s="20">
        <v>25</v>
      </c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>
        <v>17</v>
      </c>
      <c r="KB50" s="20"/>
      <c r="KC50" s="20"/>
      <c r="KD50" s="20"/>
      <c r="KE50" s="20">
        <v>17</v>
      </c>
      <c r="KF50" s="20">
        <v>25</v>
      </c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136"/>
      <c r="LR50" s="136"/>
      <c r="LS50" s="136"/>
      <c r="LT50" s="136"/>
      <c r="LU50" s="136">
        <v>15</v>
      </c>
      <c r="LV50" s="136"/>
      <c r="LW50" s="136">
        <v>28</v>
      </c>
      <c r="LX50" s="136"/>
      <c r="LY50" s="136">
        <v>12</v>
      </c>
      <c r="LZ50" s="136">
        <v>100</v>
      </c>
      <c r="MA50" s="136">
        <v>30</v>
      </c>
      <c r="MB50" s="136">
        <v>32</v>
      </c>
      <c r="MC50" s="137"/>
      <c r="MD50" s="137">
        <v>24</v>
      </c>
      <c r="ME50" s="136">
        <v>25</v>
      </c>
      <c r="MF50" s="137"/>
      <c r="MG50" s="137">
        <v>20</v>
      </c>
      <c r="MH50" s="137"/>
      <c r="MI50" s="137">
        <v>20</v>
      </c>
      <c r="MJ50" s="137">
        <v>20</v>
      </c>
      <c r="MK50" s="137">
        <v>20</v>
      </c>
      <c r="ML50" s="137">
        <v>25</v>
      </c>
      <c r="MM50" s="137">
        <v>8</v>
      </c>
      <c r="MN50" s="137">
        <v>30</v>
      </c>
      <c r="MO50" s="137">
        <v>30</v>
      </c>
      <c r="MP50" s="137">
        <v>35</v>
      </c>
      <c r="MQ50" s="1">
        <v>5</v>
      </c>
      <c r="MR50" s="137">
        <v>0</v>
      </c>
      <c r="MS50" s="1">
        <v>15</v>
      </c>
      <c r="MT50" s="137">
        <v>20</v>
      </c>
      <c r="MU50" s="138">
        <v>20</v>
      </c>
      <c r="MV50" s="139">
        <f t="shared" si="9"/>
        <v>534</v>
      </c>
      <c r="MW50" s="121"/>
    </row>
    <row r="51" spans="1:361" s="58" customFormat="1" ht="18.75">
      <c r="A51" s="126" t="s">
        <v>217</v>
      </c>
      <c r="B51" s="46"/>
      <c r="C51" s="20"/>
      <c r="D51" s="20"/>
      <c r="E51" s="20"/>
      <c r="F51" s="20"/>
      <c r="G51" s="47">
        <v>107</v>
      </c>
      <c r="H51" s="48"/>
      <c r="I51" s="46"/>
      <c r="J51" s="20"/>
      <c r="K51" s="20"/>
      <c r="L51" s="20"/>
      <c r="M51" s="20"/>
      <c r="N51" s="47"/>
      <c r="O51" s="49">
        <f t="shared" si="10"/>
        <v>0</v>
      </c>
      <c r="P51" s="46"/>
      <c r="Q51" s="20"/>
      <c r="R51" s="20"/>
      <c r="S51" s="20"/>
      <c r="T51" s="20"/>
      <c r="U51" s="47">
        <v>100</v>
      </c>
      <c r="V51" s="49">
        <f t="shared" si="11"/>
        <v>100</v>
      </c>
      <c r="W51" s="46"/>
      <c r="X51" s="20"/>
      <c r="Y51" s="20"/>
      <c r="Z51" s="20"/>
      <c r="AA51" s="20"/>
      <c r="AB51" s="47">
        <v>85</v>
      </c>
      <c r="AC51" s="49"/>
      <c r="AD51" s="46"/>
      <c r="AE51" s="20"/>
      <c r="AF51" s="20"/>
      <c r="AG51" s="20"/>
      <c r="AH51" s="20"/>
      <c r="AI51" s="47">
        <v>50</v>
      </c>
      <c r="AJ51" s="49"/>
      <c r="AK51" s="46"/>
      <c r="AL51" s="20"/>
      <c r="AM51" s="20"/>
      <c r="AN51" s="20"/>
      <c r="AO51" s="20"/>
      <c r="AP51" s="47">
        <v>38</v>
      </c>
      <c r="AQ51" s="49"/>
      <c r="AR51" s="20"/>
      <c r="AS51" s="20"/>
      <c r="AT51" s="20"/>
      <c r="AU51" s="20"/>
      <c r="AV51" s="20"/>
      <c r="AW51" s="20"/>
      <c r="AX51" s="20">
        <v>54</v>
      </c>
      <c r="AY51" s="49"/>
      <c r="AZ51" s="20">
        <v>42</v>
      </c>
      <c r="BA51" s="20"/>
      <c r="BB51" s="20"/>
      <c r="BC51" s="20"/>
      <c r="BD51" s="20"/>
      <c r="BE51" s="20"/>
      <c r="BF51" s="20">
        <v>18</v>
      </c>
      <c r="BG51" s="49"/>
      <c r="BH51" s="51">
        <v>20</v>
      </c>
      <c r="BI51" s="52"/>
      <c r="BJ51" s="20"/>
      <c r="BK51" s="20"/>
      <c r="BL51" s="20"/>
      <c r="BM51" s="20"/>
      <c r="BN51" s="20">
        <v>27</v>
      </c>
      <c r="BO51" s="49">
        <v>27</v>
      </c>
      <c r="BP51" s="51">
        <v>35</v>
      </c>
      <c r="BQ51" s="46"/>
      <c r="BR51" s="20"/>
      <c r="BS51" s="20"/>
      <c r="BT51" s="20"/>
      <c r="BU51" s="20"/>
      <c r="BV51" s="47">
        <v>107</v>
      </c>
      <c r="BW51" s="48"/>
      <c r="BX51" s="46"/>
      <c r="BY51" s="20"/>
      <c r="BZ51" s="20"/>
      <c r="CA51" s="20"/>
      <c r="CB51" s="20"/>
      <c r="CC51" s="47"/>
      <c r="CD51" s="49">
        <f t="shared" si="12"/>
        <v>0</v>
      </c>
      <c r="CE51" s="46"/>
      <c r="CF51" s="20"/>
      <c r="CG51" s="20"/>
      <c r="CH51" s="20"/>
      <c r="CI51" s="20"/>
      <c r="CJ51" s="47">
        <v>100</v>
      </c>
      <c r="CK51" s="49">
        <f t="shared" si="13"/>
        <v>100</v>
      </c>
      <c r="CL51" s="46"/>
      <c r="CM51" s="20"/>
      <c r="CN51" s="20"/>
      <c r="CO51" s="20"/>
      <c r="CP51" s="20"/>
      <c r="CQ51" s="47">
        <v>85</v>
      </c>
      <c r="CR51" s="49"/>
      <c r="CS51" s="46"/>
      <c r="CT51" s="20"/>
      <c r="CU51" s="20"/>
      <c r="CV51" s="20"/>
      <c r="CW51" s="20"/>
      <c r="CX51" s="47">
        <v>50</v>
      </c>
      <c r="CY51" s="49"/>
      <c r="CZ51" s="46"/>
      <c r="DA51" s="20"/>
      <c r="DB51" s="20"/>
      <c r="DC51" s="20"/>
      <c r="DD51" s="20"/>
      <c r="DE51" s="47">
        <v>38</v>
      </c>
      <c r="DF51" s="49"/>
      <c r="DG51" s="20"/>
      <c r="DH51" s="20"/>
      <c r="DI51" s="20"/>
      <c r="DJ51" s="20"/>
      <c r="DK51" s="20"/>
      <c r="DL51" s="20"/>
      <c r="DM51" s="20">
        <v>54</v>
      </c>
      <c r="DN51" s="49"/>
      <c r="DO51" s="20">
        <v>42</v>
      </c>
      <c r="DP51" s="20"/>
      <c r="DQ51" s="20"/>
      <c r="DR51" s="20"/>
      <c r="DS51" s="20"/>
      <c r="DT51" s="20"/>
      <c r="DU51" s="20">
        <v>18</v>
      </c>
      <c r="DV51" s="49"/>
      <c r="DW51" s="52"/>
      <c r="DX51" s="20"/>
      <c r="DY51" s="20"/>
      <c r="DZ51" s="20"/>
      <c r="EA51" s="20"/>
      <c r="EB51" s="20">
        <v>20</v>
      </c>
      <c r="EC51" s="70">
        <v>20</v>
      </c>
      <c r="ED51" s="51">
        <v>20</v>
      </c>
      <c r="EE51" s="52"/>
      <c r="EF51" s="20"/>
      <c r="EG51" s="20"/>
      <c r="EH51" s="20"/>
      <c r="EI51" s="20"/>
      <c r="EJ51" s="20"/>
      <c r="EK51" s="70"/>
      <c r="EL51" s="51"/>
      <c r="EM51" s="52"/>
      <c r="EN51" s="20"/>
      <c r="EO51" s="20"/>
      <c r="EP51" s="20"/>
      <c r="EQ51" s="20"/>
      <c r="ER51" s="20">
        <v>55</v>
      </c>
      <c r="ES51" s="70">
        <v>55</v>
      </c>
      <c r="ET51" s="57">
        <v>40</v>
      </c>
      <c r="EU51" s="52"/>
      <c r="EV51" s="20"/>
      <c r="EW51" s="20"/>
      <c r="EX51" s="20"/>
      <c r="EY51" s="20"/>
      <c r="EZ51" s="20">
        <v>20</v>
      </c>
      <c r="FA51" s="70">
        <v>20</v>
      </c>
      <c r="FB51" s="57">
        <v>15</v>
      </c>
      <c r="FC51" s="52"/>
      <c r="FD51" s="20"/>
      <c r="FE51" s="20"/>
      <c r="FF51" s="20"/>
      <c r="FG51" s="20"/>
      <c r="FH51" s="20"/>
      <c r="FI51" s="70">
        <v>16</v>
      </c>
      <c r="FJ51" s="57">
        <v>15</v>
      </c>
      <c r="FK51" s="52"/>
      <c r="FL51" s="20"/>
      <c r="FM51" s="20"/>
      <c r="FN51" s="20"/>
      <c r="FO51" s="20"/>
      <c r="FP51" s="20">
        <v>15</v>
      </c>
      <c r="FQ51" s="70">
        <v>15</v>
      </c>
      <c r="FR51" s="57">
        <v>10</v>
      </c>
      <c r="FS51" s="52"/>
      <c r="FT51" s="20"/>
      <c r="FU51" s="20"/>
      <c r="FV51" s="20"/>
      <c r="FW51" s="20"/>
      <c r="FX51" s="20">
        <v>21</v>
      </c>
      <c r="FY51" s="70">
        <v>21</v>
      </c>
      <c r="FZ51" s="57">
        <v>20</v>
      </c>
      <c r="GA51" s="20"/>
      <c r="GB51" s="20"/>
      <c r="GC51" s="20"/>
      <c r="GD51" s="20"/>
      <c r="GE51" s="20"/>
      <c r="GF51" s="20">
        <v>10</v>
      </c>
      <c r="GG51" s="20">
        <v>10</v>
      </c>
      <c r="GH51" s="20">
        <v>10</v>
      </c>
      <c r="GI51" s="20"/>
      <c r="GJ51" s="20"/>
      <c r="GK51" s="20"/>
      <c r="GL51" s="20"/>
      <c r="GM51" s="20"/>
      <c r="GN51" s="20">
        <v>30</v>
      </c>
      <c r="GO51" s="20">
        <v>30</v>
      </c>
      <c r="GP51" s="20">
        <v>30</v>
      </c>
      <c r="GQ51" s="20"/>
      <c r="GR51" s="20"/>
      <c r="GS51" s="20"/>
      <c r="GT51" s="20"/>
      <c r="GU51" s="20"/>
      <c r="GV51" s="56">
        <v>50</v>
      </c>
      <c r="GW51" s="57">
        <v>50</v>
      </c>
      <c r="GX51" s="57">
        <v>40</v>
      </c>
      <c r="GY51" s="20"/>
      <c r="GZ51" s="20"/>
      <c r="HA51" s="20"/>
      <c r="HB51" s="20"/>
      <c r="HC51" s="20"/>
      <c r="HD51" s="56">
        <v>30</v>
      </c>
      <c r="HE51" s="57">
        <v>30</v>
      </c>
      <c r="HF51" s="57">
        <v>40</v>
      </c>
      <c r="HG51" s="20"/>
      <c r="HH51" s="20"/>
      <c r="HI51" s="20"/>
      <c r="HJ51" s="20"/>
      <c r="HK51" s="20"/>
      <c r="HL51" s="20">
        <v>40</v>
      </c>
      <c r="HM51" s="20">
        <v>40</v>
      </c>
      <c r="HN51" s="20">
        <v>40</v>
      </c>
      <c r="HO51" s="20"/>
      <c r="HP51" s="20"/>
      <c r="HQ51" s="20"/>
      <c r="HR51" s="20"/>
      <c r="HS51" s="20"/>
      <c r="HT51" s="20">
        <v>80</v>
      </c>
      <c r="HU51" s="20">
        <v>80</v>
      </c>
      <c r="HV51" s="20">
        <v>70</v>
      </c>
      <c r="HW51" s="20"/>
      <c r="HX51" s="20"/>
      <c r="HY51" s="20"/>
      <c r="HZ51" s="20"/>
      <c r="IA51" s="20"/>
      <c r="IB51" s="20">
        <v>83</v>
      </c>
      <c r="IC51" s="20">
        <v>83</v>
      </c>
      <c r="ID51" s="20">
        <v>80</v>
      </c>
      <c r="IE51" s="20"/>
      <c r="IF51" s="20"/>
      <c r="IG51" s="20"/>
      <c r="IH51" s="20"/>
      <c r="II51" s="20"/>
      <c r="IJ51" s="20">
        <v>128</v>
      </c>
      <c r="IK51" s="20">
        <v>128</v>
      </c>
      <c r="IL51" s="20">
        <v>100</v>
      </c>
      <c r="IM51" s="20"/>
      <c r="IN51" s="20"/>
      <c r="IO51" s="20"/>
      <c r="IP51" s="20"/>
      <c r="IQ51" s="20"/>
      <c r="IR51" s="20">
        <v>100</v>
      </c>
      <c r="IS51" s="20">
        <v>100</v>
      </c>
      <c r="IT51" s="20">
        <v>80</v>
      </c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>
        <v>100</v>
      </c>
      <c r="KE51" s="20">
        <v>100</v>
      </c>
      <c r="KF51" s="20">
        <v>120</v>
      </c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136">
        <v>24</v>
      </c>
      <c r="LR51" s="136">
        <v>45</v>
      </c>
      <c r="LS51" s="136">
        <v>34</v>
      </c>
      <c r="LT51" s="136"/>
      <c r="LU51" s="136">
        <v>31</v>
      </c>
      <c r="LV51" s="136"/>
      <c r="LW51" s="136">
        <v>15</v>
      </c>
      <c r="LX51" s="136">
        <v>20</v>
      </c>
      <c r="LY51" s="136"/>
      <c r="LZ51" s="136"/>
      <c r="MA51" s="136"/>
      <c r="MB51" s="136"/>
      <c r="MC51" s="137"/>
      <c r="MD51" s="137">
        <v>0</v>
      </c>
      <c r="ME51" s="136">
        <v>19</v>
      </c>
      <c r="MF51" s="137"/>
      <c r="MG51" s="137"/>
      <c r="MH51" s="137">
        <v>14</v>
      </c>
      <c r="MI51" s="137">
        <v>10</v>
      </c>
      <c r="MJ51" s="137">
        <v>10</v>
      </c>
      <c r="MK51" s="137"/>
      <c r="ML51" s="137"/>
      <c r="MM51" s="137"/>
      <c r="MN51" s="137"/>
      <c r="MO51" s="137"/>
      <c r="MP51" s="137">
        <v>10</v>
      </c>
      <c r="MQ51" s="1">
        <v>0</v>
      </c>
      <c r="MR51" s="137">
        <v>0</v>
      </c>
      <c r="MS51" s="1">
        <v>0</v>
      </c>
      <c r="MT51" s="137">
        <v>35</v>
      </c>
      <c r="MU51" s="138">
        <v>0</v>
      </c>
      <c r="MV51" s="139">
        <f t="shared" si="9"/>
        <v>267</v>
      </c>
      <c r="MW51" s="121"/>
    </row>
    <row r="52" spans="1:361" s="58" customFormat="1" ht="18.75">
      <c r="A52" s="126" t="s">
        <v>218</v>
      </c>
      <c r="B52" s="46"/>
      <c r="C52" s="20"/>
      <c r="D52" s="20"/>
      <c r="E52" s="20"/>
      <c r="F52" s="20"/>
      <c r="G52" s="47"/>
      <c r="H52" s="48"/>
      <c r="I52" s="46"/>
      <c r="J52" s="20"/>
      <c r="K52" s="20"/>
      <c r="L52" s="20"/>
      <c r="M52" s="20"/>
      <c r="N52" s="47"/>
      <c r="O52" s="49"/>
      <c r="P52" s="46"/>
      <c r="Q52" s="20"/>
      <c r="R52" s="20"/>
      <c r="S52" s="20"/>
      <c r="T52" s="20"/>
      <c r="U52" s="47"/>
      <c r="V52" s="49"/>
      <c r="W52" s="46"/>
      <c r="X52" s="20"/>
      <c r="Y52" s="20"/>
      <c r="Z52" s="20"/>
      <c r="AA52" s="20"/>
      <c r="AB52" s="47"/>
      <c r="AC52" s="49"/>
      <c r="AD52" s="46"/>
      <c r="AE52" s="20"/>
      <c r="AF52" s="20"/>
      <c r="AG52" s="20"/>
      <c r="AH52" s="20"/>
      <c r="AI52" s="47"/>
      <c r="AJ52" s="49"/>
      <c r="AK52" s="46"/>
      <c r="AL52" s="20"/>
      <c r="AM52" s="20"/>
      <c r="AN52" s="20"/>
      <c r="AO52" s="20"/>
      <c r="AP52" s="47"/>
      <c r="AQ52" s="49"/>
      <c r="AR52" s="20"/>
      <c r="AS52" s="20"/>
      <c r="AT52" s="20"/>
      <c r="AU52" s="20"/>
      <c r="AV52" s="20"/>
      <c r="AW52" s="20"/>
      <c r="AX52" s="20"/>
      <c r="AY52" s="49"/>
      <c r="AZ52" s="20"/>
      <c r="BA52" s="20"/>
      <c r="BB52" s="20"/>
      <c r="BC52" s="20"/>
      <c r="BD52" s="20"/>
      <c r="BE52" s="20"/>
      <c r="BF52" s="20"/>
      <c r="BG52" s="49"/>
      <c r="BH52" s="51"/>
      <c r="BI52" s="52"/>
      <c r="BJ52" s="20"/>
      <c r="BK52" s="20"/>
      <c r="BL52" s="20"/>
      <c r="BM52" s="20"/>
      <c r="BN52" s="20"/>
      <c r="BO52" s="49"/>
      <c r="BP52" s="51"/>
      <c r="BQ52" s="46"/>
      <c r="BR52" s="20"/>
      <c r="BS52" s="20"/>
      <c r="BT52" s="20"/>
      <c r="BU52" s="20"/>
      <c r="BV52" s="47"/>
      <c r="BW52" s="48"/>
      <c r="BX52" s="46"/>
      <c r="BY52" s="20"/>
      <c r="BZ52" s="20"/>
      <c r="CA52" s="20"/>
      <c r="CB52" s="20"/>
      <c r="CC52" s="47"/>
      <c r="CD52" s="49"/>
      <c r="CE52" s="46"/>
      <c r="CF52" s="20"/>
      <c r="CG52" s="20"/>
      <c r="CH52" s="20"/>
      <c r="CI52" s="20"/>
      <c r="CJ52" s="47"/>
      <c r="CK52" s="49"/>
      <c r="CL52" s="46"/>
      <c r="CM52" s="20"/>
      <c r="CN52" s="20"/>
      <c r="CO52" s="20"/>
      <c r="CP52" s="20"/>
      <c r="CQ52" s="47"/>
      <c r="CR52" s="49"/>
      <c r="CS52" s="46"/>
      <c r="CT52" s="20"/>
      <c r="CU52" s="20"/>
      <c r="CV52" s="20"/>
      <c r="CW52" s="20"/>
      <c r="CX52" s="47"/>
      <c r="CY52" s="49"/>
      <c r="CZ52" s="46"/>
      <c r="DA52" s="20"/>
      <c r="DB52" s="20"/>
      <c r="DC52" s="20"/>
      <c r="DD52" s="20"/>
      <c r="DE52" s="47"/>
      <c r="DF52" s="49"/>
      <c r="DG52" s="20"/>
      <c r="DH52" s="20"/>
      <c r="DI52" s="20"/>
      <c r="DJ52" s="20"/>
      <c r="DK52" s="20"/>
      <c r="DL52" s="20"/>
      <c r="DM52" s="20"/>
      <c r="DN52" s="49"/>
      <c r="DO52" s="20"/>
      <c r="DP52" s="20"/>
      <c r="DQ52" s="20"/>
      <c r="DR52" s="20"/>
      <c r="DS52" s="20"/>
      <c r="DT52" s="20"/>
      <c r="DU52" s="20"/>
      <c r="DV52" s="49"/>
      <c r="DW52" s="52"/>
      <c r="DX52" s="20"/>
      <c r="DY52" s="20"/>
      <c r="DZ52" s="20"/>
      <c r="EA52" s="20"/>
      <c r="EB52" s="20"/>
      <c r="EC52" s="70"/>
      <c r="ED52" s="51"/>
      <c r="EE52" s="52"/>
      <c r="EF52" s="20"/>
      <c r="EG52" s="20"/>
      <c r="EH52" s="20"/>
      <c r="EI52" s="20"/>
      <c r="EJ52" s="20"/>
      <c r="EK52" s="70"/>
      <c r="EL52" s="51"/>
      <c r="EM52" s="52"/>
      <c r="EN52" s="20"/>
      <c r="EO52" s="20"/>
      <c r="EP52" s="20"/>
      <c r="EQ52" s="20"/>
      <c r="ER52" s="20"/>
      <c r="ES52" s="70"/>
      <c r="ET52" s="57"/>
      <c r="EU52" s="52"/>
      <c r="EV52" s="20"/>
      <c r="EW52" s="20"/>
      <c r="EX52" s="20"/>
      <c r="EY52" s="20"/>
      <c r="EZ52" s="20"/>
      <c r="FA52" s="70"/>
      <c r="FB52" s="57"/>
      <c r="FC52" s="52"/>
      <c r="FD52" s="20"/>
      <c r="FE52" s="20"/>
      <c r="FF52" s="20"/>
      <c r="FG52" s="20"/>
      <c r="FH52" s="20"/>
      <c r="FI52" s="70"/>
      <c r="FJ52" s="57"/>
      <c r="FK52" s="52"/>
      <c r="FL52" s="20"/>
      <c r="FM52" s="20"/>
      <c r="FN52" s="20"/>
      <c r="FO52" s="20"/>
      <c r="FP52" s="20"/>
      <c r="FQ52" s="70"/>
      <c r="FR52" s="57"/>
      <c r="FS52" s="52"/>
      <c r="FT52" s="20"/>
      <c r="FU52" s="20"/>
      <c r="FV52" s="20"/>
      <c r="FW52" s="20"/>
      <c r="FX52" s="20"/>
      <c r="FY52" s="70"/>
      <c r="FZ52" s="57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56"/>
      <c r="GW52" s="57"/>
      <c r="GX52" s="57"/>
      <c r="GY52" s="20"/>
      <c r="GZ52" s="20"/>
      <c r="HA52" s="20"/>
      <c r="HB52" s="20"/>
      <c r="HC52" s="20"/>
      <c r="HD52" s="56"/>
      <c r="HE52" s="57"/>
      <c r="HF52" s="57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136"/>
      <c r="LR52" s="136"/>
      <c r="LS52" s="136"/>
      <c r="LT52" s="136">
        <v>9</v>
      </c>
      <c r="LU52" s="136">
        <v>10</v>
      </c>
      <c r="LV52" s="136"/>
      <c r="LW52" s="136"/>
      <c r="LX52" s="136"/>
      <c r="LY52" s="136"/>
      <c r="LZ52" s="136"/>
      <c r="MA52" s="136"/>
      <c r="MB52" s="136"/>
      <c r="MC52" s="137"/>
      <c r="MD52" s="137">
        <v>0</v>
      </c>
      <c r="ME52" s="136"/>
      <c r="MF52" s="137"/>
      <c r="MG52" s="137"/>
      <c r="MH52" s="137"/>
      <c r="MI52" s="137"/>
      <c r="MJ52" s="137"/>
      <c r="MK52" s="137"/>
      <c r="ML52" s="137"/>
      <c r="MM52" s="137"/>
      <c r="MN52" s="137"/>
      <c r="MO52" s="137"/>
      <c r="MP52" s="137"/>
      <c r="MQ52" s="1">
        <v>0</v>
      </c>
      <c r="MR52" s="137">
        <v>0</v>
      </c>
      <c r="MS52" s="1">
        <v>0</v>
      </c>
      <c r="MT52" s="137">
        <v>0</v>
      </c>
      <c r="MU52" s="138">
        <v>0</v>
      </c>
      <c r="MV52" s="139">
        <f t="shared" si="9"/>
        <v>19</v>
      </c>
      <c r="MW52" s="121"/>
    </row>
    <row r="53" spans="1:361" s="58" customFormat="1" ht="18.75">
      <c r="A53" s="126" t="s">
        <v>219</v>
      </c>
      <c r="B53" s="46"/>
      <c r="C53" s="20"/>
      <c r="D53" s="20"/>
      <c r="E53" s="20"/>
      <c r="F53" s="20">
        <v>42</v>
      </c>
      <c r="G53" s="47"/>
      <c r="H53" s="48"/>
      <c r="I53" s="46"/>
      <c r="J53" s="20"/>
      <c r="K53" s="20"/>
      <c r="L53" s="20"/>
      <c r="M53" s="20"/>
      <c r="N53" s="47"/>
      <c r="O53" s="49">
        <f>I53+J53+K53+L53+M53+N53</f>
        <v>0</v>
      </c>
      <c r="P53" s="46"/>
      <c r="Q53" s="20"/>
      <c r="R53" s="20"/>
      <c r="S53" s="20"/>
      <c r="T53" s="20">
        <v>50</v>
      </c>
      <c r="U53" s="47"/>
      <c r="V53" s="49">
        <f>P53+Q53+R53+S53+T53+U53</f>
        <v>50</v>
      </c>
      <c r="W53" s="46"/>
      <c r="X53" s="20"/>
      <c r="Y53" s="20"/>
      <c r="Z53" s="20"/>
      <c r="AA53" s="20">
        <v>30</v>
      </c>
      <c r="AB53" s="47"/>
      <c r="AC53" s="49"/>
      <c r="AD53" s="46"/>
      <c r="AE53" s="20"/>
      <c r="AF53" s="20"/>
      <c r="AG53" s="20"/>
      <c r="AH53" s="20"/>
      <c r="AI53" s="47"/>
      <c r="AJ53" s="49"/>
      <c r="AK53" s="46"/>
      <c r="AL53" s="20"/>
      <c r="AM53" s="20"/>
      <c r="AN53" s="20"/>
      <c r="AO53" s="20"/>
      <c r="AP53" s="47">
        <v>50</v>
      </c>
      <c r="AQ53" s="49"/>
      <c r="AR53" s="20"/>
      <c r="AS53" s="20"/>
      <c r="AT53" s="20"/>
      <c r="AU53" s="20"/>
      <c r="AV53" s="20"/>
      <c r="AW53" s="20">
        <v>38</v>
      </c>
      <c r="AX53" s="20">
        <v>0</v>
      </c>
      <c r="AY53" s="49"/>
      <c r="AZ53" s="20">
        <v>45</v>
      </c>
      <c r="BA53" s="20"/>
      <c r="BB53" s="20"/>
      <c r="BC53" s="20"/>
      <c r="BD53" s="20"/>
      <c r="BE53" s="20">
        <v>18</v>
      </c>
      <c r="BF53" s="20"/>
      <c r="BG53" s="49"/>
      <c r="BH53" s="51">
        <v>15</v>
      </c>
      <c r="BI53" s="52"/>
      <c r="BJ53" s="20"/>
      <c r="BK53" s="20"/>
      <c r="BL53" s="20"/>
      <c r="BM53" s="20">
        <v>14</v>
      </c>
      <c r="BN53" s="20"/>
      <c r="BO53" s="49">
        <v>14</v>
      </c>
      <c r="BP53" s="51">
        <v>0</v>
      </c>
      <c r="BQ53" s="46"/>
      <c r="BR53" s="20"/>
      <c r="BS53" s="20"/>
      <c r="BT53" s="20"/>
      <c r="BU53" s="20">
        <v>42</v>
      </c>
      <c r="BV53" s="47"/>
      <c r="BW53" s="48"/>
      <c r="BX53" s="46"/>
      <c r="BY53" s="20"/>
      <c r="BZ53" s="20"/>
      <c r="CA53" s="20"/>
      <c r="CB53" s="20"/>
      <c r="CC53" s="47"/>
      <c r="CD53" s="49">
        <f>BX53+BY53+BZ53+CA53+CB53+CC53</f>
        <v>0</v>
      </c>
      <c r="CE53" s="46"/>
      <c r="CF53" s="20"/>
      <c r="CG53" s="20"/>
      <c r="CH53" s="20"/>
      <c r="CI53" s="20">
        <v>50</v>
      </c>
      <c r="CJ53" s="47"/>
      <c r="CK53" s="49">
        <f>CE53+CF53+CG53+CH53+CI53+CJ53</f>
        <v>50</v>
      </c>
      <c r="CL53" s="46"/>
      <c r="CM53" s="20"/>
      <c r="CN53" s="20"/>
      <c r="CO53" s="20"/>
      <c r="CP53" s="20">
        <v>30</v>
      </c>
      <c r="CQ53" s="47"/>
      <c r="CR53" s="49"/>
      <c r="CS53" s="46"/>
      <c r="CT53" s="20"/>
      <c r="CU53" s="20"/>
      <c r="CV53" s="20"/>
      <c r="CW53" s="20"/>
      <c r="CX53" s="47"/>
      <c r="CY53" s="49"/>
      <c r="CZ53" s="46"/>
      <c r="DA53" s="20"/>
      <c r="DB53" s="20"/>
      <c r="DC53" s="20"/>
      <c r="DD53" s="20"/>
      <c r="DE53" s="47">
        <v>50</v>
      </c>
      <c r="DF53" s="49"/>
      <c r="DG53" s="20"/>
      <c r="DH53" s="20"/>
      <c r="DI53" s="20"/>
      <c r="DJ53" s="20"/>
      <c r="DK53" s="20"/>
      <c r="DL53" s="20">
        <v>38</v>
      </c>
      <c r="DM53" s="20">
        <v>0</v>
      </c>
      <c r="DN53" s="49"/>
      <c r="DO53" s="20">
        <v>45</v>
      </c>
      <c r="DP53" s="20"/>
      <c r="DQ53" s="20"/>
      <c r="DR53" s="20"/>
      <c r="DS53" s="20"/>
      <c r="DT53" s="20">
        <v>18</v>
      </c>
      <c r="DU53" s="20"/>
      <c r="DV53" s="49"/>
      <c r="DW53" s="52"/>
      <c r="DX53" s="20"/>
      <c r="DY53" s="20"/>
      <c r="DZ53" s="20"/>
      <c r="EA53" s="20">
        <v>15</v>
      </c>
      <c r="EB53" s="20"/>
      <c r="EC53" s="70">
        <v>15</v>
      </c>
      <c r="ED53" s="51"/>
      <c r="EE53" s="52"/>
      <c r="EF53" s="20"/>
      <c r="EG53" s="20"/>
      <c r="EH53" s="20"/>
      <c r="EI53" s="20">
        <v>11</v>
      </c>
      <c r="EJ53" s="20"/>
      <c r="EK53" s="70"/>
      <c r="EL53" s="51"/>
      <c r="EM53" s="52"/>
      <c r="EN53" s="20"/>
      <c r="EO53" s="20"/>
      <c r="EP53" s="20"/>
      <c r="EQ53" s="20">
        <v>40</v>
      </c>
      <c r="ER53" s="20">
        <v>0</v>
      </c>
      <c r="ES53" s="70">
        <v>40</v>
      </c>
      <c r="ET53" s="57">
        <v>35</v>
      </c>
      <c r="EU53" s="52"/>
      <c r="EV53" s="20"/>
      <c r="EW53" s="20"/>
      <c r="EX53" s="20"/>
      <c r="EY53" s="20"/>
      <c r="EZ53" s="20"/>
      <c r="FA53" s="70"/>
      <c r="FB53" s="57"/>
      <c r="FC53" s="52"/>
      <c r="FD53" s="20"/>
      <c r="FE53" s="20"/>
      <c r="FF53" s="20"/>
      <c r="FG53" s="20">
        <v>40</v>
      </c>
      <c r="FH53" s="20"/>
      <c r="FI53" s="70">
        <v>40</v>
      </c>
      <c r="FJ53" s="57">
        <v>20</v>
      </c>
      <c r="FK53" s="52"/>
      <c r="FL53" s="20"/>
      <c r="FM53" s="20"/>
      <c r="FN53" s="20"/>
      <c r="FO53" s="20"/>
      <c r="FP53" s="20"/>
      <c r="FQ53" s="70"/>
      <c r="FR53" s="57"/>
      <c r="FS53" s="52"/>
      <c r="FT53" s="20"/>
      <c r="FU53" s="20"/>
      <c r="FV53" s="20"/>
      <c r="FW53" s="20"/>
      <c r="FX53" s="20"/>
      <c r="FY53" s="70"/>
      <c r="FZ53" s="57"/>
      <c r="GA53" s="20"/>
      <c r="GB53" s="20"/>
      <c r="GC53" s="20"/>
      <c r="GD53" s="20"/>
      <c r="GE53" s="20">
        <v>50</v>
      </c>
      <c r="GF53" s="20"/>
      <c r="GG53" s="20">
        <v>50</v>
      </c>
      <c r="GH53" s="20">
        <v>20</v>
      </c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>
        <v>18</v>
      </c>
      <c r="GV53" s="56"/>
      <c r="GW53" s="57">
        <v>18</v>
      </c>
      <c r="GX53" s="57">
        <v>15</v>
      </c>
      <c r="GY53" s="20"/>
      <c r="GZ53" s="20"/>
      <c r="HA53" s="20"/>
      <c r="HB53" s="20"/>
      <c r="HC53" s="20">
        <v>30</v>
      </c>
      <c r="HD53" s="56"/>
      <c r="HE53" s="57">
        <v>30</v>
      </c>
      <c r="HF53" s="57">
        <v>30</v>
      </c>
      <c r="HG53" s="20"/>
      <c r="HH53" s="20"/>
      <c r="HI53" s="20"/>
      <c r="HJ53" s="20"/>
      <c r="HK53" s="20">
        <v>30</v>
      </c>
      <c r="HL53" s="20"/>
      <c r="HM53" s="20">
        <v>30</v>
      </c>
      <c r="HN53" s="20">
        <v>30</v>
      </c>
      <c r="HO53" s="20"/>
      <c r="HP53" s="20"/>
      <c r="HQ53" s="20"/>
      <c r="HR53" s="20"/>
      <c r="HS53" s="20">
        <v>57</v>
      </c>
      <c r="HT53" s="20"/>
      <c r="HU53" s="20">
        <v>57</v>
      </c>
      <c r="HV53" s="20">
        <v>50</v>
      </c>
      <c r="HW53" s="20"/>
      <c r="HX53" s="20"/>
      <c r="HY53" s="20"/>
      <c r="HZ53" s="20"/>
      <c r="IA53" s="20">
        <v>12</v>
      </c>
      <c r="IB53" s="20"/>
      <c r="IC53" s="20">
        <v>12</v>
      </c>
      <c r="ID53" s="20">
        <v>10</v>
      </c>
      <c r="IE53" s="20"/>
      <c r="IF53" s="20"/>
      <c r="IG53" s="20"/>
      <c r="IH53" s="20"/>
      <c r="II53" s="20">
        <v>25</v>
      </c>
      <c r="IJ53" s="20"/>
      <c r="IK53" s="20">
        <v>25</v>
      </c>
      <c r="IL53" s="20">
        <v>30</v>
      </c>
      <c r="IM53" s="20"/>
      <c r="IN53" s="20"/>
      <c r="IO53" s="20"/>
      <c r="IP53" s="20"/>
      <c r="IQ53" s="20">
        <v>15</v>
      </c>
      <c r="IR53" s="20"/>
      <c r="IS53" s="20">
        <v>15</v>
      </c>
      <c r="IT53" s="20">
        <v>10</v>
      </c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>
        <v>10</v>
      </c>
      <c r="LQ53" s="136">
        <v>10</v>
      </c>
      <c r="LR53" s="136"/>
      <c r="LS53" s="136">
        <v>50</v>
      </c>
      <c r="LT53" s="136">
        <v>50</v>
      </c>
      <c r="LU53" s="136">
        <v>50</v>
      </c>
      <c r="LV53" s="136">
        <v>32</v>
      </c>
      <c r="LW53" s="136"/>
      <c r="LX53" s="136"/>
      <c r="LY53" s="136">
        <v>20</v>
      </c>
      <c r="LZ53" s="136">
        <v>25</v>
      </c>
      <c r="MA53" s="136">
        <v>32</v>
      </c>
      <c r="MB53" s="136"/>
      <c r="MC53" s="137">
        <v>22</v>
      </c>
      <c r="MD53" s="137">
        <v>0</v>
      </c>
      <c r="ME53" s="136"/>
      <c r="MF53" s="137"/>
      <c r="MG53" s="137"/>
      <c r="MH53" s="137">
        <v>32</v>
      </c>
      <c r="MI53" s="137"/>
      <c r="MJ53" s="137"/>
      <c r="MK53" s="137"/>
      <c r="ML53" s="137">
        <v>17</v>
      </c>
      <c r="MM53" s="137"/>
      <c r="MN53" s="137"/>
      <c r="MO53" s="137"/>
      <c r="MP53" s="137">
        <v>19</v>
      </c>
      <c r="MQ53" s="1">
        <v>10</v>
      </c>
      <c r="MR53" s="137">
        <v>0</v>
      </c>
      <c r="MS53" s="1">
        <v>24</v>
      </c>
      <c r="MT53" s="137">
        <v>13</v>
      </c>
      <c r="MU53" s="138">
        <v>10</v>
      </c>
      <c r="MV53" s="139">
        <f t="shared" si="9"/>
        <v>416</v>
      </c>
      <c r="MW53" s="121"/>
    </row>
    <row r="54" spans="1:361" s="58" customFormat="1" ht="18.75">
      <c r="A54" s="126" t="s">
        <v>220</v>
      </c>
      <c r="B54" s="46"/>
      <c r="C54" s="20"/>
      <c r="D54" s="20"/>
      <c r="E54" s="20"/>
      <c r="F54" s="20"/>
      <c r="G54" s="47">
        <v>177</v>
      </c>
      <c r="H54" s="48"/>
      <c r="I54" s="46"/>
      <c r="J54" s="20"/>
      <c r="K54" s="20"/>
      <c r="L54" s="20"/>
      <c r="M54" s="20"/>
      <c r="N54" s="47">
        <v>283</v>
      </c>
      <c r="O54" s="49">
        <f>I54+J54+K54+L54+M54+N54</f>
        <v>283</v>
      </c>
      <c r="P54" s="46"/>
      <c r="Q54" s="20"/>
      <c r="R54" s="20"/>
      <c r="S54" s="20"/>
      <c r="T54" s="20"/>
      <c r="U54" s="47">
        <v>184</v>
      </c>
      <c r="V54" s="49">
        <f>P54+Q54+R54+S54+T54+U54</f>
        <v>184</v>
      </c>
      <c r="W54" s="46"/>
      <c r="X54" s="20"/>
      <c r="Y54" s="20"/>
      <c r="Z54" s="20"/>
      <c r="AA54" s="20"/>
      <c r="AB54" s="47">
        <v>130</v>
      </c>
      <c r="AC54" s="49"/>
      <c r="AD54" s="46"/>
      <c r="AE54" s="20"/>
      <c r="AF54" s="20"/>
      <c r="AG54" s="20"/>
      <c r="AH54" s="20"/>
      <c r="AI54" s="47">
        <v>146</v>
      </c>
      <c r="AJ54" s="49"/>
      <c r="AK54" s="46"/>
      <c r="AL54" s="20"/>
      <c r="AM54" s="20"/>
      <c r="AN54" s="20"/>
      <c r="AO54" s="20"/>
      <c r="AP54" s="47">
        <v>88</v>
      </c>
      <c r="AQ54" s="49"/>
      <c r="AR54" s="20"/>
      <c r="AS54" s="20"/>
      <c r="AT54" s="20"/>
      <c r="AU54" s="20"/>
      <c r="AV54" s="20"/>
      <c r="AW54" s="20"/>
      <c r="AX54" s="20">
        <v>127</v>
      </c>
      <c r="AY54" s="49"/>
      <c r="AZ54" s="20">
        <v>175</v>
      </c>
      <c r="BA54" s="20"/>
      <c r="BB54" s="20"/>
      <c r="BC54" s="20"/>
      <c r="BD54" s="20"/>
      <c r="BE54" s="20"/>
      <c r="BF54" s="20">
        <v>133</v>
      </c>
      <c r="BG54" s="49"/>
      <c r="BH54" s="51">
        <v>150</v>
      </c>
      <c r="BI54" s="52"/>
      <c r="BJ54" s="20"/>
      <c r="BK54" s="20"/>
      <c r="BL54" s="20"/>
      <c r="BM54" s="20"/>
      <c r="BN54" s="20">
        <v>280</v>
      </c>
      <c r="BO54" s="49">
        <v>280</v>
      </c>
      <c r="BP54" s="51">
        <v>0</v>
      </c>
      <c r="BQ54" s="46"/>
      <c r="BR54" s="20"/>
      <c r="BS54" s="20"/>
      <c r="BT54" s="20"/>
      <c r="BU54" s="20"/>
      <c r="BV54" s="47">
        <v>177</v>
      </c>
      <c r="BW54" s="48"/>
      <c r="BX54" s="46"/>
      <c r="BY54" s="20"/>
      <c r="BZ54" s="20"/>
      <c r="CA54" s="20"/>
      <c r="CB54" s="20"/>
      <c r="CC54" s="47">
        <v>283</v>
      </c>
      <c r="CD54" s="49">
        <f>BX54+BY54+BZ54+CA54+CB54+CC54</f>
        <v>283</v>
      </c>
      <c r="CE54" s="46"/>
      <c r="CF54" s="20"/>
      <c r="CG54" s="20"/>
      <c r="CH54" s="20"/>
      <c r="CI54" s="20"/>
      <c r="CJ54" s="47">
        <v>184</v>
      </c>
      <c r="CK54" s="49">
        <f>CE54+CF54+CG54+CH54+CI54+CJ54</f>
        <v>184</v>
      </c>
      <c r="CL54" s="46"/>
      <c r="CM54" s="20"/>
      <c r="CN54" s="20"/>
      <c r="CO54" s="20"/>
      <c r="CP54" s="20"/>
      <c r="CQ54" s="47">
        <v>130</v>
      </c>
      <c r="CR54" s="49"/>
      <c r="CS54" s="46"/>
      <c r="CT54" s="20"/>
      <c r="CU54" s="20"/>
      <c r="CV54" s="20"/>
      <c r="CW54" s="20"/>
      <c r="CX54" s="47">
        <v>146</v>
      </c>
      <c r="CY54" s="49"/>
      <c r="CZ54" s="46"/>
      <c r="DA54" s="20"/>
      <c r="DB54" s="20"/>
      <c r="DC54" s="20"/>
      <c r="DD54" s="20"/>
      <c r="DE54" s="47">
        <v>88</v>
      </c>
      <c r="DF54" s="49"/>
      <c r="DG54" s="20"/>
      <c r="DH54" s="20"/>
      <c r="DI54" s="20"/>
      <c r="DJ54" s="20"/>
      <c r="DK54" s="20"/>
      <c r="DL54" s="20"/>
      <c r="DM54" s="20">
        <v>127</v>
      </c>
      <c r="DN54" s="49"/>
      <c r="DO54" s="20">
        <v>175</v>
      </c>
      <c r="DP54" s="20"/>
      <c r="DQ54" s="20"/>
      <c r="DR54" s="20"/>
      <c r="DS54" s="20"/>
      <c r="DT54" s="20"/>
      <c r="DU54" s="20">
        <v>133</v>
      </c>
      <c r="DV54" s="49"/>
      <c r="DW54" s="52"/>
      <c r="DX54" s="20"/>
      <c r="DY54" s="20"/>
      <c r="DZ54" s="20"/>
      <c r="EA54" s="20"/>
      <c r="EB54" s="20"/>
      <c r="EC54" s="70"/>
      <c r="ED54" s="51"/>
      <c r="EE54" s="52"/>
      <c r="EF54" s="20"/>
      <c r="EG54" s="20"/>
      <c r="EH54" s="20"/>
      <c r="EI54" s="20"/>
      <c r="EJ54" s="20">
        <v>79</v>
      </c>
      <c r="EK54" s="70"/>
      <c r="EL54" s="51"/>
      <c r="EM54" s="52"/>
      <c r="EN54" s="20"/>
      <c r="EO54" s="20"/>
      <c r="EP54" s="20"/>
      <c r="EQ54" s="20"/>
      <c r="ER54" s="20">
        <v>215</v>
      </c>
      <c r="ES54" s="70">
        <v>215</v>
      </c>
      <c r="ET54" s="57">
        <v>180</v>
      </c>
      <c r="EU54" s="52"/>
      <c r="EV54" s="20"/>
      <c r="EW54" s="20"/>
      <c r="EX54" s="20"/>
      <c r="EY54" s="20"/>
      <c r="EZ54" s="20">
        <v>246</v>
      </c>
      <c r="FA54" s="70">
        <v>246</v>
      </c>
      <c r="FB54" s="57">
        <v>200</v>
      </c>
      <c r="FC54" s="52"/>
      <c r="FD54" s="20"/>
      <c r="FE54" s="20"/>
      <c r="FF54" s="20"/>
      <c r="FG54" s="20"/>
      <c r="FH54" s="20">
        <v>193</v>
      </c>
      <c r="FI54" s="70">
        <v>193</v>
      </c>
      <c r="FJ54" s="57">
        <v>200</v>
      </c>
      <c r="FK54" s="52"/>
      <c r="FL54" s="20"/>
      <c r="FM54" s="20"/>
      <c r="FN54" s="20"/>
      <c r="FO54" s="20"/>
      <c r="FP54" s="20">
        <v>179</v>
      </c>
      <c r="FQ54" s="70">
        <v>229</v>
      </c>
      <c r="FR54" s="57">
        <v>150</v>
      </c>
      <c r="FS54" s="52"/>
      <c r="FT54" s="20"/>
      <c r="FU54" s="20"/>
      <c r="FV54" s="20"/>
      <c r="FW54" s="20"/>
      <c r="FX54" s="20">
        <v>237</v>
      </c>
      <c r="FY54" s="70">
        <v>237</v>
      </c>
      <c r="FZ54" s="57">
        <v>200</v>
      </c>
      <c r="GA54" s="20"/>
      <c r="GB54" s="20"/>
      <c r="GC54" s="20"/>
      <c r="GD54" s="20"/>
      <c r="GE54" s="20"/>
      <c r="GF54" s="20">
        <v>223</v>
      </c>
      <c r="GG54" s="20">
        <v>223</v>
      </c>
      <c r="GH54" s="20">
        <v>200</v>
      </c>
      <c r="GI54" s="20"/>
      <c r="GJ54" s="20"/>
      <c r="GK54" s="20"/>
      <c r="GL54" s="20"/>
      <c r="GM54" s="20"/>
      <c r="GN54" s="20">
        <v>150</v>
      </c>
      <c r="GO54" s="20">
        <v>150</v>
      </c>
      <c r="GP54" s="20">
        <v>150</v>
      </c>
      <c r="GQ54" s="20"/>
      <c r="GR54" s="20"/>
      <c r="GS54" s="20"/>
      <c r="GT54" s="20"/>
      <c r="GU54" s="20"/>
      <c r="GV54" s="56">
        <v>385</v>
      </c>
      <c r="GW54" s="57">
        <v>385</v>
      </c>
      <c r="GX54" s="57">
        <v>300</v>
      </c>
      <c r="GY54" s="20"/>
      <c r="GZ54" s="20"/>
      <c r="HA54" s="20"/>
      <c r="HB54" s="20"/>
      <c r="HC54" s="20"/>
      <c r="HD54" s="56">
        <v>220</v>
      </c>
      <c r="HE54" s="57">
        <v>220</v>
      </c>
      <c r="HF54" s="57">
        <v>200</v>
      </c>
      <c r="HG54" s="20"/>
      <c r="HH54" s="20"/>
      <c r="HI54" s="20"/>
      <c r="HJ54" s="20"/>
      <c r="HK54" s="20"/>
      <c r="HL54" s="20">
        <v>200</v>
      </c>
      <c r="HM54" s="20">
        <v>200</v>
      </c>
      <c r="HN54" s="20">
        <v>200</v>
      </c>
      <c r="HO54" s="20"/>
      <c r="HP54" s="20"/>
      <c r="HQ54" s="20"/>
      <c r="HR54" s="20"/>
      <c r="HS54" s="20"/>
      <c r="HT54" s="20">
        <v>300</v>
      </c>
      <c r="HU54" s="20">
        <v>300</v>
      </c>
      <c r="HV54" s="20">
        <v>350</v>
      </c>
      <c r="HW54" s="20"/>
      <c r="HX54" s="20"/>
      <c r="HY54" s="20"/>
      <c r="HZ54" s="20"/>
      <c r="IA54" s="20"/>
      <c r="IB54" s="20">
        <v>250</v>
      </c>
      <c r="IC54" s="20">
        <v>250</v>
      </c>
      <c r="ID54" s="20">
        <v>300</v>
      </c>
      <c r="IE54" s="20"/>
      <c r="IF54" s="20"/>
      <c r="IG54" s="20"/>
      <c r="IH54" s="20"/>
      <c r="II54" s="20"/>
      <c r="IJ54" s="20">
        <v>471</v>
      </c>
      <c r="IK54" s="20">
        <v>471</v>
      </c>
      <c r="IL54" s="20">
        <v>350</v>
      </c>
      <c r="IM54" s="20"/>
      <c r="IN54" s="20"/>
      <c r="IO54" s="20"/>
      <c r="IP54" s="20"/>
      <c r="IQ54" s="20"/>
      <c r="IR54" s="20">
        <v>245</v>
      </c>
      <c r="IS54" s="20">
        <v>245</v>
      </c>
      <c r="IT54" s="20">
        <v>200</v>
      </c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>
        <v>230</v>
      </c>
      <c r="KE54" s="20">
        <v>230</v>
      </c>
      <c r="KF54" s="20">
        <v>200</v>
      </c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136">
        <v>134</v>
      </c>
      <c r="LR54" s="136">
        <v>115</v>
      </c>
      <c r="LS54" s="136">
        <v>70</v>
      </c>
      <c r="LT54" s="136">
        <v>92</v>
      </c>
      <c r="LU54" s="136">
        <v>37</v>
      </c>
      <c r="LV54" s="136">
        <v>50</v>
      </c>
      <c r="LW54" s="136">
        <v>10</v>
      </c>
      <c r="LX54" s="136">
        <v>65</v>
      </c>
      <c r="LY54" s="136">
        <v>48</v>
      </c>
      <c r="LZ54" s="136">
        <v>170</v>
      </c>
      <c r="MA54" s="136">
        <v>95</v>
      </c>
      <c r="MB54" s="136"/>
      <c r="MC54" s="137">
        <v>40</v>
      </c>
      <c r="MD54" s="137">
        <v>40</v>
      </c>
      <c r="ME54" s="136">
        <v>24</v>
      </c>
      <c r="MF54" s="137">
        <v>15</v>
      </c>
      <c r="MG54" s="137">
        <v>24</v>
      </c>
      <c r="MH54" s="137">
        <v>319</v>
      </c>
      <c r="MI54" s="137">
        <v>13</v>
      </c>
      <c r="MJ54" s="137">
        <v>150</v>
      </c>
      <c r="MK54" s="137">
        <v>22</v>
      </c>
      <c r="ML54" s="137">
        <v>14</v>
      </c>
      <c r="MM54" s="137">
        <v>38</v>
      </c>
      <c r="MN54" s="137">
        <v>36</v>
      </c>
      <c r="MO54" s="137">
        <v>90</v>
      </c>
      <c r="MP54" s="137">
        <v>123</v>
      </c>
      <c r="MQ54" s="1">
        <v>100</v>
      </c>
      <c r="MR54" s="137">
        <v>196</v>
      </c>
      <c r="MS54" s="1">
        <v>205</v>
      </c>
      <c r="MT54" s="137">
        <v>300</v>
      </c>
      <c r="MU54" s="138">
        <v>175</v>
      </c>
      <c r="MV54" s="139">
        <f t="shared" si="9"/>
        <v>2810</v>
      </c>
      <c r="MW54" s="121"/>
    </row>
    <row r="55" spans="1:361" s="58" customFormat="1" ht="18.75">
      <c r="A55" s="126" t="s">
        <v>222</v>
      </c>
      <c r="B55" s="46"/>
      <c r="C55" s="20"/>
      <c r="D55" s="20"/>
      <c r="E55" s="20"/>
      <c r="F55" s="20"/>
      <c r="G55" s="47">
        <v>30</v>
      </c>
      <c r="H55" s="48"/>
      <c r="I55" s="46"/>
      <c r="J55" s="20"/>
      <c r="K55" s="20"/>
      <c r="L55" s="20"/>
      <c r="M55" s="20"/>
      <c r="N55" s="47">
        <v>90</v>
      </c>
      <c r="O55" s="49">
        <f>I55+J55+K55+L55+M55+N55</f>
        <v>90</v>
      </c>
      <c r="P55" s="46"/>
      <c r="Q55" s="20"/>
      <c r="R55" s="20"/>
      <c r="S55" s="20"/>
      <c r="T55" s="20"/>
      <c r="U55" s="47">
        <v>50</v>
      </c>
      <c r="V55" s="49">
        <f>P55+Q55+R55+S55+T55+U55</f>
        <v>50</v>
      </c>
      <c r="W55" s="46"/>
      <c r="X55" s="20"/>
      <c r="Y55" s="20"/>
      <c r="Z55" s="20"/>
      <c r="AA55" s="20"/>
      <c r="AB55" s="47"/>
      <c r="AC55" s="49"/>
      <c r="AD55" s="46"/>
      <c r="AE55" s="20"/>
      <c r="AF55" s="20"/>
      <c r="AG55" s="20"/>
      <c r="AH55" s="20"/>
      <c r="AI55" s="47">
        <v>115</v>
      </c>
      <c r="AJ55" s="49"/>
      <c r="AK55" s="46"/>
      <c r="AL55" s="20"/>
      <c r="AM55" s="20"/>
      <c r="AN55" s="20"/>
      <c r="AO55" s="20"/>
      <c r="AP55" s="47">
        <v>90</v>
      </c>
      <c r="AQ55" s="49"/>
      <c r="AR55" s="20"/>
      <c r="AS55" s="20"/>
      <c r="AT55" s="20"/>
      <c r="AU55" s="20"/>
      <c r="AV55" s="20"/>
      <c r="AW55" s="20"/>
      <c r="AX55" s="20">
        <v>85</v>
      </c>
      <c r="AY55" s="49"/>
      <c r="AZ55" s="20">
        <v>100</v>
      </c>
      <c r="BA55" s="20"/>
      <c r="BB55" s="20"/>
      <c r="BC55" s="20"/>
      <c r="BD55" s="20"/>
      <c r="BE55" s="20"/>
      <c r="BF55" s="20">
        <v>71</v>
      </c>
      <c r="BG55" s="49"/>
      <c r="BH55" s="51">
        <v>80</v>
      </c>
      <c r="BI55" s="52"/>
      <c r="BJ55" s="20"/>
      <c r="BK55" s="20"/>
      <c r="BL55" s="20"/>
      <c r="BM55" s="20"/>
      <c r="BN55" s="20">
        <v>121</v>
      </c>
      <c r="BO55" s="49">
        <v>121</v>
      </c>
      <c r="BP55" s="51">
        <v>140</v>
      </c>
      <c r="BQ55" s="46"/>
      <c r="BR55" s="20"/>
      <c r="BS55" s="20"/>
      <c r="BT55" s="20"/>
      <c r="BU55" s="20"/>
      <c r="BV55" s="47">
        <v>30</v>
      </c>
      <c r="BW55" s="48"/>
      <c r="BX55" s="46"/>
      <c r="BY55" s="20"/>
      <c r="BZ55" s="20"/>
      <c r="CA55" s="20"/>
      <c r="CB55" s="20"/>
      <c r="CC55" s="47">
        <v>90</v>
      </c>
      <c r="CD55" s="49">
        <f>BX55+BY55+BZ55+CA55+CB55+CC55</f>
        <v>90</v>
      </c>
      <c r="CE55" s="46"/>
      <c r="CF55" s="20"/>
      <c r="CG55" s="20"/>
      <c r="CH55" s="20"/>
      <c r="CI55" s="20"/>
      <c r="CJ55" s="47">
        <v>50</v>
      </c>
      <c r="CK55" s="49">
        <f>CE55+CF55+CG55+CH55+CI55+CJ55</f>
        <v>50</v>
      </c>
      <c r="CL55" s="46"/>
      <c r="CM55" s="20"/>
      <c r="CN55" s="20"/>
      <c r="CO55" s="20"/>
      <c r="CP55" s="20"/>
      <c r="CQ55" s="47"/>
      <c r="CR55" s="49"/>
      <c r="CS55" s="46"/>
      <c r="CT55" s="20"/>
      <c r="CU55" s="20"/>
      <c r="CV55" s="20"/>
      <c r="CW55" s="20"/>
      <c r="CX55" s="47">
        <v>115</v>
      </c>
      <c r="CY55" s="49"/>
      <c r="CZ55" s="46"/>
      <c r="DA55" s="20"/>
      <c r="DB55" s="20"/>
      <c r="DC55" s="20"/>
      <c r="DD55" s="20"/>
      <c r="DE55" s="47">
        <v>90</v>
      </c>
      <c r="DF55" s="49"/>
      <c r="DG55" s="20"/>
      <c r="DH55" s="20"/>
      <c r="DI55" s="20"/>
      <c r="DJ55" s="20"/>
      <c r="DK55" s="20"/>
      <c r="DL55" s="20"/>
      <c r="DM55" s="20">
        <v>85</v>
      </c>
      <c r="DN55" s="49"/>
      <c r="DO55" s="20">
        <v>100</v>
      </c>
      <c r="DP55" s="20"/>
      <c r="DQ55" s="20"/>
      <c r="DR55" s="20"/>
      <c r="DS55" s="20"/>
      <c r="DT55" s="20"/>
      <c r="DU55" s="20">
        <v>71</v>
      </c>
      <c r="DV55" s="49"/>
      <c r="DW55" s="52"/>
      <c r="DX55" s="20"/>
      <c r="DY55" s="20"/>
      <c r="DZ55" s="20"/>
      <c r="EA55" s="20"/>
      <c r="EB55" s="20">
        <v>135</v>
      </c>
      <c r="EC55" s="70">
        <v>135</v>
      </c>
      <c r="ED55" s="51">
        <v>150</v>
      </c>
      <c r="EE55" s="52"/>
      <c r="EF55" s="20"/>
      <c r="EG55" s="20"/>
      <c r="EH55" s="20"/>
      <c r="EI55" s="20"/>
      <c r="EJ55" s="20">
        <v>140</v>
      </c>
      <c r="EK55" s="70"/>
      <c r="EL55" s="51"/>
      <c r="EM55" s="52"/>
      <c r="EN55" s="20"/>
      <c r="EO55" s="20"/>
      <c r="EP55" s="20"/>
      <c r="EQ55" s="20"/>
      <c r="ER55" s="20">
        <v>138</v>
      </c>
      <c r="ES55" s="70">
        <v>138</v>
      </c>
      <c r="ET55" s="57">
        <v>160</v>
      </c>
      <c r="EU55" s="52"/>
      <c r="EV55" s="20"/>
      <c r="EW55" s="20"/>
      <c r="EX55" s="20"/>
      <c r="EY55" s="20"/>
      <c r="EZ55" s="20">
        <v>116</v>
      </c>
      <c r="FA55" s="70">
        <v>116</v>
      </c>
      <c r="FB55" s="57">
        <v>100</v>
      </c>
      <c r="FC55" s="52"/>
      <c r="FD55" s="20"/>
      <c r="FE55" s="20"/>
      <c r="FF55" s="20"/>
      <c r="FG55" s="20"/>
      <c r="FH55" s="20">
        <v>118</v>
      </c>
      <c r="FI55" s="70">
        <v>118</v>
      </c>
      <c r="FJ55" s="57">
        <v>120</v>
      </c>
      <c r="FK55" s="52"/>
      <c r="FL55" s="20"/>
      <c r="FM55" s="20"/>
      <c r="FN55" s="20"/>
      <c r="FO55" s="20"/>
      <c r="FP55" s="20">
        <v>105</v>
      </c>
      <c r="FQ55" s="70">
        <v>105</v>
      </c>
      <c r="FR55" s="57">
        <v>120</v>
      </c>
      <c r="FS55" s="52"/>
      <c r="FT55" s="20"/>
      <c r="FU55" s="20"/>
      <c r="FV55" s="20"/>
      <c r="FW55" s="20"/>
      <c r="FX55" s="20">
        <v>25</v>
      </c>
      <c r="FY55" s="70">
        <v>25</v>
      </c>
      <c r="FZ55" s="57">
        <v>60</v>
      </c>
      <c r="GA55" s="20"/>
      <c r="GB55" s="20"/>
      <c r="GC55" s="20"/>
      <c r="GD55" s="20"/>
      <c r="GE55" s="20"/>
      <c r="GF55" s="20">
        <v>127</v>
      </c>
      <c r="GG55" s="20">
        <v>127</v>
      </c>
      <c r="GH55" s="20">
        <v>120</v>
      </c>
      <c r="GI55" s="20"/>
      <c r="GJ55" s="20"/>
      <c r="GK55" s="20"/>
      <c r="GL55" s="20"/>
      <c r="GM55" s="20"/>
      <c r="GN55" s="20">
        <v>78</v>
      </c>
      <c r="GO55" s="20">
        <v>78</v>
      </c>
      <c r="GP55" s="20">
        <v>80</v>
      </c>
      <c r="GQ55" s="20"/>
      <c r="GR55" s="20"/>
      <c r="GS55" s="20"/>
      <c r="GT55" s="20"/>
      <c r="GU55" s="20"/>
      <c r="GV55" s="56">
        <v>84</v>
      </c>
      <c r="GW55" s="57">
        <v>84</v>
      </c>
      <c r="GX55" s="57">
        <v>90</v>
      </c>
      <c r="GY55" s="20"/>
      <c r="GZ55" s="20"/>
      <c r="HA55" s="20"/>
      <c r="HB55" s="20"/>
      <c r="HC55" s="20"/>
      <c r="HD55" s="56">
        <v>90</v>
      </c>
      <c r="HE55" s="57">
        <v>90</v>
      </c>
      <c r="HF55" s="57">
        <v>90</v>
      </c>
      <c r="HG55" s="20"/>
      <c r="HH55" s="20"/>
      <c r="HI55" s="20"/>
      <c r="HJ55" s="20"/>
      <c r="HK55" s="20"/>
      <c r="HL55" s="20">
        <v>60</v>
      </c>
      <c r="HM55" s="20">
        <v>60</v>
      </c>
      <c r="HN55" s="20">
        <v>80</v>
      </c>
      <c r="HO55" s="20"/>
      <c r="HP55" s="20"/>
      <c r="HQ55" s="20"/>
      <c r="HR55" s="20"/>
      <c r="HS55" s="20"/>
      <c r="HT55" s="20">
        <v>30</v>
      </c>
      <c r="HU55" s="20">
        <v>30</v>
      </c>
      <c r="HV55" s="20">
        <v>30</v>
      </c>
      <c r="HW55" s="20"/>
      <c r="HX55" s="20"/>
      <c r="HY55" s="20"/>
      <c r="HZ55" s="20"/>
      <c r="IA55" s="20"/>
      <c r="IB55" s="20">
        <v>83</v>
      </c>
      <c r="IC55" s="20">
        <v>83</v>
      </c>
      <c r="ID55" s="20">
        <v>120</v>
      </c>
      <c r="IE55" s="20"/>
      <c r="IF55" s="20"/>
      <c r="IG55" s="20"/>
      <c r="IH55" s="20"/>
      <c r="II55" s="20"/>
      <c r="IJ55" s="20">
        <v>205</v>
      </c>
      <c r="IK55" s="20">
        <v>205</v>
      </c>
      <c r="IL55" s="20">
        <v>150</v>
      </c>
      <c r="IM55" s="20"/>
      <c r="IN55" s="20"/>
      <c r="IO55" s="20"/>
      <c r="IP55" s="20"/>
      <c r="IQ55" s="20"/>
      <c r="IR55" s="20">
        <v>41</v>
      </c>
      <c r="IS55" s="20">
        <v>41</v>
      </c>
      <c r="IT55" s="20">
        <v>100</v>
      </c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>
        <v>80</v>
      </c>
      <c r="KE55" s="20">
        <v>80</v>
      </c>
      <c r="KF55" s="20">
        <v>70</v>
      </c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136">
        <v>30</v>
      </c>
      <c r="LR55" s="136">
        <v>90</v>
      </c>
      <c r="LS55" s="136">
        <v>110</v>
      </c>
      <c r="LT55" s="136">
        <v>134</v>
      </c>
      <c r="LU55" s="136">
        <v>107</v>
      </c>
      <c r="LV55" s="136">
        <v>150</v>
      </c>
      <c r="LW55" s="136">
        <v>121</v>
      </c>
      <c r="LX55" s="136">
        <v>109</v>
      </c>
      <c r="LY55" s="136">
        <v>273</v>
      </c>
      <c r="LZ55" s="136"/>
      <c r="MA55" s="136">
        <v>233</v>
      </c>
      <c r="MB55" s="136">
        <v>301</v>
      </c>
      <c r="MC55" s="137">
        <v>275</v>
      </c>
      <c r="MD55" s="137">
        <v>92</v>
      </c>
      <c r="ME55" s="136">
        <v>238</v>
      </c>
      <c r="MF55" s="137">
        <v>270</v>
      </c>
      <c r="MG55" s="137">
        <v>253</v>
      </c>
      <c r="MH55" s="137"/>
      <c r="MI55" s="137">
        <v>127</v>
      </c>
      <c r="MJ55" s="137">
        <v>378</v>
      </c>
      <c r="MK55" s="137"/>
      <c r="ML55" s="137">
        <v>120</v>
      </c>
      <c r="MM55" s="137"/>
      <c r="MN55" s="137">
        <v>166</v>
      </c>
      <c r="MO55" s="137">
        <v>284</v>
      </c>
      <c r="MP55" s="137">
        <v>95</v>
      </c>
      <c r="MQ55" s="1">
        <v>320</v>
      </c>
      <c r="MR55" s="137">
        <v>166</v>
      </c>
      <c r="MS55" s="1">
        <v>307</v>
      </c>
      <c r="MT55" s="137">
        <v>353</v>
      </c>
      <c r="MU55" s="138">
        <v>360</v>
      </c>
      <c r="MV55" s="139">
        <f t="shared" si="9"/>
        <v>5462</v>
      </c>
      <c r="MW55" s="121"/>
    </row>
    <row r="56" spans="1:361" s="58" customFormat="1" ht="18.75">
      <c r="A56" s="126" t="s">
        <v>223</v>
      </c>
      <c r="B56" s="46"/>
      <c r="C56" s="20"/>
      <c r="D56" s="20"/>
      <c r="E56" s="20"/>
      <c r="F56" s="20"/>
      <c r="G56" s="47"/>
      <c r="H56" s="48"/>
      <c r="I56" s="46"/>
      <c r="J56" s="20"/>
      <c r="K56" s="20"/>
      <c r="L56" s="20"/>
      <c r="M56" s="20"/>
      <c r="N56" s="47">
        <v>12</v>
      </c>
      <c r="O56" s="49">
        <f>I56+J56+K56+L56+M56+N56</f>
        <v>12</v>
      </c>
      <c r="P56" s="46"/>
      <c r="Q56" s="20"/>
      <c r="R56" s="20">
        <v>15</v>
      </c>
      <c r="S56" s="20"/>
      <c r="T56" s="20"/>
      <c r="U56" s="47"/>
      <c r="V56" s="49">
        <f>P56+Q56+R56+S56+T56+U56</f>
        <v>15</v>
      </c>
      <c r="W56" s="46"/>
      <c r="X56" s="20"/>
      <c r="Y56" s="20"/>
      <c r="Z56" s="20"/>
      <c r="AA56" s="20"/>
      <c r="AB56" s="47">
        <v>24</v>
      </c>
      <c r="AC56" s="49"/>
      <c r="AD56" s="46"/>
      <c r="AE56" s="20"/>
      <c r="AF56" s="20"/>
      <c r="AG56" s="20"/>
      <c r="AH56" s="20"/>
      <c r="AI56" s="47">
        <v>20</v>
      </c>
      <c r="AJ56" s="49"/>
      <c r="AK56" s="46"/>
      <c r="AL56" s="20"/>
      <c r="AM56" s="20"/>
      <c r="AN56" s="20"/>
      <c r="AO56" s="20"/>
      <c r="AP56" s="47">
        <v>36</v>
      </c>
      <c r="AQ56" s="49"/>
      <c r="AR56" s="20"/>
      <c r="AS56" s="20"/>
      <c r="AT56" s="20"/>
      <c r="AU56" s="20"/>
      <c r="AV56" s="20"/>
      <c r="AW56" s="20"/>
      <c r="AX56" s="20">
        <v>20</v>
      </c>
      <c r="AY56" s="49"/>
      <c r="AZ56" s="20">
        <v>45</v>
      </c>
      <c r="BA56" s="20"/>
      <c r="BB56" s="20"/>
      <c r="BC56" s="20"/>
      <c r="BD56" s="20"/>
      <c r="BE56" s="20"/>
      <c r="BF56" s="20">
        <v>32</v>
      </c>
      <c r="BG56" s="49"/>
      <c r="BH56" s="51">
        <v>35</v>
      </c>
      <c r="BI56" s="52"/>
      <c r="BJ56" s="20"/>
      <c r="BK56" s="20"/>
      <c r="BL56" s="20"/>
      <c r="BM56" s="20"/>
      <c r="BN56" s="20"/>
      <c r="BO56" s="49">
        <v>0</v>
      </c>
      <c r="BP56" s="51">
        <v>0</v>
      </c>
      <c r="BQ56" s="46"/>
      <c r="BR56" s="20"/>
      <c r="BS56" s="20"/>
      <c r="BT56" s="20"/>
      <c r="BU56" s="20"/>
      <c r="BV56" s="47"/>
      <c r="BW56" s="48"/>
      <c r="BX56" s="46"/>
      <c r="BY56" s="20"/>
      <c r="BZ56" s="20"/>
      <c r="CA56" s="20"/>
      <c r="CB56" s="20"/>
      <c r="CC56" s="47">
        <v>12</v>
      </c>
      <c r="CD56" s="49">
        <f>BX56+BY56+BZ56+CA56+CB56+CC56</f>
        <v>12</v>
      </c>
      <c r="CE56" s="46"/>
      <c r="CF56" s="20"/>
      <c r="CG56" s="20">
        <v>15</v>
      </c>
      <c r="CH56" s="20"/>
      <c r="CI56" s="20"/>
      <c r="CJ56" s="47"/>
      <c r="CK56" s="49">
        <f>CE56+CF56+CG56+CH56+CI56+CJ56</f>
        <v>15</v>
      </c>
      <c r="CL56" s="46"/>
      <c r="CM56" s="20"/>
      <c r="CN56" s="20"/>
      <c r="CO56" s="20"/>
      <c r="CP56" s="20"/>
      <c r="CQ56" s="47">
        <v>24</v>
      </c>
      <c r="CR56" s="49"/>
      <c r="CS56" s="46"/>
      <c r="CT56" s="20"/>
      <c r="CU56" s="20"/>
      <c r="CV56" s="20"/>
      <c r="CW56" s="20"/>
      <c r="CX56" s="47">
        <v>20</v>
      </c>
      <c r="CY56" s="49"/>
      <c r="CZ56" s="46"/>
      <c r="DA56" s="20"/>
      <c r="DB56" s="20"/>
      <c r="DC56" s="20"/>
      <c r="DD56" s="20"/>
      <c r="DE56" s="47">
        <v>36</v>
      </c>
      <c r="DF56" s="49"/>
      <c r="DG56" s="20"/>
      <c r="DH56" s="20"/>
      <c r="DI56" s="20"/>
      <c r="DJ56" s="20"/>
      <c r="DK56" s="20"/>
      <c r="DL56" s="20"/>
      <c r="DM56" s="20">
        <v>20</v>
      </c>
      <c r="DN56" s="49"/>
      <c r="DO56" s="20">
        <v>45</v>
      </c>
      <c r="DP56" s="20"/>
      <c r="DQ56" s="20"/>
      <c r="DR56" s="20"/>
      <c r="DS56" s="20"/>
      <c r="DT56" s="20"/>
      <c r="DU56" s="20">
        <v>32</v>
      </c>
      <c r="DV56" s="49"/>
      <c r="DW56" s="52"/>
      <c r="DX56" s="20"/>
      <c r="DY56" s="20"/>
      <c r="DZ56" s="20"/>
      <c r="EA56" s="20"/>
      <c r="EB56" s="20">
        <v>40</v>
      </c>
      <c r="EC56" s="70">
        <v>40</v>
      </c>
      <c r="ED56" s="51">
        <v>40</v>
      </c>
      <c r="EE56" s="52"/>
      <c r="EF56" s="20"/>
      <c r="EG56" s="20"/>
      <c r="EH56" s="20"/>
      <c r="EI56" s="20"/>
      <c r="EJ56" s="20">
        <v>105</v>
      </c>
      <c r="EK56" s="70"/>
      <c r="EL56" s="51"/>
      <c r="EM56" s="52"/>
      <c r="EN56" s="20"/>
      <c r="EO56" s="20"/>
      <c r="EP56" s="20"/>
      <c r="EQ56" s="20"/>
      <c r="ER56" s="20">
        <v>20</v>
      </c>
      <c r="ES56" s="70">
        <v>20</v>
      </c>
      <c r="ET56" s="57">
        <v>60</v>
      </c>
      <c r="EU56" s="52"/>
      <c r="EV56" s="20"/>
      <c r="EW56" s="20"/>
      <c r="EX56" s="20"/>
      <c r="EY56" s="20"/>
      <c r="EZ56" s="20">
        <v>42</v>
      </c>
      <c r="FA56" s="70"/>
      <c r="FB56" s="57">
        <v>30</v>
      </c>
      <c r="FC56" s="52"/>
      <c r="FD56" s="20"/>
      <c r="FE56" s="20"/>
      <c r="FF56" s="20"/>
      <c r="FG56" s="20"/>
      <c r="FH56" s="20">
        <v>45</v>
      </c>
      <c r="FI56" s="70">
        <v>45</v>
      </c>
      <c r="FJ56" s="57">
        <v>30</v>
      </c>
      <c r="FK56" s="52"/>
      <c r="FL56" s="20"/>
      <c r="FM56" s="20"/>
      <c r="FN56" s="20"/>
      <c r="FO56" s="20"/>
      <c r="FP56" s="20">
        <v>20</v>
      </c>
      <c r="FQ56" s="70">
        <v>20</v>
      </c>
      <c r="FR56" s="57">
        <v>20</v>
      </c>
      <c r="FS56" s="52"/>
      <c r="FT56" s="20"/>
      <c r="FU56" s="20"/>
      <c r="FV56" s="20"/>
      <c r="FW56" s="20"/>
      <c r="FX56" s="20">
        <v>15</v>
      </c>
      <c r="FY56" s="70">
        <v>15</v>
      </c>
      <c r="FZ56" s="57">
        <v>10</v>
      </c>
      <c r="GA56" s="20"/>
      <c r="GB56" s="20"/>
      <c r="GC56" s="20"/>
      <c r="GD56" s="20"/>
      <c r="GE56" s="20"/>
      <c r="GF56" s="20">
        <v>15</v>
      </c>
      <c r="GG56" s="20">
        <v>15</v>
      </c>
      <c r="GH56" s="20">
        <v>20</v>
      </c>
      <c r="GI56" s="20"/>
      <c r="GJ56" s="20"/>
      <c r="GK56" s="20"/>
      <c r="GL56" s="20"/>
      <c r="GM56" s="20"/>
      <c r="GN56" s="20">
        <v>12</v>
      </c>
      <c r="GO56" s="20">
        <v>12</v>
      </c>
      <c r="GP56" s="20">
        <v>15</v>
      </c>
      <c r="GQ56" s="20"/>
      <c r="GR56" s="20"/>
      <c r="GS56" s="20"/>
      <c r="GT56" s="20"/>
      <c r="GU56" s="20"/>
      <c r="GV56" s="56">
        <v>7</v>
      </c>
      <c r="GW56" s="57">
        <v>7</v>
      </c>
      <c r="GX56" s="57">
        <v>10</v>
      </c>
      <c r="GY56" s="20"/>
      <c r="GZ56" s="20"/>
      <c r="HA56" s="20"/>
      <c r="HB56" s="20"/>
      <c r="HC56" s="20"/>
      <c r="HD56" s="56"/>
      <c r="HE56" s="57"/>
      <c r="HF56" s="57"/>
      <c r="HG56" s="20"/>
      <c r="HH56" s="20"/>
      <c r="HI56" s="20"/>
      <c r="HJ56" s="20"/>
      <c r="HK56" s="20"/>
      <c r="HL56" s="20">
        <v>20</v>
      </c>
      <c r="HM56" s="20">
        <v>20</v>
      </c>
      <c r="HN56" s="20">
        <v>10</v>
      </c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>
        <v>15</v>
      </c>
      <c r="IC56" s="20">
        <v>15</v>
      </c>
      <c r="ID56" s="20">
        <v>20</v>
      </c>
      <c r="IE56" s="20"/>
      <c r="IF56" s="20"/>
      <c r="IG56" s="20"/>
      <c r="IH56" s="20"/>
      <c r="II56" s="20"/>
      <c r="IJ56" s="20">
        <v>20</v>
      </c>
      <c r="IK56" s="20">
        <v>20</v>
      </c>
      <c r="IL56" s="20">
        <v>20</v>
      </c>
      <c r="IM56" s="20"/>
      <c r="IN56" s="20"/>
      <c r="IO56" s="20">
        <v>12</v>
      </c>
      <c r="IP56" s="20"/>
      <c r="IQ56" s="20"/>
      <c r="IR56" s="20"/>
      <c r="IS56" s="20">
        <v>12</v>
      </c>
      <c r="IT56" s="20">
        <v>15</v>
      </c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>
        <v>14</v>
      </c>
      <c r="KB56" s="20"/>
      <c r="KC56" s="20"/>
      <c r="KD56" s="20"/>
      <c r="KE56" s="20">
        <v>14</v>
      </c>
      <c r="KF56" s="20">
        <v>10</v>
      </c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136"/>
      <c r="LR56" s="136">
        <v>31</v>
      </c>
      <c r="LS56" s="136">
        <v>10</v>
      </c>
      <c r="LT56" s="136">
        <v>16</v>
      </c>
      <c r="LU56" s="136">
        <v>34</v>
      </c>
      <c r="LV56" s="136"/>
      <c r="LW56" s="136">
        <v>10</v>
      </c>
      <c r="LX56" s="136"/>
      <c r="LY56" s="136">
        <v>7</v>
      </c>
      <c r="LZ56" s="136"/>
      <c r="MA56" s="136">
        <v>42</v>
      </c>
      <c r="MB56" s="136">
        <v>18</v>
      </c>
      <c r="MC56" s="137">
        <v>8</v>
      </c>
      <c r="MD56" s="137">
        <v>21</v>
      </c>
      <c r="ME56" s="136"/>
      <c r="MF56" s="137"/>
      <c r="MG56" s="137"/>
      <c r="MH56" s="137">
        <v>18</v>
      </c>
      <c r="MI56" s="137"/>
      <c r="MJ56" s="137">
        <v>30</v>
      </c>
      <c r="MK56" s="137">
        <v>11</v>
      </c>
      <c r="ML56" s="137">
        <v>9</v>
      </c>
      <c r="MM56" s="137">
        <v>8</v>
      </c>
      <c r="MN56" s="137">
        <v>20</v>
      </c>
      <c r="MO56" s="137">
        <v>32</v>
      </c>
      <c r="MP56" s="137"/>
      <c r="MQ56" s="1">
        <v>50</v>
      </c>
      <c r="MR56" s="137">
        <v>25</v>
      </c>
      <c r="MS56" s="1">
        <v>41</v>
      </c>
      <c r="MT56" s="137">
        <v>27</v>
      </c>
      <c r="MU56" s="138">
        <v>47</v>
      </c>
      <c r="MV56" s="139">
        <f t="shared" si="9"/>
        <v>515</v>
      </c>
      <c r="MW56" s="121"/>
    </row>
    <row r="57" spans="1:361" s="58" customFormat="1" ht="18.75">
      <c r="A57" s="126" t="s">
        <v>224</v>
      </c>
      <c r="B57" s="46"/>
      <c r="C57" s="20"/>
      <c r="D57" s="20"/>
      <c r="E57" s="20"/>
      <c r="F57" s="20"/>
      <c r="G57" s="47"/>
      <c r="H57" s="48"/>
      <c r="I57" s="46"/>
      <c r="J57" s="20"/>
      <c r="K57" s="20"/>
      <c r="L57" s="20"/>
      <c r="M57" s="20"/>
      <c r="N57" s="47"/>
      <c r="O57" s="49"/>
      <c r="P57" s="46"/>
      <c r="Q57" s="20"/>
      <c r="R57" s="20"/>
      <c r="S57" s="20"/>
      <c r="T57" s="20"/>
      <c r="U57" s="47"/>
      <c r="V57" s="49"/>
      <c r="W57" s="46"/>
      <c r="X57" s="20"/>
      <c r="Y57" s="20"/>
      <c r="Z57" s="20"/>
      <c r="AA57" s="20"/>
      <c r="AB57" s="47"/>
      <c r="AC57" s="49"/>
      <c r="AD57" s="46"/>
      <c r="AE57" s="20"/>
      <c r="AF57" s="20"/>
      <c r="AG57" s="20"/>
      <c r="AH57" s="20"/>
      <c r="AI57" s="47"/>
      <c r="AJ57" s="49"/>
      <c r="AK57" s="46"/>
      <c r="AL57" s="20"/>
      <c r="AM57" s="20"/>
      <c r="AN57" s="20"/>
      <c r="AO57" s="20"/>
      <c r="AP57" s="47"/>
      <c r="AQ57" s="49"/>
      <c r="AR57" s="20"/>
      <c r="AS57" s="20"/>
      <c r="AT57" s="20"/>
      <c r="AU57" s="20"/>
      <c r="AV57" s="20"/>
      <c r="AW57" s="20"/>
      <c r="AX57" s="20"/>
      <c r="AY57" s="49"/>
      <c r="AZ57" s="20"/>
      <c r="BA57" s="20"/>
      <c r="BB57" s="20"/>
      <c r="BC57" s="20"/>
      <c r="BD57" s="20"/>
      <c r="BE57" s="20"/>
      <c r="BF57" s="20"/>
      <c r="BG57" s="49"/>
      <c r="BH57" s="51"/>
      <c r="BI57" s="52"/>
      <c r="BJ57" s="20"/>
      <c r="BK57" s="20"/>
      <c r="BL57" s="20"/>
      <c r="BM57" s="20"/>
      <c r="BN57" s="20"/>
      <c r="BO57" s="49"/>
      <c r="BP57" s="51"/>
      <c r="BQ57" s="46"/>
      <c r="BR57" s="20"/>
      <c r="BS57" s="20"/>
      <c r="BT57" s="20"/>
      <c r="BU57" s="20"/>
      <c r="BV57" s="47"/>
      <c r="BW57" s="48"/>
      <c r="BX57" s="46"/>
      <c r="BY57" s="20"/>
      <c r="BZ57" s="20"/>
      <c r="CA57" s="20"/>
      <c r="CB57" s="20"/>
      <c r="CC57" s="47"/>
      <c r="CD57" s="49"/>
      <c r="CE57" s="46"/>
      <c r="CF57" s="20"/>
      <c r="CG57" s="20"/>
      <c r="CH57" s="20"/>
      <c r="CI57" s="20"/>
      <c r="CJ57" s="47"/>
      <c r="CK57" s="49"/>
      <c r="CL57" s="46"/>
      <c r="CM57" s="20"/>
      <c r="CN57" s="20"/>
      <c r="CO57" s="20"/>
      <c r="CP57" s="20"/>
      <c r="CQ57" s="47"/>
      <c r="CR57" s="49"/>
      <c r="CS57" s="46"/>
      <c r="CT57" s="20"/>
      <c r="CU57" s="20"/>
      <c r="CV57" s="20"/>
      <c r="CW57" s="20"/>
      <c r="CX57" s="47"/>
      <c r="CY57" s="49"/>
      <c r="CZ57" s="46"/>
      <c r="DA57" s="20"/>
      <c r="DB57" s="20"/>
      <c r="DC57" s="20"/>
      <c r="DD57" s="20"/>
      <c r="DE57" s="47"/>
      <c r="DF57" s="49"/>
      <c r="DG57" s="20"/>
      <c r="DH57" s="20"/>
      <c r="DI57" s="20"/>
      <c r="DJ57" s="20"/>
      <c r="DK57" s="20"/>
      <c r="DL57" s="20"/>
      <c r="DM57" s="20"/>
      <c r="DN57" s="49"/>
      <c r="DO57" s="20"/>
      <c r="DP57" s="20"/>
      <c r="DQ57" s="20"/>
      <c r="DR57" s="20"/>
      <c r="DS57" s="20"/>
      <c r="DT57" s="20"/>
      <c r="DU57" s="20"/>
      <c r="DV57" s="49"/>
      <c r="DW57" s="52"/>
      <c r="DX57" s="20"/>
      <c r="DY57" s="20"/>
      <c r="DZ57" s="20"/>
      <c r="EA57" s="20"/>
      <c r="EB57" s="20"/>
      <c r="EC57" s="70"/>
      <c r="ED57" s="51"/>
      <c r="EE57" s="52"/>
      <c r="EF57" s="20"/>
      <c r="EG57" s="20"/>
      <c r="EH57" s="20"/>
      <c r="EI57" s="20"/>
      <c r="EJ57" s="20"/>
      <c r="EK57" s="70"/>
      <c r="EL57" s="51"/>
      <c r="EM57" s="52"/>
      <c r="EN57" s="20"/>
      <c r="EO57" s="20"/>
      <c r="EP57" s="20"/>
      <c r="EQ57" s="20"/>
      <c r="ER57" s="20"/>
      <c r="ES57" s="70"/>
      <c r="ET57" s="57"/>
      <c r="EU57" s="52"/>
      <c r="EV57" s="20"/>
      <c r="EW57" s="20"/>
      <c r="EX57" s="20"/>
      <c r="EY57" s="20"/>
      <c r="EZ57" s="20"/>
      <c r="FA57" s="70"/>
      <c r="FB57" s="57"/>
      <c r="FC57" s="52"/>
      <c r="FD57" s="20"/>
      <c r="FE57" s="20"/>
      <c r="FF57" s="20"/>
      <c r="FG57" s="20"/>
      <c r="FH57" s="20"/>
      <c r="FI57" s="70"/>
      <c r="FJ57" s="57"/>
      <c r="FK57" s="52"/>
      <c r="FL57" s="20"/>
      <c r="FM57" s="20"/>
      <c r="FN57" s="20"/>
      <c r="FO57" s="20"/>
      <c r="FP57" s="20"/>
      <c r="FQ57" s="70"/>
      <c r="FR57" s="57"/>
      <c r="FS57" s="52"/>
      <c r="FT57" s="20"/>
      <c r="FU57" s="20"/>
      <c r="FV57" s="20"/>
      <c r="FW57" s="20"/>
      <c r="FX57" s="20"/>
      <c r="FY57" s="70"/>
      <c r="FZ57" s="57"/>
      <c r="GA57" s="20"/>
      <c r="GB57" s="20"/>
      <c r="GC57" s="20"/>
      <c r="GD57" s="20"/>
      <c r="GE57" s="20">
        <v>50</v>
      </c>
      <c r="GF57" s="20"/>
      <c r="GG57" s="20">
        <v>50</v>
      </c>
      <c r="GH57" s="20">
        <v>50</v>
      </c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>
        <v>56</v>
      </c>
      <c r="GV57" s="56"/>
      <c r="GW57" s="57">
        <v>56</v>
      </c>
      <c r="GX57" s="57">
        <v>50</v>
      </c>
      <c r="GY57" s="20"/>
      <c r="GZ57" s="20"/>
      <c r="HA57" s="20"/>
      <c r="HB57" s="20"/>
      <c r="HC57" s="20"/>
      <c r="HD57" s="56"/>
      <c r="HE57" s="57"/>
      <c r="HF57" s="57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>
        <v>73</v>
      </c>
      <c r="HT57" s="20"/>
      <c r="HU57" s="20">
        <v>73</v>
      </c>
      <c r="HV57" s="20">
        <v>50</v>
      </c>
      <c r="HW57" s="20"/>
      <c r="HX57" s="20"/>
      <c r="HY57" s="20"/>
      <c r="HZ57" s="20"/>
      <c r="IA57" s="20">
        <v>100</v>
      </c>
      <c r="IB57" s="20"/>
      <c r="IC57" s="20">
        <v>100</v>
      </c>
      <c r="ID57" s="20">
        <v>100</v>
      </c>
      <c r="IE57" s="20"/>
      <c r="IF57" s="20"/>
      <c r="IG57" s="20"/>
      <c r="IH57" s="20"/>
      <c r="II57" s="20">
        <v>34</v>
      </c>
      <c r="IJ57" s="20"/>
      <c r="IK57" s="20">
        <v>34</v>
      </c>
      <c r="IL57" s="20">
        <v>30</v>
      </c>
      <c r="IM57" s="20"/>
      <c r="IN57" s="20"/>
      <c r="IO57" s="20"/>
      <c r="IP57" s="20"/>
      <c r="IQ57" s="20">
        <v>115</v>
      </c>
      <c r="IR57" s="20"/>
      <c r="IS57" s="20">
        <v>115</v>
      </c>
      <c r="IT57" s="20">
        <v>100</v>
      </c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>
        <v>100</v>
      </c>
      <c r="KD57" s="20"/>
      <c r="KE57" s="20">
        <v>100</v>
      </c>
      <c r="KF57" s="20">
        <v>50</v>
      </c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136"/>
      <c r="LR57" s="136"/>
      <c r="LS57" s="136"/>
      <c r="LT57" s="136"/>
      <c r="LU57" s="136"/>
      <c r="LV57" s="136"/>
      <c r="LW57" s="136"/>
      <c r="LX57" s="136"/>
      <c r="LY57" s="136"/>
      <c r="LZ57" s="136"/>
      <c r="MA57" s="136"/>
      <c r="MB57" s="136"/>
      <c r="MC57" s="137"/>
      <c r="MD57" s="137">
        <v>0</v>
      </c>
      <c r="ME57" s="136"/>
      <c r="MF57" s="137"/>
      <c r="MG57" s="137"/>
      <c r="MH57" s="137"/>
      <c r="MI57" s="137"/>
      <c r="MJ57" s="137"/>
      <c r="MK57" s="137"/>
      <c r="ML57" s="137">
        <v>35</v>
      </c>
      <c r="MM57" s="137"/>
      <c r="MN57" s="137"/>
      <c r="MO57" s="137"/>
      <c r="MP57" s="137"/>
      <c r="MQ57" s="1">
        <v>0</v>
      </c>
      <c r="MR57" s="137">
        <v>12</v>
      </c>
      <c r="MS57" s="1">
        <v>0</v>
      </c>
      <c r="MT57" s="137">
        <v>0</v>
      </c>
      <c r="MU57" s="138">
        <v>0</v>
      </c>
      <c r="MV57" s="139">
        <f t="shared" si="9"/>
        <v>47</v>
      </c>
      <c r="MW57" s="121"/>
    </row>
    <row r="58" spans="1:361" s="58" customFormat="1" ht="18.75">
      <c r="A58" s="128" t="s">
        <v>225</v>
      </c>
      <c r="B58" s="46"/>
      <c r="C58" s="20"/>
      <c r="D58" s="20"/>
      <c r="E58" s="20"/>
      <c r="F58" s="20"/>
      <c r="G58" s="47"/>
      <c r="H58" s="48"/>
      <c r="I58" s="46"/>
      <c r="J58" s="20"/>
      <c r="K58" s="20"/>
      <c r="L58" s="20"/>
      <c r="M58" s="20"/>
      <c r="N58" s="47"/>
      <c r="O58" s="49"/>
      <c r="P58" s="46"/>
      <c r="Q58" s="20"/>
      <c r="R58" s="20"/>
      <c r="S58" s="20"/>
      <c r="T58" s="20"/>
      <c r="U58" s="47"/>
      <c r="V58" s="49"/>
      <c r="W58" s="46"/>
      <c r="X58" s="20"/>
      <c r="Y58" s="20"/>
      <c r="Z58" s="20"/>
      <c r="AA58" s="20"/>
      <c r="AB58" s="47"/>
      <c r="AC58" s="49"/>
      <c r="AD58" s="46"/>
      <c r="AE58" s="20"/>
      <c r="AF58" s="20">
        <v>100</v>
      </c>
      <c r="AG58" s="20"/>
      <c r="AH58" s="20"/>
      <c r="AI58" s="47"/>
      <c r="AJ58" s="49"/>
      <c r="AK58" s="46"/>
      <c r="AL58" s="20"/>
      <c r="AM58" s="20">
        <v>20</v>
      </c>
      <c r="AN58" s="20"/>
      <c r="AO58" s="20"/>
      <c r="AP58" s="47"/>
      <c r="AQ58" s="49"/>
      <c r="AR58" s="20"/>
      <c r="AS58" s="20"/>
      <c r="AT58" s="20"/>
      <c r="AU58" s="20">
        <v>80</v>
      </c>
      <c r="AV58" s="20"/>
      <c r="AW58" s="20"/>
      <c r="AX58" s="20">
        <v>0</v>
      </c>
      <c r="AY58" s="49"/>
      <c r="AZ58" s="20">
        <v>100</v>
      </c>
      <c r="BA58" s="20">
        <v>30</v>
      </c>
      <c r="BB58" s="20"/>
      <c r="BC58" s="20"/>
      <c r="BD58" s="20"/>
      <c r="BE58" s="20"/>
      <c r="BF58" s="20"/>
      <c r="BG58" s="49"/>
      <c r="BH58" s="51">
        <v>20</v>
      </c>
      <c r="BI58" s="52">
        <v>0</v>
      </c>
      <c r="BJ58" s="20"/>
      <c r="BK58" s="20">
        <v>30</v>
      </c>
      <c r="BL58" s="20"/>
      <c r="BM58" s="20"/>
      <c r="BN58" s="20"/>
      <c r="BO58" s="49">
        <v>30</v>
      </c>
      <c r="BP58" s="51">
        <v>35</v>
      </c>
      <c r="BQ58" s="46"/>
      <c r="BR58" s="20"/>
      <c r="BS58" s="20"/>
      <c r="BT58" s="20"/>
      <c r="BU58" s="20"/>
      <c r="BV58" s="47"/>
      <c r="BW58" s="48"/>
      <c r="BX58" s="46"/>
      <c r="BY58" s="20"/>
      <c r="BZ58" s="20"/>
      <c r="CA58" s="20"/>
      <c r="CB58" s="20"/>
      <c r="CC58" s="47"/>
      <c r="CD58" s="49"/>
      <c r="CE58" s="46"/>
      <c r="CF58" s="20"/>
      <c r="CG58" s="20"/>
      <c r="CH58" s="20"/>
      <c r="CI58" s="20"/>
      <c r="CJ58" s="47"/>
      <c r="CK58" s="49"/>
      <c r="CL58" s="46"/>
      <c r="CM58" s="20"/>
      <c r="CN58" s="20"/>
      <c r="CO58" s="20"/>
      <c r="CP58" s="20"/>
      <c r="CQ58" s="47"/>
      <c r="CR58" s="49"/>
      <c r="CS58" s="46"/>
      <c r="CT58" s="20"/>
      <c r="CU58" s="20">
        <v>100</v>
      </c>
      <c r="CV58" s="20"/>
      <c r="CW58" s="20"/>
      <c r="CX58" s="47"/>
      <c r="CY58" s="49"/>
      <c r="CZ58" s="46"/>
      <c r="DA58" s="20"/>
      <c r="DB58" s="20">
        <v>20</v>
      </c>
      <c r="DC58" s="20"/>
      <c r="DD58" s="20"/>
      <c r="DE58" s="47"/>
      <c r="DF58" s="49"/>
      <c r="DG58" s="20"/>
      <c r="DH58" s="20"/>
      <c r="DI58" s="20"/>
      <c r="DJ58" s="20">
        <v>80</v>
      </c>
      <c r="DK58" s="20"/>
      <c r="DL58" s="20"/>
      <c r="DM58" s="20">
        <v>0</v>
      </c>
      <c r="DN58" s="49"/>
      <c r="DO58" s="20">
        <v>100</v>
      </c>
      <c r="DP58" s="20">
        <v>30</v>
      </c>
      <c r="DQ58" s="20"/>
      <c r="DR58" s="20"/>
      <c r="DS58" s="20"/>
      <c r="DT58" s="20"/>
      <c r="DU58" s="20"/>
      <c r="DV58" s="49"/>
      <c r="DW58" s="52"/>
      <c r="DX58" s="20"/>
      <c r="DY58" s="20"/>
      <c r="DZ58" s="20"/>
      <c r="EA58" s="20"/>
      <c r="EB58" s="20"/>
      <c r="EC58" s="70"/>
      <c r="ED58" s="51"/>
      <c r="EE58" s="52"/>
      <c r="EF58" s="20"/>
      <c r="EG58" s="20"/>
      <c r="EH58" s="20"/>
      <c r="EI58" s="20"/>
      <c r="EJ58" s="20"/>
      <c r="EK58" s="70"/>
      <c r="EL58" s="51"/>
      <c r="EM58" s="52"/>
      <c r="EN58" s="20"/>
      <c r="EO58" s="20">
        <v>15</v>
      </c>
      <c r="EP58" s="20"/>
      <c r="EQ58" s="20"/>
      <c r="ER58" s="20"/>
      <c r="ES58" s="70">
        <v>15</v>
      </c>
      <c r="ET58" s="57">
        <v>25</v>
      </c>
      <c r="EU58" s="52"/>
      <c r="EV58" s="20"/>
      <c r="EW58" s="20">
        <v>15</v>
      </c>
      <c r="EX58" s="20"/>
      <c r="EY58" s="20"/>
      <c r="EZ58" s="20"/>
      <c r="FA58" s="70">
        <v>15</v>
      </c>
      <c r="FB58" s="57">
        <v>10</v>
      </c>
      <c r="FC58" s="52"/>
      <c r="FD58" s="20"/>
      <c r="FE58" s="20"/>
      <c r="FF58" s="20"/>
      <c r="FG58" s="20"/>
      <c r="FH58" s="20">
        <v>27</v>
      </c>
      <c r="FI58" s="70">
        <v>27</v>
      </c>
      <c r="FJ58" s="57">
        <v>20</v>
      </c>
      <c r="FK58" s="52"/>
      <c r="FL58" s="20"/>
      <c r="FM58" s="20"/>
      <c r="FN58" s="20"/>
      <c r="FO58" s="20"/>
      <c r="FP58" s="20">
        <v>35</v>
      </c>
      <c r="FQ58" s="70">
        <v>35</v>
      </c>
      <c r="FR58" s="57">
        <v>40</v>
      </c>
      <c r="FS58" s="52"/>
      <c r="FT58" s="20"/>
      <c r="FU58" s="20"/>
      <c r="FV58" s="20"/>
      <c r="FW58" s="20"/>
      <c r="FX58" s="20"/>
      <c r="FY58" s="70"/>
      <c r="FZ58" s="57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>
        <v>17</v>
      </c>
      <c r="GT58" s="20"/>
      <c r="GU58" s="20"/>
      <c r="GV58" s="56"/>
      <c r="GW58" s="57">
        <v>17</v>
      </c>
      <c r="GX58" s="57">
        <v>10</v>
      </c>
      <c r="GY58" s="20"/>
      <c r="GZ58" s="20"/>
      <c r="HA58" s="20"/>
      <c r="HB58" s="20"/>
      <c r="HC58" s="20">
        <v>56</v>
      </c>
      <c r="HD58" s="56"/>
      <c r="HE58" s="57">
        <v>56</v>
      </c>
      <c r="HF58" s="57">
        <v>50</v>
      </c>
      <c r="HG58" s="20"/>
      <c r="HH58" s="20"/>
      <c r="HI58" s="20">
        <v>15</v>
      </c>
      <c r="HJ58" s="20"/>
      <c r="HK58" s="20"/>
      <c r="HL58" s="20"/>
      <c r="HM58" s="20">
        <v>15</v>
      </c>
      <c r="HN58" s="20">
        <v>10</v>
      </c>
      <c r="HO58" s="20"/>
      <c r="HP58" s="20"/>
      <c r="HQ58" s="20">
        <v>50</v>
      </c>
      <c r="HR58" s="20"/>
      <c r="HS58" s="20"/>
      <c r="HT58" s="20"/>
      <c r="HU58" s="20">
        <v>50</v>
      </c>
      <c r="HV58" s="20">
        <v>20</v>
      </c>
      <c r="HW58" s="20"/>
      <c r="HX58" s="20"/>
      <c r="HY58" s="20">
        <v>12</v>
      </c>
      <c r="HZ58" s="20"/>
      <c r="IA58" s="20"/>
      <c r="IB58" s="20"/>
      <c r="IC58" s="20">
        <v>12</v>
      </c>
      <c r="ID58" s="20">
        <v>10</v>
      </c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>
        <v>30</v>
      </c>
      <c r="IP58" s="20"/>
      <c r="IQ58" s="20"/>
      <c r="IR58" s="20"/>
      <c r="IS58" s="20">
        <v>30</v>
      </c>
      <c r="IT58" s="20">
        <v>20</v>
      </c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>
        <v>40</v>
      </c>
      <c r="KB58" s="20"/>
      <c r="KC58" s="20"/>
      <c r="KD58" s="20"/>
      <c r="KE58" s="20">
        <v>40</v>
      </c>
      <c r="KF58" s="20">
        <v>20</v>
      </c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136"/>
      <c r="LR58" s="136">
        <v>35</v>
      </c>
      <c r="LS58" s="136">
        <v>35</v>
      </c>
      <c r="LT58" s="136"/>
      <c r="LU58" s="136"/>
      <c r="LV58" s="136"/>
      <c r="LW58" s="136">
        <v>15</v>
      </c>
      <c r="LX58" s="136"/>
      <c r="LY58" s="136"/>
      <c r="LZ58" s="136"/>
      <c r="MA58" s="136"/>
      <c r="MB58" s="136">
        <v>12</v>
      </c>
      <c r="MC58" s="137"/>
      <c r="MD58" s="137">
        <v>0</v>
      </c>
      <c r="ME58" s="136"/>
      <c r="MF58" s="137"/>
      <c r="MG58" s="137"/>
      <c r="MH58" s="137">
        <v>14</v>
      </c>
      <c r="MI58" s="137"/>
      <c r="MJ58" s="137"/>
      <c r="MK58" s="137"/>
      <c r="ML58" s="137">
        <v>12</v>
      </c>
      <c r="MM58" s="137"/>
      <c r="MN58" s="137"/>
      <c r="MO58" s="137"/>
      <c r="MP58" s="137"/>
      <c r="MQ58" s="1">
        <v>30</v>
      </c>
      <c r="MR58" s="137">
        <v>0</v>
      </c>
      <c r="MS58" s="1">
        <v>67</v>
      </c>
      <c r="MT58" s="137">
        <v>0</v>
      </c>
      <c r="MU58" s="138">
        <v>0</v>
      </c>
      <c r="MV58" s="139">
        <f t="shared" si="9"/>
        <v>220</v>
      </c>
      <c r="MW58" s="121"/>
    </row>
    <row r="59" spans="1:361" s="58" customFormat="1" ht="18.75">
      <c r="A59" s="126" t="s">
        <v>226</v>
      </c>
      <c r="B59" s="46"/>
      <c r="C59" s="20"/>
      <c r="D59" s="20"/>
      <c r="E59" s="20"/>
      <c r="F59" s="20"/>
      <c r="G59" s="47"/>
      <c r="H59" s="48"/>
      <c r="I59" s="46"/>
      <c r="J59" s="20"/>
      <c r="K59" s="20"/>
      <c r="L59" s="20"/>
      <c r="M59" s="20"/>
      <c r="N59" s="47"/>
      <c r="O59" s="49"/>
      <c r="P59" s="46"/>
      <c r="Q59" s="20"/>
      <c r="R59" s="20"/>
      <c r="S59" s="20"/>
      <c r="T59" s="20"/>
      <c r="U59" s="47"/>
      <c r="V59" s="49"/>
      <c r="W59" s="46"/>
      <c r="X59" s="20"/>
      <c r="Y59" s="20"/>
      <c r="Z59" s="20"/>
      <c r="AA59" s="20">
        <v>80</v>
      </c>
      <c r="AB59" s="47">
        <v>24</v>
      </c>
      <c r="AC59" s="49"/>
      <c r="AD59" s="46"/>
      <c r="AE59" s="20"/>
      <c r="AF59" s="20"/>
      <c r="AG59" s="20"/>
      <c r="AH59" s="20"/>
      <c r="AI59" s="47"/>
      <c r="AJ59" s="49"/>
      <c r="AK59" s="46"/>
      <c r="AL59" s="20"/>
      <c r="AM59" s="20"/>
      <c r="AN59" s="20"/>
      <c r="AO59" s="20"/>
      <c r="AP59" s="47"/>
      <c r="AQ59" s="49"/>
      <c r="AR59" s="20"/>
      <c r="AS59" s="20"/>
      <c r="AT59" s="20"/>
      <c r="AU59" s="20"/>
      <c r="AV59" s="20"/>
      <c r="AW59" s="20"/>
      <c r="AX59" s="20">
        <v>0</v>
      </c>
      <c r="AY59" s="49"/>
      <c r="AZ59" s="20">
        <v>0</v>
      </c>
      <c r="BA59" s="20"/>
      <c r="BB59" s="20"/>
      <c r="BC59" s="20"/>
      <c r="BD59" s="20"/>
      <c r="BE59" s="20"/>
      <c r="BF59" s="20"/>
      <c r="BG59" s="49"/>
      <c r="BH59" s="51"/>
      <c r="BI59" s="52"/>
      <c r="BJ59" s="20"/>
      <c r="BK59" s="20"/>
      <c r="BL59" s="20"/>
      <c r="BM59" s="20"/>
      <c r="BN59" s="20">
        <v>0</v>
      </c>
      <c r="BO59" s="49">
        <v>0</v>
      </c>
      <c r="BP59" s="51">
        <v>0</v>
      </c>
      <c r="BQ59" s="46"/>
      <c r="BR59" s="20"/>
      <c r="BS59" s="20"/>
      <c r="BT59" s="20"/>
      <c r="BU59" s="20"/>
      <c r="BV59" s="47"/>
      <c r="BW59" s="48"/>
      <c r="BX59" s="46"/>
      <c r="BY59" s="20"/>
      <c r="BZ59" s="20"/>
      <c r="CA59" s="20"/>
      <c r="CB59" s="20"/>
      <c r="CC59" s="47"/>
      <c r="CD59" s="49"/>
      <c r="CE59" s="46"/>
      <c r="CF59" s="20"/>
      <c r="CG59" s="20"/>
      <c r="CH59" s="20"/>
      <c r="CI59" s="20"/>
      <c r="CJ59" s="47"/>
      <c r="CK59" s="49"/>
      <c r="CL59" s="46"/>
      <c r="CM59" s="20"/>
      <c r="CN59" s="20"/>
      <c r="CO59" s="20"/>
      <c r="CP59" s="20">
        <v>80</v>
      </c>
      <c r="CQ59" s="47">
        <v>24</v>
      </c>
      <c r="CR59" s="49"/>
      <c r="CS59" s="46"/>
      <c r="CT59" s="20"/>
      <c r="CU59" s="20"/>
      <c r="CV59" s="20"/>
      <c r="CW59" s="20"/>
      <c r="CX59" s="47"/>
      <c r="CY59" s="49"/>
      <c r="CZ59" s="46"/>
      <c r="DA59" s="20"/>
      <c r="DB59" s="20"/>
      <c r="DC59" s="20"/>
      <c r="DD59" s="20"/>
      <c r="DE59" s="47"/>
      <c r="DF59" s="49"/>
      <c r="DG59" s="20"/>
      <c r="DH59" s="20"/>
      <c r="DI59" s="20"/>
      <c r="DJ59" s="20"/>
      <c r="DK59" s="20"/>
      <c r="DL59" s="20"/>
      <c r="DM59" s="20">
        <v>0</v>
      </c>
      <c r="DN59" s="49"/>
      <c r="DO59" s="20">
        <v>0</v>
      </c>
      <c r="DP59" s="20"/>
      <c r="DQ59" s="20"/>
      <c r="DR59" s="20"/>
      <c r="DS59" s="20"/>
      <c r="DT59" s="20"/>
      <c r="DU59" s="20"/>
      <c r="DV59" s="49"/>
      <c r="DW59" s="52"/>
      <c r="DX59" s="20"/>
      <c r="DY59" s="20"/>
      <c r="DZ59" s="20"/>
      <c r="EA59" s="20"/>
      <c r="EB59" s="20"/>
      <c r="EC59" s="70"/>
      <c r="ED59" s="51"/>
      <c r="EE59" s="52"/>
      <c r="EF59" s="20"/>
      <c r="EG59" s="20"/>
      <c r="EH59" s="20"/>
      <c r="EI59" s="20"/>
      <c r="EJ59" s="20"/>
      <c r="EK59" s="70"/>
      <c r="EL59" s="51"/>
      <c r="EM59" s="52"/>
      <c r="EN59" s="20"/>
      <c r="EO59" s="20"/>
      <c r="EP59" s="20"/>
      <c r="EQ59" s="20"/>
      <c r="ER59" s="20"/>
      <c r="ES59" s="70"/>
      <c r="ET59" s="57"/>
      <c r="EU59" s="52"/>
      <c r="EV59" s="20"/>
      <c r="EW59" s="20"/>
      <c r="EX59" s="20"/>
      <c r="EY59" s="20"/>
      <c r="EZ59" s="20"/>
      <c r="FA59" s="70"/>
      <c r="FB59" s="57"/>
      <c r="FC59" s="52"/>
      <c r="FD59" s="20"/>
      <c r="FE59" s="20"/>
      <c r="FF59" s="20"/>
      <c r="FG59" s="20"/>
      <c r="FH59" s="20"/>
      <c r="FI59" s="70"/>
      <c r="FJ59" s="57"/>
      <c r="FK59" s="52"/>
      <c r="FL59" s="20"/>
      <c r="FM59" s="20"/>
      <c r="FN59" s="20"/>
      <c r="FO59" s="20"/>
      <c r="FP59" s="20"/>
      <c r="FQ59" s="70"/>
      <c r="FR59" s="57"/>
      <c r="FS59" s="52"/>
      <c r="FT59" s="20"/>
      <c r="FU59" s="20"/>
      <c r="FV59" s="20"/>
      <c r="FW59" s="20"/>
      <c r="FX59" s="20"/>
      <c r="FY59" s="70"/>
      <c r="FZ59" s="57"/>
      <c r="GA59" s="20"/>
      <c r="GB59" s="20"/>
      <c r="GC59" s="20">
        <v>15</v>
      </c>
      <c r="GD59" s="20"/>
      <c r="GE59" s="20"/>
      <c r="GF59" s="20"/>
      <c r="GG59" s="20">
        <v>15</v>
      </c>
      <c r="GH59" s="20">
        <v>10</v>
      </c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56"/>
      <c r="GW59" s="57"/>
      <c r="GX59" s="57"/>
      <c r="GY59" s="20"/>
      <c r="GZ59" s="20"/>
      <c r="HA59" s="20">
        <v>10</v>
      </c>
      <c r="HB59" s="20"/>
      <c r="HC59" s="20"/>
      <c r="HD59" s="56"/>
      <c r="HE59" s="57">
        <v>10</v>
      </c>
      <c r="HF59" s="57">
        <v>10</v>
      </c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>
        <v>5</v>
      </c>
      <c r="HZ59" s="20"/>
      <c r="IA59" s="20"/>
      <c r="IB59" s="20"/>
      <c r="IC59" s="20">
        <v>5</v>
      </c>
      <c r="ID59" s="20">
        <v>20</v>
      </c>
      <c r="IE59" s="20"/>
      <c r="IF59" s="20"/>
      <c r="IG59" s="20">
        <v>10</v>
      </c>
      <c r="IH59" s="20"/>
      <c r="II59" s="20"/>
      <c r="IJ59" s="20"/>
      <c r="IK59" s="20">
        <v>10</v>
      </c>
      <c r="IL59" s="20">
        <v>50</v>
      </c>
      <c r="IM59" s="20"/>
      <c r="IN59" s="20"/>
      <c r="IO59" s="20">
        <v>38</v>
      </c>
      <c r="IP59" s="20"/>
      <c r="IQ59" s="20"/>
      <c r="IR59" s="20"/>
      <c r="IS59" s="20">
        <v>38</v>
      </c>
      <c r="IT59" s="20">
        <v>70</v>
      </c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>
        <v>40</v>
      </c>
      <c r="KB59" s="20"/>
      <c r="KC59" s="20"/>
      <c r="KD59" s="20"/>
      <c r="KE59" s="20">
        <v>40</v>
      </c>
      <c r="KF59" s="20">
        <v>70</v>
      </c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136"/>
      <c r="LR59" s="136">
        <v>20</v>
      </c>
      <c r="LS59" s="136">
        <v>20</v>
      </c>
      <c r="LT59" s="136">
        <v>49</v>
      </c>
      <c r="LU59" s="136">
        <v>15</v>
      </c>
      <c r="LV59" s="136"/>
      <c r="LW59" s="136"/>
      <c r="LX59" s="136"/>
      <c r="LY59" s="136">
        <v>8</v>
      </c>
      <c r="LZ59" s="136">
        <v>40</v>
      </c>
      <c r="MA59" s="136">
        <v>12</v>
      </c>
      <c r="MB59" s="136">
        <v>10</v>
      </c>
      <c r="MC59" s="137"/>
      <c r="MD59" s="137">
        <v>0</v>
      </c>
      <c r="ME59" s="136"/>
      <c r="MF59" s="137">
        <v>30</v>
      </c>
      <c r="MG59" s="137"/>
      <c r="MH59" s="137"/>
      <c r="MI59" s="137"/>
      <c r="MJ59" s="137"/>
      <c r="MK59" s="137"/>
      <c r="ML59" s="137"/>
      <c r="MM59" s="137"/>
      <c r="MN59" s="137"/>
      <c r="MO59" s="137">
        <v>30</v>
      </c>
      <c r="MP59" s="137">
        <v>20</v>
      </c>
      <c r="MQ59" s="1">
        <v>0</v>
      </c>
      <c r="MR59" s="137">
        <v>8</v>
      </c>
      <c r="MS59" s="1">
        <v>0</v>
      </c>
      <c r="MT59" s="137">
        <v>20</v>
      </c>
      <c r="MU59" s="138">
        <v>100</v>
      </c>
      <c r="MV59" s="139">
        <f t="shared" si="9"/>
        <v>382</v>
      </c>
      <c r="MW59" s="121"/>
    </row>
    <row r="60" spans="1:361" s="58" customFormat="1" ht="18.75">
      <c r="A60" s="126" t="s">
        <v>227</v>
      </c>
      <c r="B60" s="46"/>
      <c r="C60" s="20"/>
      <c r="D60" s="20"/>
      <c r="E60" s="20"/>
      <c r="F60" s="20"/>
      <c r="G60" s="47"/>
      <c r="H60" s="48"/>
      <c r="I60" s="46"/>
      <c r="J60" s="20"/>
      <c r="K60" s="20"/>
      <c r="L60" s="20"/>
      <c r="M60" s="20"/>
      <c r="N60" s="47"/>
      <c r="O60" s="49"/>
      <c r="P60" s="46"/>
      <c r="Q60" s="20"/>
      <c r="R60" s="20"/>
      <c r="S60" s="20"/>
      <c r="T60" s="20"/>
      <c r="U60" s="47"/>
      <c r="V60" s="49"/>
      <c r="W60" s="46"/>
      <c r="X60" s="20"/>
      <c r="Y60" s="20"/>
      <c r="Z60" s="20"/>
      <c r="AA60" s="20"/>
      <c r="AB60" s="47"/>
      <c r="AC60" s="49"/>
      <c r="AD60" s="46"/>
      <c r="AE60" s="20"/>
      <c r="AF60" s="20"/>
      <c r="AG60" s="20"/>
      <c r="AH60" s="20"/>
      <c r="AI60" s="47"/>
      <c r="AJ60" s="49"/>
      <c r="AK60" s="46"/>
      <c r="AL60" s="20"/>
      <c r="AM60" s="20"/>
      <c r="AN60" s="20"/>
      <c r="AO60" s="20"/>
      <c r="AP60" s="47"/>
      <c r="AQ60" s="49"/>
      <c r="AR60" s="20"/>
      <c r="AS60" s="20"/>
      <c r="AT60" s="20"/>
      <c r="AU60" s="20"/>
      <c r="AV60" s="20"/>
      <c r="AW60" s="20"/>
      <c r="AX60" s="20"/>
      <c r="AY60" s="49"/>
      <c r="AZ60" s="20"/>
      <c r="BA60" s="20"/>
      <c r="BB60" s="20"/>
      <c r="BC60" s="20"/>
      <c r="BD60" s="20"/>
      <c r="BE60" s="20"/>
      <c r="BF60" s="20"/>
      <c r="BG60" s="49"/>
      <c r="BH60" s="51"/>
      <c r="BI60" s="52"/>
      <c r="BJ60" s="20"/>
      <c r="BK60" s="20"/>
      <c r="BL60" s="20"/>
      <c r="BM60" s="20"/>
      <c r="BN60" s="20"/>
      <c r="BO60" s="49"/>
      <c r="BP60" s="51"/>
      <c r="BQ60" s="46"/>
      <c r="BR60" s="20"/>
      <c r="BS60" s="20"/>
      <c r="BT60" s="20"/>
      <c r="BU60" s="20"/>
      <c r="BV60" s="47"/>
      <c r="BW60" s="48"/>
      <c r="BX60" s="46"/>
      <c r="BY60" s="20"/>
      <c r="BZ60" s="20"/>
      <c r="CA60" s="20"/>
      <c r="CB60" s="20"/>
      <c r="CC60" s="47"/>
      <c r="CD60" s="49"/>
      <c r="CE60" s="46"/>
      <c r="CF60" s="20"/>
      <c r="CG60" s="20"/>
      <c r="CH60" s="20"/>
      <c r="CI60" s="20"/>
      <c r="CJ60" s="47"/>
      <c r="CK60" s="49"/>
      <c r="CL60" s="46"/>
      <c r="CM60" s="20"/>
      <c r="CN60" s="20"/>
      <c r="CO60" s="20"/>
      <c r="CP60" s="20"/>
      <c r="CQ60" s="47"/>
      <c r="CR60" s="49"/>
      <c r="CS60" s="46"/>
      <c r="CT60" s="20"/>
      <c r="CU60" s="20"/>
      <c r="CV60" s="20"/>
      <c r="CW60" s="20"/>
      <c r="CX60" s="47"/>
      <c r="CY60" s="49"/>
      <c r="CZ60" s="46"/>
      <c r="DA60" s="20"/>
      <c r="DB60" s="20"/>
      <c r="DC60" s="20"/>
      <c r="DD60" s="20"/>
      <c r="DE60" s="47"/>
      <c r="DF60" s="49"/>
      <c r="DG60" s="20"/>
      <c r="DH60" s="20"/>
      <c r="DI60" s="20"/>
      <c r="DJ60" s="20"/>
      <c r="DK60" s="20"/>
      <c r="DL60" s="20"/>
      <c r="DM60" s="20"/>
      <c r="DN60" s="49"/>
      <c r="DO60" s="20"/>
      <c r="DP60" s="20"/>
      <c r="DQ60" s="20"/>
      <c r="DR60" s="20"/>
      <c r="DS60" s="20"/>
      <c r="DT60" s="20"/>
      <c r="DU60" s="20"/>
      <c r="DV60" s="49"/>
      <c r="DW60" s="52"/>
      <c r="DX60" s="20"/>
      <c r="DY60" s="20"/>
      <c r="DZ60" s="20"/>
      <c r="EA60" s="20"/>
      <c r="EB60" s="20"/>
      <c r="EC60" s="70"/>
      <c r="ED60" s="51"/>
      <c r="EE60" s="52"/>
      <c r="EF60" s="20"/>
      <c r="EG60" s="20"/>
      <c r="EH60" s="20"/>
      <c r="EI60" s="20"/>
      <c r="EJ60" s="20"/>
      <c r="EK60" s="70"/>
      <c r="EL60" s="51"/>
      <c r="EM60" s="52"/>
      <c r="EN60" s="20"/>
      <c r="EO60" s="20"/>
      <c r="EP60" s="20"/>
      <c r="EQ60" s="20"/>
      <c r="ER60" s="20"/>
      <c r="ES60" s="70"/>
      <c r="ET60" s="57"/>
      <c r="EU60" s="52"/>
      <c r="EV60" s="20"/>
      <c r="EW60" s="20"/>
      <c r="EX60" s="20"/>
      <c r="EY60" s="20"/>
      <c r="EZ60" s="20"/>
      <c r="FA60" s="70"/>
      <c r="FB60" s="57"/>
      <c r="FC60" s="52"/>
      <c r="FD60" s="20"/>
      <c r="FE60" s="20"/>
      <c r="FF60" s="20"/>
      <c r="FG60" s="20"/>
      <c r="FH60" s="20"/>
      <c r="FI60" s="70"/>
      <c r="FJ60" s="57"/>
      <c r="FK60" s="52"/>
      <c r="FL60" s="20"/>
      <c r="FM60" s="20"/>
      <c r="FN60" s="20"/>
      <c r="FO60" s="20"/>
      <c r="FP60" s="20"/>
      <c r="FQ60" s="70"/>
      <c r="FR60" s="57"/>
      <c r="FS60" s="52"/>
      <c r="FT60" s="20"/>
      <c r="FU60" s="20"/>
      <c r="FV60" s="20"/>
      <c r="FW60" s="20"/>
      <c r="FX60" s="20"/>
      <c r="FY60" s="70"/>
      <c r="FZ60" s="57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>
        <v>34</v>
      </c>
      <c r="GT60" s="20"/>
      <c r="GU60" s="20"/>
      <c r="GV60" s="56"/>
      <c r="GW60" s="57">
        <v>34</v>
      </c>
      <c r="GX60" s="57">
        <v>40</v>
      </c>
      <c r="GY60" s="20"/>
      <c r="GZ60" s="20"/>
      <c r="HA60" s="20"/>
      <c r="HB60" s="20"/>
      <c r="HC60" s="20"/>
      <c r="HD60" s="56"/>
      <c r="HE60" s="57"/>
      <c r="HF60" s="57"/>
      <c r="HG60" s="20"/>
      <c r="HH60" s="20"/>
      <c r="HI60" s="20">
        <v>18</v>
      </c>
      <c r="HJ60" s="20"/>
      <c r="HK60" s="20"/>
      <c r="HL60" s="20"/>
      <c r="HM60" s="20">
        <v>18</v>
      </c>
      <c r="HN60" s="20">
        <v>10</v>
      </c>
      <c r="HO60" s="20"/>
      <c r="HP60" s="20"/>
      <c r="HQ60" s="20">
        <v>60</v>
      </c>
      <c r="HR60" s="20"/>
      <c r="HS60" s="20"/>
      <c r="HT60" s="20"/>
      <c r="HU60" s="20">
        <v>60</v>
      </c>
      <c r="HV60" s="20">
        <v>40</v>
      </c>
      <c r="HW60" s="20"/>
      <c r="HX60" s="20"/>
      <c r="HY60" s="20">
        <v>9</v>
      </c>
      <c r="HZ60" s="20"/>
      <c r="IA60" s="20"/>
      <c r="IB60" s="20"/>
      <c r="IC60" s="20">
        <v>9</v>
      </c>
      <c r="ID60" s="20">
        <v>10</v>
      </c>
      <c r="IE60" s="20"/>
      <c r="IF60" s="20"/>
      <c r="IG60" s="20">
        <v>30</v>
      </c>
      <c r="IH60" s="20"/>
      <c r="II60" s="20"/>
      <c r="IJ60" s="20"/>
      <c r="IK60" s="20">
        <v>30</v>
      </c>
      <c r="IL60" s="20">
        <v>50</v>
      </c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>
        <v>70</v>
      </c>
      <c r="KB60" s="20"/>
      <c r="KC60" s="20"/>
      <c r="KD60" s="20"/>
      <c r="KE60" s="20">
        <v>70</v>
      </c>
      <c r="KF60" s="20">
        <v>50</v>
      </c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136"/>
      <c r="LR60" s="136">
        <v>13</v>
      </c>
      <c r="LS60" s="136">
        <v>30</v>
      </c>
      <c r="LT60" s="136">
        <v>15</v>
      </c>
      <c r="LU60" s="136">
        <v>10</v>
      </c>
      <c r="LV60" s="136">
        <v>16</v>
      </c>
      <c r="LW60" s="136">
        <v>18</v>
      </c>
      <c r="LX60" s="136">
        <v>40</v>
      </c>
      <c r="LY60" s="136">
        <v>22</v>
      </c>
      <c r="LZ60" s="136">
        <v>30</v>
      </c>
      <c r="MA60" s="136"/>
      <c r="MB60" s="136">
        <v>5</v>
      </c>
      <c r="MC60" s="137">
        <v>9</v>
      </c>
      <c r="MD60" s="137">
        <v>9</v>
      </c>
      <c r="ME60" s="136">
        <v>8</v>
      </c>
      <c r="MF60" s="137">
        <v>15</v>
      </c>
      <c r="MG60" s="137">
        <v>20</v>
      </c>
      <c r="MH60" s="137">
        <v>12</v>
      </c>
      <c r="MI60" s="137">
        <v>23</v>
      </c>
      <c r="MJ60" s="137">
        <v>23</v>
      </c>
      <c r="MK60" s="137">
        <v>8</v>
      </c>
      <c r="ML60" s="137">
        <v>15</v>
      </c>
      <c r="MM60" s="137"/>
      <c r="MN60" s="137"/>
      <c r="MO60" s="137"/>
      <c r="MP60" s="137">
        <v>35</v>
      </c>
      <c r="MQ60" s="1">
        <v>0</v>
      </c>
      <c r="MR60" s="137">
        <v>5</v>
      </c>
      <c r="MS60" s="1">
        <v>9</v>
      </c>
      <c r="MT60" s="137">
        <v>0</v>
      </c>
      <c r="MU60" s="138">
        <v>17</v>
      </c>
      <c r="MV60" s="139">
        <f t="shared" si="9"/>
        <v>407</v>
      </c>
      <c r="MW60" s="121"/>
    </row>
    <row r="61" spans="1:361" s="58" customFormat="1" ht="18.75">
      <c r="A61" s="126" t="s">
        <v>228</v>
      </c>
      <c r="B61" s="46"/>
      <c r="C61" s="20"/>
      <c r="D61" s="20"/>
      <c r="E61" s="20"/>
      <c r="F61" s="20"/>
      <c r="G61" s="47">
        <v>100</v>
      </c>
      <c r="H61" s="48"/>
      <c r="I61" s="46"/>
      <c r="J61" s="20"/>
      <c r="K61" s="20"/>
      <c r="L61" s="20"/>
      <c r="M61" s="20">
        <v>110</v>
      </c>
      <c r="N61" s="47"/>
      <c r="O61" s="49">
        <f>I61+J61+K61+L61+M61+N61</f>
        <v>110</v>
      </c>
      <c r="P61" s="46"/>
      <c r="Q61" s="20"/>
      <c r="R61" s="20">
        <v>100</v>
      </c>
      <c r="S61" s="20"/>
      <c r="T61" s="20"/>
      <c r="U61" s="47"/>
      <c r="V61" s="49">
        <f>P61+Q61+R61+S61+T61+U61</f>
        <v>100</v>
      </c>
      <c r="W61" s="46"/>
      <c r="X61" s="20"/>
      <c r="Y61" s="20"/>
      <c r="Z61" s="20"/>
      <c r="AA61" s="20"/>
      <c r="AB61" s="47"/>
      <c r="AC61" s="49"/>
      <c r="AD61" s="46"/>
      <c r="AE61" s="20"/>
      <c r="AF61" s="20"/>
      <c r="AG61" s="20"/>
      <c r="AH61" s="20"/>
      <c r="AI61" s="47"/>
      <c r="AJ61" s="49"/>
      <c r="AK61" s="46"/>
      <c r="AL61" s="20"/>
      <c r="AM61" s="20"/>
      <c r="AN61" s="20"/>
      <c r="AO61" s="20"/>
      <c r="AP61" s="47"/>
      <c r="AQ61" s="49"/>
      <c r="AR61" s="20"/>
      <c r="AS61" s="20"/>
      <c r="AT61" s="20"/>
      <c r="AU61" s="20"/>
      <c r="AV61" s="20"/>
      <c r="AW61" s="20"/>
      <c r="AX61" s="20">
        <v>0</v>
      </c>
      <c r="AY61" s="49"/>
      <c r="AZ61" s="20">
        <v>50</v>
      </c>
      <c r="BA61" s="20"/>
      <c r="BB61" s="20"/>
      <c r="BC61" s="20"/>
      <c r="BD61" s="20"/>
      <c r="BE61" s="20"/>
      <c r="BF61" s="20"/>
      <c r="BG61" s="49"/>
      <c r="BH61" s="51"/>
      <c r="BI61" s="52"/>
      <c r="BJ61" s="20"/>
      <c r="BK61" s="20"/>
      <c r="BL61" s="20"/>
      <c r="BM61" s="20"/>
      <c r="BN61" s="20"/>
      <c r="BO61" s="49">
        <v>0</v>
      </c>
      <c r="BP61" s="51"/>
      <c r="BQ61" s="46"/>
      <c r="BR61" s="20"/>
      <c r="BS61" s="20"/>
      <c r="BT61" s="20"/>
      <c r="BU61" s="20"/>
      <c r="BV61" s="47">
        <v>100</v>
      </c>
      <c r="BW61" s="48"/>
      <c r="BX61" s="46"/>
      <c r="BY61" s="20"/>
      <c r="BZ61" s="20"/>
      <c r="CA61" s="20"/>
      <c r="CB61" s="20">
        <v>110</v>
      </c>
      <c r="CC61" s="47"/>
      <c r="CD61" s="49">
        <f>BX61+BY61+BZ61+CA61+CB61+CC61</f>
        <v>110</v>
      </c>
      <c r="CE61" s="46"/>
      <c r="CF61" s="20"/>
      <c r="CG61" s="20">
        <v>100</v>
      </c>
      <c r="CH61" s="20"/>
      <c r="CI61" s="20"/>
      <c r="CJ61" s="47"/>
      <c r="CK61" s="49">
        <f>CE61+CF61+CG61+CH61+CI61+CJ61</f>
        <v>100</v>
      </c>
      <c r="CL61" s="46"/>
      <c r="CM61" s="20"/>
      <c r="CN61" s="20"/>
      <c r="CO61" s="20"/>
      <c r="CP61" s="20"/>
      <c r="CQ61" s="47"/>
      <c r="CR61" s="49"/>
      <c r="CS61" s="46"/>
      <c r="CT61" s="20"/>
      <c r="CU61" s="20"/>
      <c r="CV61" s="20"/>
      <c r="CW61" s="20"/>
      <c r="CX61" s="47"/>
      <c r="CY61" s="49"/>
      <c r="CZ61" s="46"/>
      <c r="DA61" s="20"/>
      <c r="DB61" s="20"/>
      <c r="DC61" s="20"/>
      <c r="DD61" s="20"/>
      <c r="DE61" s="47"/>
      <c r="DF61" s="49"/>
      <c r="DG61" s="20"/>
      <c r="DH61" s="20"/>
      <c r="DI61" s="20"/>
      <c r="DJ61" s="20"/>
      <c r="DK61" s="20"/>
      <c r="DL61" s="20"/>
      <c r="DM61" s="20">
        <v>0</v>
      </c>
      <c r="DN61" s="49"/>
      <c r="DO61" s="20">
        <v>50</v>
      </c>
      <c r="DP61" s="20"/>
      <c r="DQ61" s="20"/>
      <c r="DR61" s="20"/>
      <c r="DS61" s="20"/>
      <c r="DT61" s="20"/>
      <c r="DU61" s="20"/>
      <c r="DV61" s="49"/>
      <c r="DW61" s="52"/>
      <c r="DX61" s="20"/>
      <c r="DY61" s="20"/>
      <c r="DZ61" s="20"/>
      <c r="EA61" s="20"/>
      <c r="EB61" s="20"/>
      <c r="EC61" s="70"/>
      <c r="ED61" s="51"/>
      <c r="EE61" s="52"/>
      <c r="EF61" s="20"/>
      <c r="EG61" s="20">
        <v>20</v>
      </c>
      <c r="EH61" s="20"/>
      <c r="EI61" s="20"/>
      <c r="EJ61" s="20"/>
      <c r="EK61" s="70"/>
      <c r="EL61" s="51"/>
      <c r="EM61" s="52"/>
      <c r="EN61" s="20"/>
      <c r="EO61" s="20"/>
      <c r="EP61" s="20"/>
      <c r="EQ61" s="20"/>
      <c r="ER61" s="20"/>
      <c r="ES61" s="70"/>
      <c r="ET61" s="57"/>
      <c r="EU61" s="52"/>
      <c r="EV61" s="20"/>
      <c r="EW61" s="20"/>
      <c r="EX61" s="20"/>
      <c r="EY61" s="20"/>
      <c r="EZ61" s="20"/>
      <c r="FA61" s="70"/>
      <c r="FB61" s="57"/>
      <c r="FC61" s="52"/>
      <c r="FD61" s="20"/>
      <c r="FE61" s="20"/>
      <c r="FF61" s="20"/>
      <c r="FG61" s="20"/>
      <c r="FH61" s="20"/>
      <c r="FI61" s="70"/>
      <c r="FJ61" s="57"/>
      <c r="FK61" s="52"/>
      <c r="FL61" s="20"/>
      <c r="FM61" s="20"/>
      <c r="FN61" s="20"/>
      <c r="FO61" s="20"/>
      <c r="FP61" s="20"/>
      <c r="FQ61" s="70"/>
      <c r="FR61" s="57"/>
      <c r="FS61" s="52"/>
      <c r="FT61" s="20"/>
      <c r="FU61" s="20"/>
      <c r="FV61" s="20"/>
      <c r="FW61" s="20"/>
      <c r="FX61" s="20"/>
      <c r="FY61" s="70"/>
      <c r="FZ61" s="57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56"/>
      <c r="GW61" s="57"/>
      <c r="GX61" s="57"/>
      <c r="GY61" s="20"/>
      <c r="GZ61" s="20"/>
      <c r="HA61" s="20"/>
      <c r="HB61" s="20"/>
      <c r="HC61" s="20"/>
      <c r="HD61" s="56"/>
      <c r="HE61" s="57"/>
      <c r="HF61" s="57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136"/>
      <c r="LR61" s="136"/>
      <c r="LS61" s="136"/>
      <c r="LT61" s="136"/>
      <c r="LU61" s="136"/>
      <c r="LV61" s="136"/>
      <c r="LW61" s="136"/>
      <c r="LX61" s="136"/>
      <c r="LY61" s="136"/>
      <c r="LZ61" s="136"/>
      <c r="MA61" s="136"/>
      <c r="MB61" s="136"/>
      <c r="MC61" s="137"/>
      <c r="MD61" s="137">
        <v>0</v>
      </c>
      <c r="ME61" s="136"/>
      <c r="MF61" s="137"/>
      <c r="MG61" s="137"/>
      <c r="MH61" s="137"/>
      <c r="MI61" s="137"/>
      <c r="MJ61" s="137"/>
      <c r="MK61" s="137"/>
      <c r="ML61" s="137"/>
      <c r="MM61" s="137"/>
      <c r="MN61" s="137"/>
      <c r="MO61" s="137"/>
      <c r="MP61" s="137"/>
      <c r="MQ61" s="1">
        <v>0</v>
      </c>
      <c r="MR61" s="137">
        <v>0</v>
      </c>
      <c r="MS61" s="1">
        <v>0</v>
      </c>
      <c r="MT61" s="137">
        <v>0</v>
      </c>
      <c r="MU61" s="138">
        <v>0</v>
      </c>
      <c r="MV61" s="139">
        <f t="shared" si="9"/>
        <v>0</v>
      </c>
      <c r="MW61" s="121"/>
    </row>
    <row r="62" spans="1:361" s="58" customFormat="1" ht="18.75">
      <c r="A62" s="126" t="s">
        <v>229</v>
      </c>
      <c r="B62" s="46"/>
      <c r="C62" s="20"/>
      <c r="D62" s="20"/>
      <c r="E62" s="20"/>
      <c r="F62" s="20">
        <v>30</v>
      </c>
      <c r="G62" s="47"/>
      <c r="H62" s="48"/>
      <c r="I62" s="46"/>
      <c r="J62" s="20"/>
      <c r="K62" s="20"/>
      <c r="L62" s="20"/>
      <c r="M62" s="20">
        <v>29</v>
      </c>
      <c r="N62" s="47"/>
      <c r="O62" s="49">
        <f>I62+J62+K62+L62+M62+N62</f>
        <v>29</v>
      </c>
      <c r="P62" s="46"/>
      <c r="Q62" s="20"/>
      <c r="R62" s="20"/>
      <c r="S62" s="20"/>
      <c r="T62" s="20"/>
      <c r="U62" s="47"/>
      <c r="V62" s="49">
        <f>P62+Q62+R62+S62+T62+U62</f>
        <v>0</v>
      </c>
      <c r="W62" s="46"/>
      <c r="X62" s="20"/>
      <c r="Y62" s="20"/>
      <c r="Z62" s="20"/>
      <c r="AA62" s="20">
        <v>70</v>
      </c>
      <c r="AB62" s="47"/>
      <c r="AC62" s="49"/>
      <c r="AD62" s="46"/>
      <c r="AE62" s="20">
        <v>38</v>
      </c>
      <c r="AF62" s="20"/>
      <c r="AG62" s="20"/>
      <c r="AH62" s="20"/>
      <c r="AI62" s="47"/>
      <c r="AJ62" s="49"/>
      <c r="AK62" s="46"/>
      <c r="AL62" s="20">
        <v>55</v>
      </c>
      <c r="AM62" s="20"/>
      <c r="AN62" s="20"/>
      <c r="AO62" s="20"/>
      <c r="AP62" s="47"/>
      <c r="AQ62" s="49"/>
      <c r="AR62" s="20"/>
      <c r="AS62" s="20"/>
      <c r="AT62" s="20">
        <v>60</v>
      </c>
      <c r="AU62" s="20"/>
      <c r="AV62" s="20"/>
      <c r="AW62" s="20"/>
      <c r="AX62" s="20">
        <v>0</v>
      </c>
      <c r="AY62" s="49"/>
      <c r="AZ62" s="20">
        <v>75</v>
      </c>
      <c r="BA62" s="20">
        <v>50</v>
      </c>
      <c r="BB62" s="20"/>
      <c r="BC62" s="20"/>
      <c r="BD62" s="20"/>
      <c r="BE62" s="20"/>
      <c r="BF62" s="20"/>
      <c r="BG62" s="49"/>
      <c r="BH62" s="51">
        <v>110</v>
      </c>
      <c r="BI62" s="52"/>
      <c r="BJ62" s="20"/>
      <c r="BK62" s="20"/>
      <c r="BL62" s="20"/>
      <c r="BM62" s="20"/>
      <c r="BN62" s="20"/>
      <c r="BO62" s="49">
        <v>0</v>
      </c>
      <c r="BP62" s="51"/>
      <c r="BQ62" s="46"/>
      <c r="BR62" s="20"/>
      <c r="BS62" s="20"/>
      <c r="BT62" s="20"/>
      <c r="BU62" s="20">
        <v>30</v>
      </c>
      <c r="BV62" s="47"/>
      <c r="BW62" s="48"/>
      <c r="BX62" s="46"/>
      <c r="BY62" s="20"/>
      <c r="BZ62" s="20"/>
      <c r="CA62" s="20"/>
      <c r="CB62" s="20">
        <v>29</v>
      </c>
      <c r="CC62" s="47"/>
      <c r="CD62" s="49">
        <f>BX62+BY62+BZ62+CA62+CB62+CC62</f>
        <v>29</v>
      </c>
      <c r="CE62" s="46"/>
      <c r="CF62" s="20"/>
      <c r="CG62" s="20"/>
      <c r="CH62" s="20"/>
      <c r="CI62" s="20"/>
      <c r="CJ62" s="47"/>
      <c r="CK62" s="49">
        <f>CE62+CF62+CG62+CH62+CI62+CJ62</f>
        <v>0</v>
      </c>
      <c r="CL62" s="46"/>
      <c r="CM62" s="20"/>
      <c r="CN62" s="20"/>
      <c r="CO62" s="20"/>
      <c r="CP62" s="20">
        <v>70</v>
      </c>
      <c r="CQ62" s="47"/>
      <c r="CR62" s="49"/>
      <c r="CS62" s="46"/>
      <c r="CT62" s="20">
        <v>38</v>
      </c>
      <c r="CU62" s="20"/>
      <c r="CV62" s="20"/>
      <c r="CW62" s="20"/>
      <c r="CX62" s="47"/>
      <c r="CY62" s="49"/>
      <c r="CZ62" s="46"/>
      <c r="DA62" s="20">
        <v>55</v>
      </c>
      <c r="DB62" s="20"/>
      <c r="DC62" s="20"/>
      <c r="DD62" s="20"/>
      <c r="DE62" s="47"/>
      <c r="DF62" s="49"/>
      <c r="DG62" s="20"/>
      <c r="DH62" s="20"/>
      <c r="DI62" s="20">
        <v>60</v>
      </c>
      <c r="DJ62" s="20"/>
      <c r="DK62" s="20"/>
      <c r="DL62" s="20"/>
      <c r="DM62" s="20">
        <v>0</v>
      </c>
      <c r="DN62" s="49"/>
      <c r="DO62" s="20">
        <v>75</v>
      </c>
      <c r="DP62" s="20">
        <v>50</v>
      </c>
      <c r="DQ62" s="20"/>
      <c r="DR62" s="20"/>
      <c r="DS62" s="20"/>
      <c r="DT62" s="20"/>
      <c r="DU62" s="20"/>
      <c r="DV62" s="49"/>
      <c r="DW62" s="52"/>
      <c r="DX62" s="20">
        <v>45</v>
      </c>
      <c r="DY62" s="20"/>
      <c r="DZ62" s="20"/>
      <c r="EA62" s="20"/>
      <c r="EB62" s="20"/>
      <c r="EC62" s="70">
        <v>45</v>
      </c>
      <c r="ED62" s="51">
        <v>50</v>
      </c>
      <c r="EE62" s="52"/>
      <c r="EF62" s="20"/>
      <c r="EG62" s="20"/>
      <c r="EH62" s="20"/>
      <c r="EI62" s="20"/>
      <c r="EJ62" s="20"/>
      <c r="EK62" s="70"/>
      <c r="EL62" s="51"/>
      <c r="EM62" s="52"/>
      <c r="EN62" s="20"/>
      <c r="EO62" s="20"/>
      <c r="EP62" s="20"/>
      <c r="EQ62" s="20"/>
      <c r="ER62" s="20"/>
      <c r="ES62" s="70"/>
      <c r="ET62" s="57"/>
      <c r="EU62" s="52"/>
      <c r="EV62" s="20"/>
      <c r="EW62" s="20"/>
      <c r="EX62" s="20"/>
      <c r="EY62" s="20"/>
      <c r="EZ62" s="20"/>
      <c r="FA62" s="70"/>
      <c r="FB62" s="57"/>
      <c r="FC62" s="52"/>
      <c r="FD62" s="20"/>
      <c r="FE62" s="20"/>
      <c r="FF62" s="20"/>
      <c r="FG62" s="20"/>
      <c r="FH62" s="20"/>
      <c r="FI62" s="70"/>
      <c r="FJ62" s="57"/>
      <c r="FK62" s="52"/>
      <c r="FL62" s="20"/>
      <c r="FM62" s="20"/>
      <c r="FN62" s="20"/>
      <c r="FO62" s="20"/>
      <c r="FP62" s="20"/>
      <c r="FQ62" s="70"/>
      <c r="FR62" s="57"/>
      <c r="FS62" s="52"/>
      <c r="FT62" s="20"/>
      <c r="FU62" s="20"/>
      <c r="FV62" s="20"/>
      <c r="FW62" s="20"/>
      <c r="FX62" s="20"/>
      <c r="FY62" s="70"/>
      <c r="FZ62" s="57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>
        <v>34</v>
      </c>
      <c r="GS62" s="20"/>
      <c r="GT62" s="20"/>
      <c r="GU62" s="20"/>
      <c r="GV62" s="56"/>
      <c r="GW62" s="57">
        <v>34</v>
      </c>
      <c r="GX62" s="57"/>
      <c r="GY62" s="20"/>
      <c r="GZ62" s="20"/>
      <c r="HA62" s="20"/>
      <c r="HB62" s="20"/>
      <c r="HC62" s="20"/>
      <c r="HD62" s="56"/>
      <c r="HE62" s="57"/>
      <c r="HF62" s="57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>
        <v>32</v>
      </c>
      <c r="IO62" s="20"/>
      <c r="IP62" s="20"/>
      <c r="IQ62" s="20"/>
      <c r="IR62" s="20"/>
      <c r="IS62" s="20">
        <v>32</v>
      </c>
      <c r="IT62" s="20">
        <v>20</v>
      </c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136"/>
      <c r="LR62" s="136"/>
      <c r="LS62" s="136"/>
      <c r="LT62" s="136">
        <v>12</v>
      </c>
      <c r="LU62" s="136">
        <v>10</v>
      </c>
      <c r="LV62" s="136"/>
      <c r="LW62" s="136">
        <v>32</v>
      </c>
      <c r="LX62" s="136"/>
      <c r="LY62" s="136">
        <v>30</v>
      </c>
      <c r="LZ62" s="136">
        <v>50</v>
      </c>
      <c r="MA62" s="136">
        <v>20</v>
      </c>
      <c r="MB62" s="136">
        <v>16</v>
      </c>
      <c r="MC62" s="137"/>
      <c r="MD62" s="137">
        <v>0</v>
      </c>
      <c r="ME62" s="136">
        <v>25</v>
      </c>
      <c r="MF62" s="137"/>
      <c r="MG62" s="137">
        <v>20</v>
      </c>
      <c r="MH62" s="137"/>
      <c r="MI62" s="137">
        <v>38</v>
      </c>
      <c r="MJ62" s="137"/>
      <c r="MK62" s="137"/>
      <c r="ML62" s="137"/>
      <c r="MM62" s="137"/>
      <c r="MN62" s="137"/>
      <c r="MO62" s="137"/>
      <c r="MP62" s="137"/>
      <c r="MQ62" s="1">
        <v>0</v>
      </c>
      <c r="MR62" s="137">
        <v>0</v>
      </c>
      <c r="MS62" s="1">
        <v>0</v>
      </c>
      <c r="MT62" s="137">
        <v>0</v>
      </c>
      <c r="MU62" s="138">
        <v>0</v>
      </c>
      <c r="MV62" s="139">
        <f t="shared" si="9"/>
        <v>253</v>
      </c>
      <c r="MW62" s="121"/>
    </row>
    <row r="63" spans="1:361" s="58" customFormat="1" ht="18.75">
      <c r="A63" s="126" t="s">
        <v>230</v>
      </c>
      <c r="B63" s="46"/>
      <c r="C63" s="20"/>
      <c r="D63" s="20"/>
      <c r="E63" s="20"/>
      <c r="F63" s="20"/>
      <c r="G63" s="47">
        <v>16</v>
      </c>
      <c r="H63" s="48"/>
      <c r="I63" s="46"/>
      <c r="J63" s="20"/>
      <c r="K63" s="20"/>
      <c r="L63" s="20"/>
      <c r="M63" s="20"/>
      <c r="N63" s="47">
        <v>30</v>
      </c>
      <c r="O63" s="49">
        <f>I63+J63+K63+L63+M63+N63</f>
        <v>30</v>
      </c>
      <c r="P63" s="46"/>
      <c r="Q63" s="20"/>
      <c r="R63" s="20"/>
      <c r="S63" s="20"/>
      <c r="T63" s="20"/>
      <c r="U63" s="47"/>
      <c r="V63" s="49">
        <f>P63+Q63+R63+S63+T63+U63</f>
        <v>0</v>
      </c>
      <c r="W63" s="46"/>
      <c r="X63" s="20"/>
      <c r="Y63" s="20"/>
      <c r="Z63" s="20"/>
      <c r="AA63" s="20"/>
      <c r="AB63" s="47">
        <v>22</v>
      </c>
      <c r="AC63" s="49"/>
      <c r="AD63" s="46"/>
      <c r="AE63" s="20"/>
      <c r="AF63" s="20"/>
      <c r="AG63" s="20"/>
      <c r="AH63" s="20"/>
      <c r="AI63" s="47">
        <v>8</v>
      </c>
      <c r="AJ63" s="49"/>
      <c r="AK63" s="46"/>
      <c r="AL63" s="20"/>
      <c r="AM63" s="20"/>
      <c r="AN63" s="20"/>
      <c r="AO63" s="20"/>
      <c r="AP63" s="47"/>
      <c r="AQ63" s="49"/>
      <c r="AR63" s="20"/>
      <c r="AS63" s="20"/>
      <c r="AT63" s="20"/>
      <c r="AU63" s="20"/>
      <c r="AV63" s="20"/>
      <c r="AW63" s="20"/>
      <c r="AX63" s="20">
        <v>29</v>
      </c>
      <c r="AY63" s="49"/>
      <c r="AZ63" s="20">
        <v>32</v>
      </c>
      <c r="BA63" s="20"/>
      <c r="BB63" s="20"/>
      <c r="BC63" s="20"/>
      <c r="BD63" s="20"/>
      <c r="BE63" s="20"/>
      <c r="BF63" s="20">
        <v>20</v>
      </c>
      <c r="BG63" s="49"/>
      <c r="BH63" s="51">
        <v>25</v>
      </c>
      <c r="BI63" s="52"/>
      <c r="BJ63" s="20"/>
      <c r="BK63" s="20"/>
      <c r="BL63" s="20"/>
      <c r="BM63" s="20"/>
      <c r="BN63" s="20">
        <v>50</v>
      </c>
      <c r="BO63" s="49">
        <v>50</v>
      </c>
      <c r="BP63" s="51">
        <v>72</v>
      </c>
      <c r="BQ63" s="46"/>
      <c r="BR63" s="20"/>
      <c r="BS63" s="20"/>
      <c r="BT63" s="20"/>
      <c r="BU63" s="20"/>
      <c r="BV63" s="47">
        <v>16</v>
      </c>
      <c r="BW63" s="48"/>
      <c r="BX63" s="46"/>
      <c r="BY63" s="20"/>
      <c r="BZ63" s="20"/>
      <c r="CA63" s="20"/>
      <c r="CB63" s="20"/>
      <c r="CC63" s="47">
        <v>30</v>
      </c>
      <c r="CD63" s="49">
        <f>BX63+BY63+BZ63+CA63+CB63+CC63</f>
        <v>30</v>
      </c>
      <c r="CE63" s="46"/>
      <c r="CF63" s="20"/>
      <c r="CG63" s="20"/>
      <c r="CH63" s="20"/>
      <c r="CI63" s="20"/>
      <c r="CJ63" s="47"/>
      <c r="CK63" s="49">
        <f>CE63+CF63+CG63+CH63+CI63+CJ63</f>
        <v>0</v>
      </c>
      <c r="CL63" s="46"/>
      <c r="CM63" s="20"/>
      <c r="CN63" s="20"/>
      <c r="CO63" s="20"/>
      <c r="CP63" s="20"/>
      <c r="CQ63" s="47">
        <v>22</v>
      </c>
      <c r="CR63" s="49"/>
      <c r="CS63" s="46"/>
      <c r="CT63" s="20"/>
      <c r="CU63" s="20"/>
      <c r="CV63" s="20"/>
      <c r="CW63" s="20"/>
      <c r="CX63" s="47">
        <v>8</v>
      </c>
      <c r="CY63" s="49"/>
      <c r="CZ63" s="46"/>
      <c r="DA63" s="20"/>
      <c r="DB63" s="20"/>
      <c r="DC63" s="20"/>
      <c r="DD63" s="20"/>
      <c r="DE63" s="47"/>
      <c r="DF63" s="49"/>
      <c r="DG63" s="20"/>
      <c r="DH63" s="20"/>
      <c r="DI63" s="20"/>
      <c r="DJ63" s="20"/>
      <c r="DK63" s="20"/>
      <c r="DL63" s="20"/>
      <c r="DM63" s="20">
        <v>29</v>
      </c>
      <c r="DN63" s="49"/>
      <c r="DO63" s="20">
        <v>32</v>
      </c>
      <c r="DP63" s="20"/>
      <c r="DQ63" s="20"/>
      <c r="DR63" s="20"/>
      <c r="DS63" s="20"/>
      <c r="DT63" s="20"/>
      <c r="DU63" s="20">
        <v>20</v>
      </c>
      <c r="DV63" s="49"/>
      <c r="DW63" s="52"/>
      <c r="DX63" s="20"/>
      <c r="DY63" s="20"/>
      <c r="DZ63" s="20"/>
      <c r="EA63" s="20"/>
      <c r="EB63" s="20">
        <v>20</v>
      </c>
      <c r="EC63" s="70">
        <v>20</v>
      </c>
      <c r="ED63" s="51">
        <v>30</v>
      </c>
      <c r="EE63" s="52"/>
      <c r="EF63" s="20"/>
      <c r="EG63" s="20"/>
      <c r="EH63" s="20"/>
      <c r="EI63" s="20"/>
      <c r="EJ63" s="20"/>
      <c r="EK63" s="70"/>
      <c r="EL63" s="51"/>
      <c r="EM63" s="52"/>
      <c r="EN63" s="20"/>
      <c r="EO63" s="20"/>
      <c r="EP63" s="20"/>
      <c r="EQ63" s="20"/>
      <c r="ER63" s="20">
        <v>30</v>
      </c>
      <c r="ES63" s="70">
        <v>44</v>
      </c>
      <c r="ET63" s="57">
        <v>65</v>
      </c>
      <c r="EU63" s="52"/>
      <c r="EV63" s="20"/>
      <c r="EW63" s="20"/>
      <c r="EX63" s="20"/>
      <c r="EY63" s="20"/>
      <c r="EZ63" s="20">
        <v>26</v>
      </c>
      <c r="FA63" s="70">
        <v>26</v>
      </c>
      <c r="FB63" s="57">
        <v>30</v>
      </c>
      <c r="FC63" s="52"/>
      <c r="FD63" s="20"/>
      <c r="FE63" s="20"/>
      <c r="FF63" s="20"/>
      <c r="FG63" s="20"/>
      <c r="FH63" s="20">
        <v>38</v>
      </c>
      <c r="FI63" s="70">
        <v>38</v>
      </c>
      <c r="FJ63" s="57">
        <v>40</v>
      </c>
      <c r="FK63" s="52"/>
      <c r="FL63" s="20"/>
      <c r="FM63" s="20"/>
      <c r="FN63" s="20"/>
      <c r="FO63" s="20"/>
      <c r="FP63" s="20">
        <v>30</v>
      </c>
      <c r="FQ63" s="70">
        <v>30</v>
      </c>
      <c r="FR63" s="57">
        <v>50</v>
      </c>
      <c r="FS63" s="52"/>
      <c r="FT63" s="20"/>
      <c r="FU63" s="20"/>
      <c r="FV63" s="20"/>
      <c r="FW63" s="20"/>
      <c r="FX63" s="20">
        <v>16</v>
      </c>
      <c r="FY63" s="70">
        <v>16</v>
      </c>
      <c r="FZ63" s="57">
        <v>20</v>
      </c>
      <c r="GA63" s="20"/>
      <c r="GB63" s="20"/>
      <c r="GC63" s="20"/>
      <c r="GD63" s="20"/>
      <c r="GE63" s="20"/>
      <c r="GF63" s="20">
        <v>25</v>
      </c>
      <c r="GG63" s="20">
        <v>25</v>
      </c>
      <c r="GH63" s="20">
        <v>30</v>
      </c>
      <c r="GI63" s="20"/>
      <c r="GJ63" s="20"/>
      <c r="GK63" s="20"/>
      <c r="GL63" s="20"/>
      <c r="GM63" s="20"/>
      <c r="GN63" s="20">
        <v>25</v>
      </c>
      <c r="GO63" s="20">
        <v>25</v>
      </c>
      <c r="GP63" s="20">
        <v>30</v>
      </c>
      <c r="GQ63" s="20"/>
      <c r="GR63" s="20"/>
      <c r="GS63" s="20"/>
      <c r="GT63" s="20"/>
      <c r="GU63" s="20"/>
      <c r="GV63" s="56">
        <v>30</v>
      </c>
      <c r="GW63" s="57">
        <v>30</v>
      </c>
      <c r="GX63" s="57">
        <v>30</v>
      </c>
      <c r="GY63" s="20"/>
      <c r="GZ63" s="20"/>
      <c r="HA63" s="20"/>
      <c r="HB63" s="20"/>
      <c r="HC63" s="20"/>
      <c r="HD63" s="56">
        <v>34</v>
      </c>
      <c r="HE63" s="57">
        <v>34</v>
      </c>
      <c r="HF63" s="57">
        <v>35</v>
      </c>
      <c r="HG63" s="20"/>
      <c r="HH63" s="20"/>
      <c r="HI63" s="20"/>
      <c r="HJ63" s="20"/>
      <c r="HK63" s="20"/>
      <c r="HL63" s="20">
        <v>35</v>
      </c>
      <c r="HM63" s="20">
        <v>35</v>
      </c>
      <c r="HN63" s="20">
        <v>35</v>
      </c>
      <c r="HO63" s="20"/>
      <c r="HP63" s="20"/>
      <c r="HQ63" s="20"/>
      <c r="HR63" s="20"/>
      <c r="HS63" s="20"/>
      <c r="HT63" s="20">
        <v>20</v>
      </c>
      <c r="HU63" s="20">
        <v>20</v>
      </c>
      <c r="HV63" s="20">
        <v>35</v>
      </c>
      <c r="HW63" s="20"/>
      <c r="HX63" s="20"/>
      <c r="HY63" s="20">
        <v>7</v>
      </c>
      <c r="HZ63" s="20"/>
      <c r="IA63" s="20"/>
      <c r="IB63" s="20">
        <v>70</v>
      </c>
      <c r="IC63" s="20">
        <v>77</v>
      </c>
      <c r="ID63" s="20">
        <v>90</v>
      </c>
      <c r="IE63" s="20"/>
      <c r="IF63" s="20"/>
      <c r="IG63" s="20"/>
      <c r="IH63" s="20"/>
      <c r="II63" s="20"/>
      <c r="IJ63" s="20">
        <v>95</v>
      </c>
      <c r="IK63" s="20">
        <v>95</v>
      </c>
      <c r="IL63" s="20">
        <v>70</v>
      </c>
      <c r="IM63" s="20"/>
      <c r="IN63" s="20"/>
      <c r="IO63" s="20"/>
      <c r="IP63" s="20"/>
      <c r="IQ63" s="20"/>
      <c r="IR63" s="20">
        <v>53</v>
      </c>
      <c r="IS63" s="20">
        <v>53</v>
      </c>
      <c r="IT63" s="20">
        <v>60</v>
      </c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136"/>
      <c r="LR63" s="136">
        <v>60</v>
      </c>
      <c r="LS63" s="136">
        <v>60</v>
      </c>
      <c r="LT63" s="136">
        <v>92</v>
      </c>
      <c r="LU63" s="136">
        <v>14</v>
      </c>
      <c r="LV63" s="136">
        <v>50</v>
      </c>
      <c r="LW63" s="136">
        <v>40</v>
      </c>
      <c r="LX63" s="136">
        <v>25</v>
      </c>
      <c r="LY63" s="136">
        <v>41</v>
      </c>
      <c r="LZ63" s="136">
        <v>20</v>
      </c>
      <c r="MA63" s="136">
        <v>20</v>
      </c>
      <c r="MB63" s="136">
        <v>30</v>
      </c>
      <c r="MC63" s="137">
        <v>25</v>
      </c>
      <c r="MD63" s="137">
        <v>0</v>
      </c>
      <c r="ME63" s="136"/>
      <c r="MF63" s="137">
        <v>20</v>
      </c>
      <c r="MG63" s="137"/>
      <c r="MH63" s="137">
        <v>26</v>
      </c>
      <c r="MI63" s="137">
        <v>37</v>
      </c>
      <c r="MJ63" s="137"/>
      <c r="MK63" s="137">
        <v>26</v>
      </c>
      <c r="ML63" s="137">
        <v>21</v>
      </c>
      <c r="MM63" s="137">
        <v>6</v>
      </c>
      <c r="MN63" s="137">
        <v>45</v>
      </c>
      <c r="MO63" s="137">
        <v>52</v>
      </c>
      <c r="MP63" s="137">
        <v>30</v>
      </c>
      <c r="MQ63" s="1">
        <v>25</v>
      </c>
      <c r="MR63" s="137">
        <v>78</v>
      </c>
      <c r="MS63" s="1">
        <v>66</v>
      </c>
      <c r="MT63" s="137">
        <v>72</v>
      </c>
      <c r="MU63" s="138">
        <v>46</v>
      </c>
      <c r="MV63" s="139">
        <f t="shared" si="9"/>
        <v>1027</v>
      </c>
      <c r="MW63" s="121"/>
    </row>
    <row r="64" spans="1:361" s="58" customFormat="1" ht="18.75">
      <c r="A64" s="126" t="s">
        <v>231</v>
      </c>
      <c r="B64" s="46"/>
      <c r="C64" s="20"/>
      <c r="D64" s="20"/>
      <c r="E64" s="20"/>
      <c r="F64" s="20"/>
      <c r="G64" s="47"/>
      <c r="H64" s="48"/>
      <c r="I64" s="46"/>
      <c r="J64" s="20"/>
      <c r="K64" s="20"/>
      <c r="L64" s="20"/>
      <c r="M64" s="20"/>
      <c r="N64" s="47"/>
      <c r="O64" s="49"/>
      <c r="P64" s="46"/>
      <c r="Q64" s="20"/>
      <c r="R64" s="20"/>
      <c r="S64" s="20"/>
      <c r="T64" s="20"/>
      <c r="U64" s="47"/>
      <c r="V64" s="49"/>
      <c r="W64" s="46"/>
      <c r="X64" s="20"/>
      <c r="Y64" s="20"/>
      <c r="Z64" s="20"/>
      <c r="AA64" s="20"/>
      <c r="AB64" s="47"/>
      <c r="AC64" s="49"/>
      <c r="AD64" s="46"/>
      <c r="AE64" s="20"/>
      <c r="AF64" s="20"/>
      <c r="AG64" s="20"/>
      <c r="AH64" s="20"/>
      <c r="AI64" s="47"/>
      <c r="AJ64" s="49"/>
      <c r="AK64" s="46"/>
      <c r="AL64" s="20"/>
      <c r="AM64" s="20"/>
      <c r="AN64" s="20"/>
      <c r="AO64" s="20"/>
      <c r="AP64" s="47"/>
      <c r="AQ64" s="49"/>
      <c r="AR64" s="20"/>
      <c r="AS64" s="20"/>
      <c r="AT64" s="20"/>
      <c r="AU64" s="20"/>
      <c r="AV64" s="20"/>
      <c r="AW64" s="20"/>
      <c r="AX64" s="20"/>
      <c r="AY64" s="49"/>
      <c r="AZ64" s="20"/>
      <c r="BA64" s="20"/>
      <c r="BB64" s="20"/>
      <c r="BC64" s="20"/>
      <c r="BD64" s="20"/>
      <c r="BE64" s="20"/>
      <c r="BF64" s="20"/>
      <c r="BG64" s="49"/>
      <c r="BH64" s="51"/>
      <c r="BI64" s="52"/>
      <c r="BJ64" s="20"/>
      <c r="BK64" s="20"/>
      <c r="BL64" s="20"/>
      <c r="BM64" s="20"/>
      <c r="BN64" s="20"/>
      <c r="BO64" s="49"/>
      <c r="BP64" s="51"/>
      <c r="BQ64" s="46"/>
      <c r="BR64" s="20"/>
      <c r="BS64" s="20"/>
      <c r="BT64" s="20"/>
      <c r="BU64" s="20"/>
      <c r="BV64" s="47"/>
      <c r="BW64" s="48"/>
      <c r="BX64" s="46"/>
      <c r="BY64" s="20"/>
      <c r="BZ64" s="20"/>
      <c r="CA64" s="20"/>
      <c r="CB64" s="20"/>
      <c r="CC64" s="47"/>
      <c r="CD64" s="49"/>
      <c r="CE64" s="46"/>
      <c r="CF64" s="20"/>
      <c r="CG64" s="20"/>
      <c r="CH64" s="20"/>
      <c r="CI64" s="20"/>
      <c r="CJ64" s="47"/>
      <c r="CK64" s="49"/>
      <c r="CL64" s="46"/>
      <c r="CM64" s="20"/>
      <c r="CN64" s="20"/>
      <c r="CO64" s="20"/>
      <c r="CP64" s="20"/>
      <c r="CQ64" s="47"/>
      <c r="CR64" s="49"/>
      <c r="CS64" s="46"/>
      <c r="CT64" s="20"/>
      <c r="CU64" s="20"/>
      <c r="CV64" s="20"/>
      <c r="CW64" s="20"/>
      <c r="CX64" s="47"/>
      <c r="CY64" s="49"/>
      <c r="CZ64" s="46"/>
      <c r="DA64" s="20"/>
      <c r="DB64" s="20"/>
      <c r="DC64" s="20"/>
      <c r="DD64" s="20"/>
      <c r="DE64" s="47"/>
      <c r="DF64" s="49"/>
      <c r="DG64" s="20"/>
      <c r="DH64" s="20"/>
      <c r="DI64" s="20"/>
      <c r="DJ64" s="20"/>
      <c r="DK64" s="20"/>
      <c r="DL64" s="20"/>
      <c r="DM64" s="20"/>
      <c r="DN64" s="49"/>
      <c r="DO64" s="20"/>
      <c r="DP64" s="20"/>
      <c r="DQ64" s="20"/>
      <c r="DR64" s="20"/>
      <c r="DS64" s="20"/>
      <c r="DT64" s="20"/>
      <c r="DU64" s="20"/>
      <c r="DV64" s="49"/>
      <c r="DW64" s="52"/>
      <c r="DX64" s="20"/>
      <c r="DY64" s="20"/>
      <c r="DZ64" s="20"/>
      <c r="EA64" s="20"/>
      <c r="EB64" s="20"/>
      <c r="EC64" s="70"/>
      <c r="ED64" s="51"/>
      <c r="EE64" s="52"/>
      <c r="EF64" s="20"/>
      <c r="EG64" s="20"/>
      <c r="EH64" s="20"/>
      <c r="EI64" s="20"/>
      <c r="EJ64" s="20"/>
      <c r="EK64" s="70"/>
      <c r="EL64" s="51"/>
      <c r="EM64" s="52"/>
      <c r="EN64" s="20"/>
      <c r="EO64" s="20"/>
      <c r="EP64" s="20"/>
      <c r="EQ64" s="20"/>
      <c r="ER64" s="20"/>
      <c r="ES64" s="70"/>
      <c r="ET64" s="57"/>
      <c r="EU64" s="52"/>
      <c r="EV64" s="20"/>
      <c r="EW64" s="20"/>
      <c r="EX64" s="20"/>
      <c r="EY64" s="20"/>
      <c r="EZ64" s="20"/>
      <c r="FA64" s="70"/>
      <c r="FB64" s="57"/>
      <c r="FC64" s="52"/>
      <c r="FD64" s="20"/>
      <c r="FE64" s="20"/>
      <c r="FF64" s="20"/>
      <c r="FG64" s="20"/>
      <c r="FH64" s="20"/>
      <c r="FI64" s="70"/>
      <c r="FJ64" s="57"/>
      <c r="FK64" s="52"/>
      <c r="FL64" s="20"/>
      <c r="FM64" s="20"/>
      <c r="FN64" s="20"/>
      <c r="FO64" s="20"/>
      <c r="FP64" s="20"/>
      <c r="FQ64" s="70"/>
      <c r="FR64" s="57"/>
      <c r="FS64" s="52"/>
      <c r="FT64" s="20"/>
      <c r="FU64" s="20"/>
      <c r="FV64" s="20"/>
      <c r="FW64" s="20"/>
      <c r="FX64" s="20"/>
      <c r="FY64" s="70"/>
      <c r="FZ64" s="57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56"/>
      <c r="GW64" s="57"/>
      <c r="GX64" s="57"/>
      <c r="GY64" s="20"/>
      <c r="GZ64" s="20"/>
      <c r="HA64" s="20"/>
      <c r="HB64" s="20"/>
      <c r="HC64" s="20"/>
      <c r="HD64" s="56"/>
      <c r="HE64" s="57"/>
      <c r="HF64" s="57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>
        <v>125</v>
      </c>
      <c r="IP64" s="20"/>
      <c r="IQ64" s="20"/>
      <c r="IR64" s="20"/>
      <c r="IS64" s="20">
        <v>125</v>
      </c>
      <c r="IT64" s="20">
        <v>100</v>
      </c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>
        <v>19</v>
      </c>
      <c r="KB64" s="20"/>
      <c r="KC64" s="20"/>
      <c r="KD64" s="20"/>
      <c r="KE64" s="20">
        <v>19</v>
      </c>
      <c r="KF64" s="20">
        <v>25</v>
      </c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136"/>
      <c r="LR64" s="136">
        <v>45</v>
      </c>
      <c r="LS64" s="136"/>
      <c r="LT64" s="136"/>
      <c r="LU64" s="136">
        <v>50</v>
      </c>
      <c r="LV64" s="136">
        <v>20</v>
      </c>
      <c r="LW64" s="136">
        <v>27</v>
      </c>
      <c r="LX64" s="136"/>
      <c r="LY64" s="136"/>
      <c r="LZ64" s="136">
        <v>60</v>
      </c>
      <c r="MA64" s="136">
        <v>13</v>
      </c>
      <c r="MB64" s="136">
        <v>50</v>
      </c>
      <c r="MC64" s="137">
        <v>10</v>
      </c>
      <c r="MD64" s="137">
        <v>14</v>
      </c>
      <c r="ME64" s="136">
        <v>6</v>
      </c>
      <c r="MF64" s="137"/>
      <c r="MG64" s="137"/>
      <c r="MH64" s="137">
        <v>12</v>
      </c>
      <c r="MI64" s="137">
        <v>40</v>
      </c>
      <c r="MJ64" s="137"/>
      <c r="MK64" s="137">
        <v>10</v>
      </c>
      <c r="ML64" s="137"/>
      <c r="MM64" s="137">
        <v>10</v>
      </c>
      <c r="MN64" s="137"/>
      <c r="MO64" s="137"/>
      <c r="MP64" s="137"/>
      <c r="MQ64" s="149">
        <v>0</v>
      </c>
      <c r="MR64" s="137">
        <v>4</v>
      </c>
      <c r="MS64" s="1">
        <v>0</v>
      </c>
      <c r="MT64" s="137">
        <v>10</v>
      </c>
      <c r="MU64" s="138">
        <v>10</v>
      </c>
      <c r="MV64" s="139">
        <f t="shared" si="9"/>
        <v>391</v>
      </c>
      <c r="MW64" s="121"/>
    </row>
    <row r="65" spans="1:361" s="58" customFormat="1" ht="18.75">
      <c r="A65" s="126" t="s">
        <v>232</v>
      </c>
      <c r="B65" s="46"/>
      <c r="C65" s="20"/>
      <c r="D65" s="20"/>
      <c r="E65" s="20"/>
      <c r="F65" s="20"/>
      <c r="G65" s="47">
        <v>57</v>
      </c>
      <c r="H65" s="48"/>
      <c r="I65" s="46"/>
      <c r="J65" s="20"/>
      <c r="K65" s="20"/>
      <c r="L65" s="20"/>
      <c r="M65" s="20"/>
      <c r="N65" s="47">
        <v>43</v>
      </c>
      <c r="O65" s="49">
        <f>I65+J65+K65+L65+M65+N65</f>
        <v>43</v>
      </c>
      <c r="P65" s="46"/>
      <c r="Q65" s="20"/>
      <c r="R65" s="20"/>
      <c r="S65" s="20"/>
      <c r="T65" s="20"/>
      <c r="U65" s="47">
        <v>50</v>
      </c>
      <c r="V65" s="49">
        <f>P65+Q65+R65+S65+T65+U65</f>
        <v>50</v>
      </c>
      <c r="W65" s="46"/>
      <c r="X65" s="20"/>
      <c r="Y65" s="20"/>
      <c r="Z65" s="20"/>
      <c r="AA65" s="20"/>
      <c r="AB65" s="47">
        <v>18</v>
      </c>
      <c r="AC65" s="49"/>
      <c r="AD65" s="46"/>
      <c r="AE65" s="20"/>
      <c r="AF65" s="20"/>
      <c r="AG65" s="20"/>
      <c r="AH65" s="20"/>
      <c r="AI65" s="47">
        <v>90</v>
      </c>
      <c r="AJ65" s="49"/>
      <c r="AK65" s="46"/>
      <c r="AL65" s="20"/>
      <c r="AM65" s="20"/>
      <c r="AN65" s="20"/>
      <c r="AO65" s="20"/>
      <c r="AP65" s="47"/>
      <c r="AQ65" s="49"/>
      <c r="AR65" s="20"/>
      <c r="AS65" s="20"/>
      <c r="AT65" s="20"/>
      <c r="AU65" s="20"/>
      <c r="AV65" s="20"/>
      <c r="AW65" s="20"/>
      <c r="AX65" s="20">
        <v>45</v>
      </c>
      <c r="AY65" s="49"/>
      <c r="AZ65" s="20">
        <v>60</v>
      </c>
      <c r="BA65" s="20"/>
      <c r="BB65" s="20"/>
      <c r="BC65" s="20"/>
      <c r="BD65" s="20"/>
      <c r="BE65" s="20"/>
      <c r="BF65" s="20">
        <v>18</v>
      </c>
      <c r="BG65" s="49"/>
      <c r="BH65" s="51">
        <v>30</v>
      </c>
      <c r="BI65" s="52"/>
      <c r="BJ65" s="20"/>
      <c r="BK65" s="20"/>
      <c r="BL65" s="20"/>
      <c r="BM65" s="20"/>
      <c r="BN65" s="20">
        <v>22</v>
      </c>
      <c r="BO65" s="49">
        <v>22</v>
      </c>
      <c r="BP65" s="51">
        <v>30</v>
      </c>
      <c r="BQ65" s="46"/>
      <c r="BR65" s="20"/>
      <c r="BS65" s="20"/>
      <c r="BT65" s="20"/>
      <c r="BU65" s="20"/>
      <c r="BV65" s="47">
        <v>57</v>
      </c>
      <c r="BW65" s="48"/>
      <c r="BX65" s="46"/>
      <c r="BY65" s="20"/>
      <c r="BZ65" s="20"/>
      <c r="CA65" s="20"/>
      <c r="CB65" s="20"/>
      <c r="CC65" s="47">
        <v>43</v>
      </c>
      <c r="CD65" s="49">
        <f>BX65+BY65+BZ65+CA65+CB65+CC65</f>
        <v>43</v>
      </c>
      <c r="CE65" s="46"/>
      <c r="CF65" s="20"/>
      <c r="CG65" s="20"/>
      <c r="CH65" s="20"/>
      <c r="CI65" s="20"/>
      <c r="CJ65" s="47">
        <v>50</v>
      </c>
      <c r="CK65" s="49">
        <f>CE65+CF65+CG65+CH65+CI65+CJ65</f>
        <v>50</v>
      </c>
      <c r="CL65" s="46"/>
      <c r="CM65" s="20"/>
      <c r="CN65" s="20"/>
      <c r="CO65" s="20"/>
      <c r="CP65" s="20"/>
      <c r="CQ65" s="47">
        <v>18</v>
      </c>
      <c r="CR65" s="49"/>
      <c r="CS65" s="46"/>
      <c r="CT65" s="20"/>
      <c r="CU65" s="20"/>
      <c r="CV65" s="20"/>
      <c r="CW65" s="20"/>
      <c r="CX65" s="47">
        <v>90</v>
      </c>
      <c r="CY65" s="49"/>
      <c r="CZ65" s="46"/>
      <c r="DA65" s="20"/>
      <c r="DB65" s="20"/>
      <c r="DC65" s="20"/>
      <c r="DD65" s="20"/>
      <c r="DE65" s="47"/>
      <c r="DF65" s="49"/>
      <c r="DG65" s="20"/>
      <c r="DH65" s="20"/>
      <c r="DI65" s="20"/>
      <c r="DJ65" s="20"/>
      <c r="DK65" s="20"/>
      <c r="DL65" s="20"/>
      <c r="DM65" s="20">
        <v>45</v>
      </c>
      <c r="DN65" s="49"/>
      <c r="DO65" s="20">
        <v>60</v>
      </c>
      <c r="DP65" s="20"/>
      <c r="DQ65" s="20"/>
      <c r="DR65" s="20"/>
      <c r="DS65" s="20"/>
      <c r="DT65" s="20"/>
      <c r="DU65" s="20">
        <v>18</v>
      </c>
      <c r="DV65" s="49"/>
      <c r="DW65" s="52"/>
      <c r="DX65" s="20"/>
      <c r="DY65" s="20"/>
      <c r="DZ65" s="20"/>
      <c r="EA65" s="20"/>
      <c r="EB65" s="20">
        <v>28</v>
      </c>
      <c r="EC65" s="70">
        <v>28</v>
      </c>
      <c r="ED65" s="51">
        <v>30</v>
      </c>
      <c r="EE65" s="52"/>
      <c r="EF65" s="20"/>
      <c r="EG65" s="20">
        <v>13</v>
      </c>
      <c r="EH65" s="20"/>
      <c r="EI65" s="20"/>
      <c r="EJ65" s="20">
        <v>20</v>
      </c>
      <c r="EK65" s="70"/>
      <c r="EL65" s="51"/>
      <c r="EM65" s="52"/>
      <c r="EN65" s="20"/>
      <c r="EO65" s="20"/>
      <c r="EP65" s="20"/>
      <c r="EQ65" s="20"/>
      <c r="ER65" s="20">
        <v>35</v>
      </c>
      <c r="ES65" s="70">
        <v>35</v>
      </c>
      <c r="ET65" s="57">
        <v>40</v>
      </c>
      <c r="EU65" s="52"/>
      <c r="EV65" s="20"/>
      <c r="EW65" s="20"/>
      <c r="EX65" s="20"/>
      <c r="EY65" s="20"/>
      <c r="EZ65" s="20">
        <v>8</v>
      </c>
      <c r="FA65" s="70">
        <v>8</v>
      </c>
      <c r="FB65" s="57"/>
      <c r="FC65" s="52"/>
      <c r="FD65" s="20"/>
      <c r="FE65" s="20"/>
      <c r="FF65" s="20"/>
      <c r="FG65" s="20"/>
      <c r="FH65" s="20">
        <v>36</v>
      </c>
      <c r="FI65" s="70">
        <v>36</v>
      </c>
      <c r="FJ65" s="57">
        <v>40</v>
      </c>
      <c r="FK65" s="52"/>
      <c r="FL65" s="20"/>
      <c r="FM65" s="20"/>
      <c r="FN65" s="20"/>
      <c r="FO65" s="20"/>
      <c r="FP65" s="20">
        <v>20</v>
      </c>
      <c r="FQ65" s="70">
        <v>20</v>
      </c>
      <c r="FR65" s="57">
        <v>30</v>
      </c>
      <c r="FS65" s="52"/>
      <c r="FT65" s="20"/>
      <c r="FU65" s="20"/>
      <c r="FV65" s="20"/>
      <c r="FW65" s="20"/>
      <c r="FX65" s="20">
        <v>23</v>
      </c>
      <c r="FY65" s="70">
        <v>23</v>
      </c>
      <c r="FZ65" s="57">
        <v>25</v>
      </c>
      <c r="GA65" s="20"/>
      <c r="GB65" s="20"/>
      <c r="GC65" s="20"/>
      <c r="GD65" s="20"/>
      <c r="GE65" s="20"/>
      <c r="GF65" s="20">
        <v>18</v>
      </c>
      <c r="GG65" s="20">
        <v>18</v>
      </c>
      <c r="GH65" s="20">
        <v>20</v>
      </c>
      <c r="GI65" s="20"/>
      <c r="GJ65" s="20"/>
      <c r="GK65" s="20"/>
      <c r="GL65" s="20"/>
      <c r="GM65" s="20"/>
      <c r="GN65" s="20">
        <v>17</v>
      </c>
      <c r="GO65" s="20">
        <v>17</v>
      </c>
      <c r="GP65" s="20">
        <v>20</v>
      </c>
      <c r="GQ65" s="20"/>
      <c r="GR65" s="20"/>
      <c r="GS65" s="20"/>
      <c r="GT65" s="20"/>
      <c r="GU65" s="20"/>
      <c r="GV65" s="56">
        <v>49</v>
      </c>
      <c r="GW65" s="57">
        <v>49</v>
      </c>
      <c r="GX65" s="57">
        <v>0</v>
      </c>
      <c r="GY65" s="20"/>
      <c r="GZ65" s="20"/>
      <c r="HA65" s="20"/>
      <c r="HB65" s="20"/>
      <c r="HC65" s="20"/>
      <c r="HD65" s="56">
        <v>7</v>
      </c>
      <c r="HE65" s="57">
        <v>7</v>
      </c>
      <c r="HF65" s="57">
        <v>30</v>
      </c>
      <c r="HG65" s="20"/>
      <c r="HH65" s="20"/>
      <c r="HI65" s="20"/>
      <c r="HJ65" s="20"/>
      <c r="HK65" s="20"/>
      <c r="HL65" s="20">
        <v>25</v>
      </c>
      <c r="HM65" s="20">
        <v>25</v>
      </c>
      <c r="HN65" s="20">
        <v>30</v>
      </c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>
        <v>30</v>
      </c>
      <c r="IC65" s="20">
        <v>30</v>
      </c>
      <c r="ID65" s="20">
        <v>50</v>
      </c>
      <c r="IE65" s="20"/>
      <c r="IF65" s="20"/>
      <c r="IG65" s="20"/>
      <c r="IH65" s="20"/>
      <c r="II65" s="20"/>
      <c r="IJ65" s="20">
        <v>32</v>
      </c>
      <c r="IK65" s="20">
        <v>32</v>
      </c>
      <c r="IL65" s="20">
        <v>32</v>
      </c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>
        <v>15</v>
      </c>
      <c r="KE65" s="20">
        <v>15</v>
      </c>
      <c r="KF65" s="20">
        <v>25</v>
      </c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136"/>
      <c r="LR65" s="136">
        <v>40</v>
      </c>
      <c r="LS65" s="136"/>
      <c r="LT65" s="136">
        <v>70</v>
      </c>
      <c r="LU65" s="136">
        <v>21</v>
      </c>
      <c r="LV65" s="136">
        <v>45</v>
      </c>
      <c r="LW65" s="136">
        <v>46</v>
      </c>
      <c r="LX65" s="136">
        <v>112</v>
      </c>
      <c r="LY65" s="136">
        <v>105</v>
      </c>
      <c r="LZ65" s="136">
        <v>81</v>
      </c>
      <c r="MA65" s="136">
        <v>132</v>
      </c>
      <c r="MB65" s="136">
        <v>118</v>
      </c>
      <c r="MC65" s="137">
        <v>77</v>
      </c>
      <c r="MD65" s="137">
        <v>70</v>
      </c>
      <c r="ME65" s="136">
        <v>50</v>
      </c>
      <c r="MF65" s="137">
        <v>223</v>
      </c>
      <c r="MG65" s="137">
        <v>200</v>
      </c>
      <c r="MH65" s="137">
        <v>170</v>
      </c>
      <c r="MI65" s="137">
        <v>72</v>
      </c>
      <c r="MJ65" s="137">
        <v>272</v>
      </c>
      <c r="MK65" s="137">
        <v>125</v>
      </c>
      <c r="ML65" s="137">
        <v>153</v>
      </c>
      <c r="MM65" s="137"/>
      <c r="MN65" s="137"/>
      <c r="MO65" s="137">
        <v>70</v>
      </c>
      <c r="MP65" s="137">
        <v>120</v>
      </c>
      <c r="MQ65" s="1">
        <v>100</v>
      </c>
      <c r="MR65" s="137">
        <v>28</v>
      </c>
      <c r="MS65" s="1">
        <v>635</v>
      </c>
      <c r="MT65" s="137">
        <v>189</v>
      </c>
      <c r="MU65" s="138">
        <v>268</v>
      </c>
      <c r="MV65" s="139">
        <f t="shared" si="9"/>
        <v>3592</v>
      </c>
      <c r="MW65" s="121"/>
    </row>
    <row r="66" spans="1:361" s="58" customFormat="1" ht="18.75">
      <c r="A66" s="126" t="s">
        <v>233</v>
      </c>
      <c r="B66" s="46"/>
      <c r="C66" s="20"/>
      <c r="D66" s="20"/>
      <c r="E66" s="20"/>
      <c r="F66" s="20"/>
      <c r="G66" s="47"/>
      <c r="H66" s="48"/>
      <c r="I66" s="46"/>
      <c r="J66" s="20"/>
      <c r="K66" s="20"/>
      <c r="L66" s="20"/>
      <c r="M66" s="20"/>
      <c r="N66" s="47"/>
      <c r="O66" s="49">
        <f t="shared" ref="O66:O72" si="14">I66+J66+K66+L66+M66+N66</f>
        <v>0</v>
      </c>
      <c r="P66" s="46"/>
      <c r="Q66" s="20"/>
      <c r="R66" s="20"/>
      <c r="S66" s="20"/>
      <c r="T66" s="20"/>
      <c r="U66" s="47">
        <v>35</v>
      </c>
      <c r="V66" s="49">
        <f t="shared" ref="V66:V72" si="15">P66+Q66+R66+S66+T66+U66</f>
        <v>35</v>
      </c>
      <c r="W66" s="46"/>
      <c r="X66" s="20"/>
      <c r="Y66" s="20"/>
      <c r="Z66" s="20"/>
      <c r="AA66" s="20"/>
      <c r="AB66" s="47">
        <v>40</v>
      </c>
      <c r="AC66" s="49"/>
      <c r="AD66" s="46"/>
      <c r="AE66" s="20"/>
      <c r="AF66" s="20"/>
      <c r="AG66" s="20"/>
      <c r="AH66" s="20"/>
      <c r="AI66" s="47">
        <v>32</v>
      </c>
      <c r="AJ66" s="49"/>
      <c r="AK66" s="46"/>
      <c r="AL66" s="20"/>
      <c r="AM66" s="20"/>
      <c r="AN66" s="20"/>
      <c r="AO66" s="20"/>
      <c r="AP66" s="47">
        <v>21</v>
      </c>
      <c r="AQ66" s="49"/>
      <c r="AR66" s="20"/>
      <c r="AS66" s="20"/>
      <c r="AT66" s="20"/>
      <c r="AU66" s="20"/>
      <c r="AV66" s="20"/>
      <c r="AW66" s="20"/>
      <c r="AX66" s="20">
        <v>23</v>
      </c>
      <c r="AY66" s="49"/>
      <c r="AZ66" s="20">
        <v>35</v>
      </c>
      <c r="BA66" s="20"/>
      <c r="BB66" s="20"/>
      <c r="BC66" s="20"/>
      <c r="BD66" s="20"/>
      <c r="BE66" s="20"/>
      <c r="BF66" s="20">
        <v>13</v>
      </c>
      <c r="BG66" s="49"/>
      <c r="BH66" s="51">
        <v>15</v>
      </c>
      <c r="BI66" s="52"/>
      <c r="BJ66" s="20"/>
      <c r="BK66" s="20"/>
      <c r="BL66" s="20"/>
      <c r="BM66" s="20"/>
      <c r="BN66" s="20">
        <v>50</v>
      </c>
      <c r="BO66" s="49">
        <v>50</v>
      </c>
      <c r="BP66" s="51">
        <v>50</v>
      </c>
      <c r="BQ66" s="46"/>
      <c r="BR66" s="20"/>
      <c r="BS66" s="20"/>
      <c r="BT66" s="20"/>
      <c r="BU66" s="20"/>
      <c r="BV66" s="47"/>
      <c r="BW66" s="48"/>
      <c r="BX66" s="46"/>
      <c r="BY66" s="20"/>
      <c r="BZ66" s="20"/>
      <c r="CA66" s="20"/>
      <c r="CB66" s="20"/>
      <c r="CC66" s="47"/>
      <c r="CD66" s="49">
        <f t="shared" ref="CD66:CD72" si="16">BX66+BY66+BZ66+CA66+CB66+CC66</f>
        <v>0</v>
      </c>
      <c r="CE66" s="46"/>
      <c r="CF66" s="20"/>
      <c r="CG66" s="20"/>
      <c r="CH66" s="20"/>
      <c r="CI66" s="20"/>
      <c r="CJ66" s="47">
        <v>35</v>
      </c>
      <c r="CK66" s="49">
        <f t="shared" ref="CK66:CK72" si="17">CE66+CF66+CG66+CH66+CI66+CJ66</f>
        <v>35</v>
      </c>
      <c r="CL66" s="46"/>
      <c r="CM66" s="20"/>
      <c r="CN66" s="20"/>
      <c r="CO66" s="20"/>
      <c r="CP66" s="20"/>
      <c r="CQ66" s="47">
        <v>40</v>
      </c>
      <c r="CR66" s="49"/>
      <c r="CS66" s="46"/>
      <c r="CT66" s="20"/>
      <c r="CU66" s="20"/>
      <c r="CV66" s="20"/>
      <c r="CW66" s="20"/>
      <c r="CX66" s="47">
        <v>32</v>
      </c>
      <c r="CY66" s="49"/>
      <c r="CZ66" s="46"/>
      <c r="DA66" s="20"/>
      <c r="DB66" s="20"/>
      <c r="DC66" s="20"/>
      <c r="DD66" s="20"/>
      <c r="DE66" s="47">
        <v>21</v>
      </c>
      <c r="DF66" s="49"/>
      <c r="DG66" s="20"/>
      <c r="DH66" s="20"/>
      <c r="DI66" s="20"/>
      <c r="DJ66" s="20"/>
      <c r="DK66" s="20"/>
      <c r="DL66" s="20"/>
      <c r="DM66" s="20">
        <v>23</v>
      </c>
      <c r="DN66" s="49"/>
      <c r="DO66" s="20">
        <v>35</v>
      </c>
      <c r="DP66" s="20"/>
      <c r="DQ66" s="20"/>
      <c r="DR66" s="20"/>
      <c r="DS66" s="20"/>
      <c r="DT66" s="20"/>
      <c r="DU66" s="20">
        <v>13</v>
      </c>
      <c r="DV66" s="49"/>
      <c r="DW66" s="52"/>
      <c r="DX66" s="20"/>
      <c r="DY66" s="20"/>
      <c r="DZ66" s="20"/>
      <c r="EA66" s="20"/>
      <c r="EB66" s="20">
        <v>15</v>
      </c>
      <c r="EC66" s="70">
        <v>15</v>
      </c>
      <c r="ED66" s="51">
        <v>20</v>
      </c>
      <c r="EE66" s="52"/>
      <c r="EF66" s="20"/>
      <c r="EG66" s="20"/>
      <c r="EH66" s="20"/>
      <c r="EI66" s="20"/>
      <c r="EJ66" s="20">
        <v>46</v>
      </c>
      <c r="EK66" s="70"/>
      <c r="EL66" s="51"/>
      <c r="EM66" s="52"/>
      <c r="EN66" s="20"/>
      <c r="EO66" s="20"/>
      <c r="EP66" s="20"/>
      <c r="EQ66" s="20"/>
      <c r="ER66" s="20">
        <v>72</v>
      </c>
      <c r="ES66" s="70">
        <v>72</v>
      </c>
      <c r="ET66" s="57">
        <v>100</v>
      </c>
      <c r="EU66" s="52"/>
      <c r="EV66" s="20"/>
      <c r="EW66" s="20"/>
      <c r="EX66" s="20"/>
      <c r="EY66" s="20"/>
      <c r="EZ66" s="20">
        <v>80</v>
      </c>
      <c r="FA66" s="70">
        <v>80</v>
      </c>
      <c r="FB66" s="57">
        <v>80</v>
      </c>
      <c r="FC66" s="52"/>
      <c r="FD66" s="20"/>
      <c r="FE66" s="20"/>
      <c r="FF66" s="20"/>
      <c r="FG66" s="20"/>
      <c r="FH66" s="20">
        <v>121</v>
      </c>
      <c r="FI66" s="70">
        <v>121</v>
      </c>
      <c r="FJ66" s="57">
        <v>100</v>
      </c>
      <c r="FK66" s="52"/>
      <c r="FL66" s="20"/>
      <c r="FM66" s="20"/>
      <c r="FN66" s="20"/>
      <c r="FO66" s="20"/>
      <c r="FP66" s="20">
        <v>247</v>
      </c>
      <c r="FQ66" s="70">
        <v>237</v>
      </c>
      <c r="FR66" s="57">
        <v>250</v>
      </c>
      <c r="FS66" s="52"/>
      <c r="FT66" s="20"/>
      <c r="FU66" s="20"/>
      <c r="FV66" s="20"/>
      <c r="FW66" s="20"/>
      <c r="FX66" s="20">
        <v>148</v>
      </c>
      <c r="FY66" s="70">
        <v>148</v>
      </c>
      <c r="FZ66" s="57">
        <v>120</v>
      </c>
      <c r="GA66" s="20"/>
      <c r="GB66" s="20"/>
      <c r="GC66" s="20"/>
      <c r="GD66" s="20"/>
      <c r="GE66" s="20"/>
      <c r="GF66" s="20">
        <v>215</v>
      </c>
      <c r="GG66" s="20">
        <v>215</v>
      </c>
      <c r="GH66" s="20">
        <v>200</v>
      </c>
      <c r="GI66" s="20"/>
      <c r="GJ66" s="20"/>
      <c r="GK66" s="20"/>
      <c r="GL66" s="20"/>
      <c r="GM66" s="20"/>
      <c r="GN66" s="20">
        <v>275</v>
      </c>
      <c r="GO66" s="20">
        <v>275</v>
      </c>
      <c r="GP66" s="20">
        <v>280</v>
      </c>
      <c r="GQ66" s="20"/>
      <c r="GR66" s="20"/>
      <c r="GS66" s="20"/>
      <c r="GT66" s="20"/>
      <c r="GU66" s="20"/>
      <c r="GV66" s="56">
        <v>395</v>
      </c>
      <c r="GW66" s="57">
        <v>395</v>
      </c>
      <c r="GX66" s="57">
        <v>300</v>
      </c>
      <c r="GY66" s="20"/>
      <c r="GZ66" s="20"/>
      <c r="HA66" s="20"/>
      <c r="HB66" s="20"/>
      <c r="HC66" s="20"/>
      <c r="HD66" s="56">
        <v>480</v>
      </c>
      <c r="HE66" s="57">
        <v>480</v>
      </c>
      <c r="HF66" s="57">
        <v>350</v>
      </c>
      <c r="HG66" s="20"/>
      <c r="HH66" s="20"/>
      <c r="HI66" s="20"/>
      <c r="HJ66" s="20"/>
      <c r="HK66" s="20"/>
      <c r="HL66" s="20">
        <v>350</v>
      </c>
      <c r="HM66" s="20">
        <v>350</v>
      </c>
      <c r="HN66" s="20">
        <v>380</v>
      </c>
      <c r="HO66" s="20"/>
      <c r="HP66" s="20"/>
      <c r="HQ66" s="20"/>
      <c r="HR66" s="20"/>
      <c r="HS66" s="20"/>
      <c r="HT66" s="20">
        <v>450</v>
      </c>
      <c r="HU66" s="20">
        <v>450</v>
      </c>
      <c r="HV66" s="20">
        <v>500</v>
      </c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>
        <v>1090</v>
      </c>
      <c r="IK66" s="20">
        <v>1090</v>
      </c>
      <c r="IL66" s="20">
        <v>600</v>
      </c>
      <c r="IM66" s="20"/>
      <c r="IN66" s="20"/>
      <c r="IO66" s="20"/>
      <c r="IP66" s="20"/>
      <c r="IQ66" s="20"/>
      <c r="IR66" s="20">
        <v>775</v>
      </c>
      <c r="IS66" s="20">
        <v>775</v>
      </c>
      <c r="IT66" s="20">
        <v>650</v>
      </c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>
        <v>1050</v>
      </c>
      <c r="KE66" s="20">
        <v>1050</v>
      </c>
      <c r="KF66" s="20">
        <v>950</v>
      </c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136">
        <v>300</v>
      </c>
      <c r="LR66" s="136">
        <v>350</v>
      </c>
      <c r="LS66" s="136">
        <v>550</v>
      </c>
      <c r="LT66" s="136">
        <v>450</v>
      </c>
      <c r="LU66" s="136">
        <v>245</v>
      </c>
      <c r="LV66" s="136">
        <v>350</v>
      </c>
      <c r="LW66" s="136">
        <v>300</v>
      </c>
      <c r="LX66" s="136">
        <v>300</v>
      </c>
      <c r="LY66" s="136">
        <v>380</v>
      </c>
      <c r="LZ66" s="136">
        <v>170</v>
      </c>
      <c r="MA66" s="136">
        <v>380</v>
      </c>
      <c r="MB66" s="136">
        <v>139</v>
      </c>
      <c r="MC66" s="137">
        <v>50</v>
      </c>
      <c r="MD66" s="137">
        <v>200</v>
      </c>
      <c r="ME66" s="136">
        <v>110</v>
      </c>
      <c r="MF66" s="137">
        <v>200</v>
      </c>
      <c r="MG66" s="137">
        <v>296</v>
      </c>
      <c r="MH66" s="137">
        <v>273</v>
      </c>
      <c r="MI66" s="137">
        <v>270</v>
      </c>
      <c r="MJ66" s="137">
        <v>129</v>
      </c>
      <c r="MK66" s="137">
        <v>221</v>
      </c>
      <c r="ML66" s="137">
        <v>221</v>
      </c>
      <c r="MM66" s="137">
        <v>8</v>
      </c>
      <c r="MN66" s="137">
        <v>84</v>
      </c>
      <c r="MO66" s="137">
        <v>100</v>
      </c>
      <c r="MP66" s="137">
        <v>65</v>
      </c>
      <c r="MQ66" s="1">
        <v>230</v>
      </c>
      <c r="MR66" s="137">
        <v>77</v>
      </c>
      <c r="MS66" s="1">
        <v>30</v>
      </c>
      <c r="MT66" s="137">
        <v>28</v>
      </c>
      <c r="MU66" s="138">
        <v>22</v>
      </c>
      <c r="MV66" s="139">
        <f t="shared" si="9"/>
        <v>6528</v>
      </c>
      <c r="MW66" s="121"/>
    </row>
    <row r="67" spans="1:361" s="58" customFormat="1" ht="18.75">
      <c r="A67" s="126" t="s">
        <v>234</v>
      </c>
      <c r="B67" s="46"/>
      <c r="C67" s="20"/>
      <c r="D67" s="20"/>
      <c r="E67" s="20"/>
      <c r="F67" s="20"/>
      <c r="G67" s="47">
        <v>50</v>
      </c>
      <c r="H67" s="48"/>
      <c r="I67" s="46"/>
      <c r="J67" s="20"/>
      <c r="K67" s="20"/>
      <c r="L67" s="20"/>
      <c r="M67" s="20">
        <v>50</v>
      </c>
      <c r="N67" s="47"/>
      <c r="O67" s="49">
        <f t="shared" si="14"/>
        <v>50</v>
      </c>
      <c r="P67" s="46"/>
      <c r="Q67" s="20"/>
      <c r="R67" s="20">
        <v>100</v>
      </c>
      <c r="S67" s="20"/>
      <c r="T67" s="20"/>
      <c r="U67" s="47"/>
      <c r="V67" s="49">
        <f t="shared" si="15"/>
        <v>100</v>
      </c>
      <c r="W67" s="46"/>
      <c r="X67" s="20"/>
      <c r="Y67" s="20"/>
      <c r="Z67" s="20"/>
      <c r="AA67" s="20"/>
      <c r="AB67" s="47"/>
      <c r="AC67" s="49"/>
      <c r="AD67" s="46"/>
      <c r="AE67" s="20"/>
      <c r="AF67" s="20">
        <v>130</v>
      </c>
      <c r="AG67" s="20"/>
      <c r="AH67" s="20"/>
      <c r="AI67" s="47"/>
      <c r="AJ67" s="49"/>
      <c r="AK67" s="46"/>
      <c r="AL67" s="20"/>
      <c r="AM67" s="20">
        <v>43</v>
      </c>
      <c r="AN67" s="20"/>
      <c r="AO67" s="20"/>
      <c r="AP67" s="47"/>
      <c r="AQ67" s="49"/>
      <c r="AR67" s="20"/>
      <c r="AS67" s="20"/>
      <c r="AT67" s="20"/>
      <c r="AU67" s="20"/>
      <c r="AV67" s="20"/>
      <c r="AW67" s="20"/>
      <c r="AX67" s="20">
        <v>0</v>
      </c>
      <c r="AY67" s="49"/>
      <c r="AZ67" s="20">
        <v>50</v>
      </c>
      <c r="BA67" s="20"/>
      <c r="BB67" s="20"/>
      <c r="BC67" s="20">
        <v>70</v>
      </c>
      <c r="BD67" s="20"/>
      <c r="BE67" s="20"/>
      <c r="BF67" s="20"/>
      <c r="BG67" s="49"/>
      <c r="BH67" s="51">
        <v>40</v>
      </c>
      <c r="BI67" s="52"/>
      <c r="BJ67" s="20"/>
      <c r="BK67" s="20">
        <v>56</v>
      </c>
      <c r="BL67" s="20"/>
      <c r="BM67" s="20"/>
      <c r="BN67" s="20">
        <v>0</v>
      </c>
      <c r="BO67" s="49">
        <v>56</v>
      </c>
      <c r="BP67" s="51">
        <v>65</v>
      </c>
      <c r="BQ67" s="46"/>
      <c r="BR67" s="20"/>
      <c r="BS67" s="20"/>
      <c r="BT67" s="20"/>
      <c r="BU67" s="20"/>
      <c r="BV67" s="47">
        <v>50</v>
      </c>
      <c r="BW67" s="48"/>
      <c r="BX67" s="46"/>
      <c r="BY67" s="20"/>
      <c r="BZ67" s="20"/>
      <c r="CA67" s="20"/>
      <c r="CB67" s="20">
        <v>50</v>
      </c>
      <c r="CC67" s="47"/>
      <c r="CD67" s="49">
        <f t="shared" si="16"/>
        <v>50</v>
      </c>
      <c r="CE67" s="46"/>
      <c r="CF67" s="20"/>
      <c r="CG67" s="20">
        <v>100</v>
      </c>
      <c r="CH67" s="20"/>
      <c r="CI67" s="20"/>
      <c r="CJ67" s="47"/>
      <c r="CK67" s="49">
        <f t="shared" si="17"/>
        <v>100</v>
      </c>
      <c r="CL67" s="46"/>
      <c r="CM67" s="20"/>
      <c r="CN67" s="20"/>
      <c r="CO67" s="20"/>
      <c r="CP67" s="20"/>
      <c r="CQ67" s="47"/>
      <c r="CR67" s="49"/>
      <c r="CS67" s="46"/>
      <c r="CT67" s="20"/>
      <c r="CU67" s="20">
        <v>130</v>
      </c>
      <c r="CV67" s="20"/>
      <c r="CW67" s="20"/>
      <c r="CX67" s="47"/>
      <c r="CY67" s="49"/>
      <c r="CZ67" s="46"/>
      <c r="DA67" s="20"/>
      <c r="DB67" s="20">
        <v>43</v>
      </c>
      <c r="DC67" s="20"/>
      <c r="DD67" s="20"/>
      <c r="DE67" s="47"/>
      <c r="DF67" s="49"/>
      <c r="DG67" s="20"/>
      <c r="DH67" s="20"/>
      <c r="DI67" s="20"/>
      <c r="DJ67" s="20"/>
      <c r="DK67" s="20"/>
      <c r="DL67" s="20"/>
      <c r="DM67" s="20">
        <v>0</v>
      </c>
      <c r="DN67" s="49"/>
      <c r="DO67" s="20">
        <v>50</v>
      </c>
      <c r="DP67" s="20"/>
      <c r="DQ67" s="20"/>
      <c r="DR67" s="20">
        <v>70</v>
      </c>
      <c r="DS67" s="20"/>
      <c r="DT67" s="20"/>
      <c r="DU67" s="20"/>
      <c r="DV67" s="49"/>
      <c r="DW67" s="52"/>
      <c r="DX67" s="20"/>
      <c r="DY67" s="20"/>
      <c r="DZ67" s="20"/>
      <c r="EA67" s="20"/>
      <c r="EB67" s="20"/>
      <c r="EC67" s="70"/>
      <c r="ED67" s="51"/>
      <c r="EE67" s="52"/>
      <c r="EF67" s="20"/>
      <c r="EG67" s="20"/>
      <c r="EH67" s="20"/>
      <c r="EI67" s="20"/>
      <c r="EJ67" s="20"/>
      <c r="EK67" s="70"/>
      <c r="EL67" s="51"/>
      <c r="EM67" s="52"/>
      <c r="EN67" s="20"/>
      <c r="EO67" s="20">
        <v>40</v>
      </c>
      <c r="EP67" s="20"/>
      <c r="EQ67" s="20"/>
      <c r="ER67" s="20"/>
      <c r="ES67" s="70">
        <v>40</v>
      </c>
      <c r="ET67" s="57">
        <v>25</v>
      </c>
      <c r="EU67" s="52"/>
      <c r="EV67" s="20"/>
      <c r="EW67" s="20"/>
      <c r="EX67" s="20"/>
      <c r="EY67" s="20"/>
      <c r="EZ67" s="20"/>
      <c r="FA67" s="70"/>
      <c r="FB67" s="57"/>
      <c r="FC67" s="52"/>
      <c r="FD67" s="20"/>
      <c r="FE67" s="20"/>
      <c r="FF67" s="20"/>
      <c r="FG67" s="20"/>
      <c r="FH67" s="20">
        <v>20</v>
      </c>
      <c r="FI67" s="70">
        <v>20</v>
      </c>
      <c r="FJ67" s="57">
        <v>30</v>
      </c>
      <c r="FK67" s="52"/>
      <c r="FL67" s="20"/>
      <c r="FM67" s="20"/>
      <c r="FN67" s="20"/>
      <c r="FO67" s="20"/>
      <c r="FP67" s="20"/>
      <c r="FQ67" s="70"/>
      <c r="FR67" s="57"/>
      <c r="FS67" s="52"/>
      <c r="FT67" s="20"/>
      <c r="FU67" s="20"/>
      <c r="FV67" s="20"/>
      <c r="FW67" s="20"/>
      <c r="FX67" s="20"/>
      <c r="FY67" s="70"/>
      <c r="FZ67" s="57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>
        <v>28</v>
      </c>
      <c r="GL67" s="20"/>
      <c r="GM67" s="20"/>
      <c r="GN67" s="20"/>
      <c r="GO67" s="20">
        <v>28</v>
      </c>
      <c r="GP67" s="20">
        <v>20</v>
      </c>
      <c r="GQ67" s="20"/>
      <c r="GR67" s="20"/>
      <c r="GS67" s="20">
        <v>46</v>
      </c>
      <c r="GT67" s="20"/>
      <c r="GU67" s="20"/>
      <c r="GV67" s="56"/>
      <c r="GW67" s="57">
        <v>46</v>
      </c>
      <c r="GX67" s="57">
        <v>30</v>
      </c>
      <c r="GY67" s="20"/>
      <c r="GZ67" s="20"/>
      <c r="HA67" s="20">
        <v>12</v>
      </c>
      <c r="HB67" s="20"/>
      <c r="HC67" s="20"/>
      <c r="HD67" s="56"/>
      <c r="HE67" s="57">
        <v>12</v>
      </c>
      <c r="HF67" s="57">
        <v>20</v>
      </c>
      <c r="HG67" s="20"/>
      <c r="HH67" s="20"/>
      <c r="HI67" s="20">
        <v>25</v>
      </c>
      <c r="HJ67" s="20"/>
      <c r="HK67" s="20"/>
      <c r="HL67" s="20"/>
      <c r="HM67" s="20">
        <v>25</v>
      </c>
      <c r="HN67" s="20">
        <v>20</v>
      </c>
      <c r="HO67" s="20"/>
      <c r="HP67" s="20"/>
      <c r="HQ67" s="20">
        <v>100</v>
      </c>
      <c r="HR67" s="20"/>
      <c r="HS67" s="20"/>
      <c r="HT67" s="20"/>
      <c r="HU67" s="20">
        <v>100</v>
      </c>
      <c r="HV67" s="20">
        <v>60</v>
      </c>
      <c r="HW67" s="20"/>
      <c r="HX67" s="20"/>
      <c r="HY67" s="20">
        <v>70</v>
      </c>
      <c r="HZ67" s="20"/>
      <c r="IA67" s="20"/>
      <c r="IB67" s="20">
        <v>918</v>
      </c>
      <c r="IC67" s="20">
        <v>988</v>
      </c>
      <c r="ID67" s="20">
        <v>570</v>
      </c>
      <c r="IE67" s="20"/>
      <c r="IF67" s="20"/>
      <c r="IG67" s="20">
        <v>100</v>
      </c>
      <c r="IH67" s="20"/>
      <c r="II67" s="20"/>
      <c r="IJ67" s="20"/>
      <c r="IK67" s="20">
        <v>100</v>
      </c>
      <c r="IL67" s="20">
        <v>100</v>
      </c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>
        <v>118</v>
      </c>
      <c r="KB67" s="20"/>
      <c r="KC67" s="20"/>
      <c r="KD67" s="20"/>
      <c r="KE67" s="20">
        <v>118</v>
      </c>
      <c r="KF67" s="20">
        <v>100</v>
      </c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136"/>
      <c r="LR67" s="136">
        <v>68</v>
      </c>
      <c r="LS67" s="136">
        <v>68</v>
      </c>
      <c r="LT67" s="136"/>
      <c r="LU67" s="136">
        <v>40</v>
      </c>
      <c r="LV67" s="136">
        <v>30</v>
      </c>
      <c r="LW67" s="136">
        <v>30</v>
      </c>
      <c r="LX67" s="136">
        <v>38</v>
      </c>
      <c r="LY67" s="136">
        <v>30</v>
      </c>
      <c r="LZ67" s="136"/>
      <c r="MA67" s="136">
        <v>30</v>
      </c>
      <c r="MB67" s="136">
        <v>12</v>
      </c>
      <c r="MC67" s="137">
        <v>24</v>
      </c>
      <c r="MD67" s="137">
        <v>12</v>
      </c>
      <c r="ME67" s="136">
        <v>20</v>
      </c>
      <c r="MF67" s="137">
        <v>34</v>
      </c>
      <c r="MG67" s="137">
        <v>20</v>
      </c>
      <c r="MH67" s="137">
        <v>26</v>
      </c>
      <c r="MI67" s="137">
        <v>21</v>
      </c>
      <c r="MJ67" s="137">
        <v>21</v>
      </c>
      <c r="MK67" s="137">
        <v>20</v>
      </c>
      <c r="ML67" s="137"/>
      <c r="MM67" s="137">
        <v>10</v>
      </c>
      <c r="MN67" s="137">
        <v>21</v>
      </c>
      <c r="MO67" s="137"/>
      <c r="MP67" s="137">
        <v>47</v>
      </c>
      <c r="MQ67" s="1">
        <v>18</v>
      </c>
      <c r="MR67" s="137">
        <v>8</v>
      </c>
      <c r="MS67" s="1">
        <v>40</v>
      </c>
      <c r="MT67" s="137">
        <v>20</v>
      </c>
      <c r="MU67" s="138">
        <v>10</v>
      </c>
      <c r="MV67" s="139">
        <f t="shared" si="9"/>
        <v>718</v>
      </c>
      <c r="MW67" s="121"/>
    </row>
    <row r="68" spans="1:361" s="58" customFormat="1" ht="18" customHeight="1">
      <c r="A68" s="126" t="s">
        <v>235</v>
      </c>
      <c r="B68" s="46"/>
      <c r="C68" s="20"/>
      <c r="D68" s="20"/>
      <c r="E68" s="20"/>
      <c r="F68" s="20"/>
      <c r="G68" s="47"/>
      <c r="H68" s="48"/>
      <c r="I68" s="46"/>
      <c r="J68" s="20"/>
      <c r="K68" s="20"/>
      <c r="L68" s="20"/>
      <c r="M68" s="20"/>
      <c r="N68" s="47"/>
      <c r="O68" s="49"/>
      <c r="P68" s="46"/>
      <c r="Q68" s="20"/>
      <c r="R68" s="20"/>
      <c r="S68" s="20"/>
      <c r="T68" s="20"/>
      <c r="U68" s="47"/>
      <c r="V68" s="49"/>
      <c r="W68" s="46"/>
      <c r="X68" s="20"/>
      <c r="Y68" s="20"/>
      <c r="Z68" s="20"/>
      <c r="AA68" s="20"/>
      <c r="AB68" s="47"/>
      <c r="AC68" s="49"/>
      <c r="AD68" s="46"/>
      <c r="AE68" s="20"/>
      <c r="AF68" s="20"/>
      <c r="AG68" s="20"/>
      <c r="AH68" s="20"/>
      <c r="AI68" s="47"/>
      <c r="AJ68" s="49"/>
      <c r="AK68" s="46"/>
      <c r="AL68" s="20"/>
      <c r="AM68" s="20"/>
      <c r="AN68" s="20"/>
      <c r="AO68" s="20"/>
      <c r="AP68" s="47"/>
      <c r="AQ68" s="49"/>
      <c r="AR68" s="20"/>
      <c r="AS68" s="20"/>
      <c r="AT68" s="20"/>
      <c r="AU68" s="20"/>
      <c r="AV68" s="20"/>
      <c r="AW68" s="20"/>
      <c r="AX68" s="20"/>
      <c r="AY68" s="49"/>
      <c r="AZ68" s="20"/>
      <c r="BA68" s="20"/>
      <c r="BB68" s="20"/>
      <c r="BC68" s="20"/>
      <c r="BD68" s="20"/>
      <c r="BE68" s="20"/>
      <c r="BF68" s="20"/>
      <c r="BG68" s="49"/>
      <c r="BH68" s="51"/>
      <c r="BI68" s="52"/>
      <c r="BJ68" s="20"/>
      <c r="BK68" s="20"/>
      <c r="BL68" s="20"/>
      <c r="BM68" s="20"/>
      <c r="BN68" s="20"/>
      <c r="BO68" s="49"/>
      <c r="BP68" s="51"/>
      <c r="BQ68" s="46"/>
      <c r="BR68" s="20"/>
      <c r="BS68" s="20"/>
      <c r="BT68" s="20"/>
      <c r="BU68" s="20"/>
      <c r="BV68" s="47"/>
      <c r="BW68" s="48"/>
      <c r="BX68" s="46"/>
      <c r="BY68" s="20"/>
      <c r="BZ68" s="20"/>
      <c r="CA68" s="20"/>
      <c r="CB68" s="20"/>
      <c r="CC68" s="47"/>
      <c r="CD68" s="49"/>
      <c r="CE68" s="46"/>
      <c r="CF68" s="20"/>
      <c r="CG68" s="20"/>
      <c r="CH68" s="20"/>
      <c r="CI68" s="20"/>
      <c r="CJ68" s="47"/>
      <c r="CK68" s="49"/>
      <c r="CL68" s="46"/>
      <c r="CM68" s="20"/>
      <c r="CN68" s="20"/>
      <c r="CO68" s="20"/>
      <c r="CP68" s="20"/>
      <c r="CQ68" s="47"/>
      <c r="CR68" s="49"/>
      <c r="CS68" s="46"/>
      <c r="CT68" s="20"/>
      <c r="CU68" s="20"/>
      <c r="CV68" s="20"/>
      <c r="CW68" s="20"/>
      <c r="CX68" s="47"/>
      <c r="CY68" s="49"/>
      <c r="CZ68" s="46"/>
      <c r="DA68" s="20"/>
      <c r="DB68" s="20"/>
      <c r="DC68" s="20"/>
      <c r="DD68" s="20"/>
      <c r="DE68" s="47"/>
      <c r="DF68" s="49"/>
      <c r="DG68" s="20"/>
      <c r="DH68" s="20"/>
      <c r="DI68" s="20"/>
      <c r="DJ68" s="20"/>
      <c r="DK68" s="20"/>
      <c r="DL68" s="20"/>
      <c r="DM68" s="20"/>
      <c r="DN68" s="49"/>
      <c r="DO68" s="20"/>
      <c r="DP68" s="20"/>
      <c r="DQ68" s="20"/>
      <c r="DR68" s="20"/>
      <c r="DS68" s="20"/>
      <c r="DT68" s="20"/>
      <c r="DU68" s="20"/>
      <c r="DV68" s="49"/>
      <c r="DW68" s="52"/>
      <c r="DX68" s="20"/>
      <c r="DY68" s="20"/>
      <c r="DZ68" s="20"/>
      <c r="EA68" s="20"/>
      <c r="EB68" s="20"/>
      <c r="EC68" s="70"/>
      <c r="ED68" s="51"/>
      <c r="EE68" s="52"/>
      <c r="EF68" s="20"/>
      <c r="EG68" s="20"/>
      <c r="EH68" s="20"/>
      <c r="EI68" s="20"/>
      <c r="EJ68" s="20"/>
      <c r="EK68" s="70"/>
      <c r="EL68" s="51"/>
      <c r="EM68" s="52"/>
      <c r="EN68" s="20"/>
      <c r="EO68" s="20"/>
      <c r="EP68" s="20"/>
      <c r="EQ68" s="20"/>
      <c r="ER68" s="20"/>
      <c r="ES68" s="70"/>
      <c r="ET68" s="57"/>
      <c r="EU68" s="52"/>
      <c r="EV68" s="20"/>
      <c r="EW68" s="20"/>
      <c r="EX68" s="20"/>
      <c r="EY68" s="20"/>
      <c r="EZ68" s="20"/>
      <c r="FA68" s="70"/>
      <c r="FB68" s="57"/>
      <c r="FC68" s="52"/>
      <c r="FD68" s="20"/>
      <c r="FE68" s="20"/>
      <c r="FF68" s="20"/>
      <c r="FG68" s="20"/>
      <c r="FH68" s="20"/>
      <c r="FI68" s="70"/>
      <c r="FJ68" s="57"/>
      <c r="FK68" s="52"/>
      <c r="FL68" s="20"/>
      <c r="FM68" s="20"/>
      <c r="FN68" s="20"/>
      <c r="FO68" s="20"/>
      <c r="FP68" s="20"/>
      <c r="FQ68" s="70"/>
      <c r="FR68" s="57"/>
      <c r="FS68" s="52"/>
      <c r="FT68" s="20"/>
      <c r="FU68" s="20"/>
      <c r="FV68" s="20"/>
      <c r="FW68" s="20"/>
      <c r="FX68" s="20"/>
      <c r="FY68" s="70"/>
      <c r="FZ68" s="57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56"/>
      <c r="GW68" s="57"/>
      <c r="GX68" s="57"/>
      <c r="GY68" s="20"/>
      <c r="GZ68" s="20"/>
      <c r="HA68" s="20"/>
      <c r="HB68" s="20"/>
      <c r="HC68" s="20"/>
      <c r="HD68" s="56"/>
      <c r="HE68" s="57"/>
      <c r="HF68" s="57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136"/>
      <c r="LR68" s="136"/>
      <c r="LS68" s="136"/>
      <c r="LT68" s="136"/>
      <c r="LU68" s="136">
        <v>34</v>
      </c>
      <c r="LV68" s="136"/>
      <c r="LW68" s="136"/>
      <c r="LX68" s="136"/>
      <c r="LY68" s="136"/>
      <c r="LZ68" s="136"/>
      <c r="MA68" s="136"/>
      <c r="MB68" s="136"/>
      <c r="MC68" s="137"/>
      <c r="MD68" s="137">
        <v>0</v>
      </c>
      <c r="ME68" s="136">
        <v>5</v>
      </c>
      <c r="MF68" s="137"/>
      <c r="MG68" s="137"/>
      <c r="MH68" s="137"/>
      <c r="MI68" s="137"/>
      <c r="MJ68" s="137"/>
      <c r="MK68" s="137"/>
      <c r="ML68" s="137"/>
      <c r="MM68" s="137"/>
      <c r="MN68" s="137"/>
      <c r="MO68" s="137"/>
      <c r="MP68" s="137"/>
      <c r="MQ68" s="1">
        <v>16</v>
      </c>
      <c r="MR68" s="137">
        <v>10</v>
      </c>
      <c r="MS68" s="1">
        <v>0</v>
      </c>
      <c r="MT68" s="137">
        <v>0</v>
      </c>
      <c r="MU68" s="138">
        <v>0</v>
      </c>
      <c r="MV68" s="139">
        <f t="shared" si="9"/>
        <v>65</v>
      </c>
      <c r="MW68" s="121"/>
    </row>
    <row r="69" spans="1:361" s="58" customFormat="1" ht="18.75">
      <c r="A69" s="126" t="s">
        <v>236</v>
      </c>
      <c r="B69" s="46"/>
      <c r="C69" s="20"/>
      <c r="D69" s="20"/>
      <c r="E69" s="20"/>
      <c r="F69" s="20"/>
      <c r="G69" s="47"/>
      <c r="H69" s="48"/>
      <c r="I69" s="46"/>
      <c r="J69" s="20"/>
      <c r="K69" s="20"/>
      <c r="L69" s="20"/>
      <c r="M69" s="20"/>
      <c r="N69" s="47">
        <v>23</v>
      </c>
      <c r="O69" s="49">
        <f t="shared" si="14"/>
        <v>23</v>
      </c>
      <c r="P69" s="46"/>
      <c r="Q69" s="20"/>
      <c r="R69" s="20"/>
      <c r="S69" s="20"/>
      <c r="T69" s="20"/>
      <c r="U69" s="47">
        <v>50</v>
      </c>
      <c r="V69" s="49">
        <f t="shared" si="15"/>
        <v>50</v>
      </c>
      <c r="W69" s="46"/>
      <c r="X69" s="20"/>
      <c r="Y69" s="20"/>
      <c r="Z69" s="20"/>
      <c r="AA69" s="20"/>
      <c r="AB69" s="47">
        <v>25</v>
      </c>
      <c r="AC69" s="49"/>
      <c r="AD69" s="46"/>
      <c r="AE69" s="20"/>
      <c r="AF69" s="20"/>
      <c r="AG69" s="20">
        <v>70</v>
      </c>
      <c r="AH69" s="20"/>
      <c r="AI69" s="47">
        <v>22</v>
      </c>
      <c r="AJ69" s="49"/>
      <c r="AK69" s="46"/>
      <c r="AL69" s="20"/>
      <c r="AM69" s="20"/>
      <c r="AN69" s="20"/>
      <c r="AO69" s="20">
        <v>13</v>
      </c>
      <c r="AP69" s="47">
        <v>18</v>
      </c>
      <c r="AQ69" s="49"/>
      <c r="AR69" s="20"/>
      <c r="AS69" s="20"/>
      <c r="AT69" s="20"/>
      <c r="AU69" s="20">
        <v>76</v>
      </c>
      <c r="AV69" s="20"/>
      <c r="AW69" s="20"/>
      <c r="AX69" s="20">
        <v>43</v>
      </c>
      <c r="AY69" s="49"/>
      <c r="AZ69" s="20">
        <v>130</v>
      </c>
      <c r="BA69" s="20"/>
      <c r="BB69" s="20"/>
      <c r="BC69" s="20"/>
      <c r="BD69" s="20"/>
      <c r="BE69" s="20"/>
      <c r="BF69" s="20">
        <v>80</v>
      </c>
      <c r="BG69" s="49"/>
      <c r="BH69" s="51">
        <v>50</v>
      </c>
      <c r="BI69" s="52"/>
      <c r="BJ69" s="20"/>
      <c r="BK69" s="20"/>
      <c r="BL69" s="20"/>
      <c r="BM69" s="20">
        <v>10</v>
      </c>
      <c r="BN69" s="20">
        <v>58</v>
      </c>
      <c r="BO69" s="49">
        <v>68</v>
      </c>
      <c r="BP69" s="51">
        <v>70</v>
      </c>
      <c r="BQ69" s="46"/>
      <c r="BR69" s="20"/>
      <c r="BS69" s="20"/>
      <c r="BT69" s="20"/>
      <c r="BU69" s="20"/>
      <c r="BV69" s="47"/>
      <c r="BW69" s="48"/>
      <c r="BX69" s="46"/>
      <c r="BY69" s="20"/>
      <c r="BZ69" s="20"/>
      <c r="CA69" s="20"/>
      <c r="CB69" s="20"/>
      <c r="CC69" s="47">
        <v>23</v>
      </c>
      <c r="CD69" s="49">
        <f t="shared" si="16"/>
        <v>23</v>
      </c>
      <c r="CE69" s="46"/>
      <c r="CF69" s="20"/>
      <c r="CG69" s="20"/>
      <c r="CH69" s="20"/>
      <c r="CI69" s="20"/>
      <c r="CJ69" s="47">
        <v>50</v>
      </c>
      <c r="CK69" s="49">
        <f t="shared" si="17"/>
        <v>50</v>
      </c>
      <c r="CL69" s="46"/>
      <c r="CM69" s="20"/>
      <c r="CN69" s="20"/>
      <c r="CO69" s="20"/>
      <c r="CP69" s="20"/>
      <c r="CQ69" s="47">
        <v>25</v>
      </c>
      <c r="CR69" s="49"/>
      <c r="CS69" s="46"/>
      <c r="CT69" s="20"/>
      <c r="CU69" s="20"/>
      <c r="CV69" s="20">
        <v>70</v>
      </c>
      <c r="CW69" s="20"/>
      <c r="CX69" s="47">
        <v>22</v>
      </c>
      <c r="CY69" s="49"/>
      <c r="CZ69" s="46"/>
      <c r="DA69" s="20"/>
      <c r="DB69" s="20"/>
      <c r="DC69" s="20"/>
      <c r="DD69" s="20">
        <v>13</v>
      </c>
      <c r="DE69" s="47">
        <v>18</v>
      </c>
      <c r="DF69" s="49"/>
      <c r="DG69" s="20"/>
      <c r="DH69" s="20"/>
      <c r="DI69" s="20"/>
      <c r="DJ69" s="20">
        <v>76</v>
      </c>
      <c r="DK69" s="20"/>
      <c r="DL69" s="20"/>
      <c r="DM69" s="20">
        <v>43</v>
      </c>
      <c r="DN69" s="49"/>
      <c r="DO69" s="20">
        <v>130</v>
      </c>
      <c r="DP69" s="20"/>
      <c r="DQ69" s="20"/>
      <c r="DR69" s="20"/>
      <c r="DS69" s="20"/>
      <c r="DT69" s="20"/>
      <c r="DU69" s="20">
        <v>80</v>
      </c>
      <c r="DV69" s="49"/>
      <c r="DW69" s="52"/>
      <c r="DX69" s="20"/>
      <c r="DY69" s="20"/>
      <c r="DZ69" s="20"/>
      <c r="EA69" s="20"/>
      <c r="EB69" s="20">
        <v>44</v>
      </c>
      <c r="EC69" s="70">
        <v>44</v>
      </c>
      <c r="ED69" s="51">
        <v>50</v>
      </c>
      <c r="EE69" s="52"/>
      <c r="EF69" s="20"/>
      <c r="EG69" s="20"/>
      <c r="EH69" s="20"/>
      <c r="EI69" s="20"/>
      <c r="EJ69" s="20">
        <v>70</v>
      </c>
      <c r="EK69" s="70"/>
      <c r="EL69" s="51"/>
      <c r="EM69" s="52"/>
      <c r="EN69" s="20"/>
      <c r="EO69" s="20"/>
      <c r="EP69" s="20"/>
      <c r="EQ69" s="20"/>
      <c r="ER69" s="20">
        <v>60</v>
      </c>
      <c r="ES69" s="70">
        <v>60</v>
      </c>
      <c r="ET69" s="57">
        <v>50</v>
      </c>
      <c r="EU69" s="52"/>
      <c r="EV69" s="20"/>
      <c r="EW69" s="20"/>
      <c r="EX69" s="20"/>
      <c r="EY69" s="20"/>
      <c r="EZ69" s="20">
        <v>100</v>
      </c>
      <c r="FA69" s="70">
        <v>100</v>
      </c>
      <c r="FB69" s="57">
        <v>100</v>
      </c>
      <c r="FC69" s="52"/>
      <c r="FD69" s="20"/>
      <c r="FE69" s="20"/>
      <c r="FF69" s="20"/>
      <c r="FG69" s="20"/>
      <c r="FH69" s="20">
        <v>55</v>
      </c>
      <c r="FI69" s="70">
        <v>55</v>
      </c>
      <c r="FJ69" s="57">
        <v>70</v>
      </c>
      <c r="FK69" s="52"/>
      <c r="FL69" s="20"/>
      <c r="FM69" s="20"/>
      <c r="FN69" s="20"/>
      <c r="FO69" s="20"/>
      <c r="FP69" s="20">
        <v>50</v>
      </c>
      <c r="FQ69" s="70">
        <v>50</v>
      </c>
      <c r="FR69" s="57">
        <v>70</v>
      </c>
      <c r="FS69" s="52"/>
      <c r="FT69" s="20"/>
      <c r="FU69" s="20"/>
      <c r="FV69" s="20"/>
      <c r="FW69" s="20"/>
      <c r="FX69" s="20">
        <v>81</v>
      </c>
      <c r="FY69" s="70">
        <v>81</v>
      </c>
      <c r="FZ69" s="57">
        <v>80</v>
      </c>
      <c r="GA69" s="20"/>
      <c r="GB69" s="20"/>
      <c r="GC69" s="20"/>
      <c r="GD69" s="20"/>
      <c r="GE69" s="20"/>
      <c r="GF69" s="20">
        <v>93</v>
      </c>
      <c r="GG69" s="20">
        <v>93</v>
      </c>
      <c r="GH69" s="20">
        <v>100</v>
      </c>
      <c r="GI69" s="20"/>
      <c r="GJ69" s="20"/>
      <c r="GK69" s="20"/>
      <c r="GL69" s="20"/>
      <c r="GM69" s="20"/>
      <c r="GN69" s="20">
        <v>61</v>
      </c>
      <c r="GO69" s="20">
        <v>61</v>
      </c>
      <c r="GP69" s="20">
        <v>70</v>
      </c>
      <c r="GQ69" s="20"/>
      <c r="GR69" s="20"/>
      <c r="GS69" s="20"/>
      <c r="GT69" s="20"/>
      <c r="GU69" s="20"/>
      <c r="GV69" s="56">
        <v>110</v>
      </c>
      <c r="GW69" s="57">
        <v>110</v>
      </c>
      <c r="GX69" s="57">
        <v>80</v>
      </c>
      <c r="GY69" s="20"/>
      <c r="GZ69" s="20"/>
      <c r="HA69" s="20"/>
      <c r="HB69" s="20"/>
      <c r="HC69" s="20"/>
      <c r="HD69" s="56">
        <v>100</v>
      </c>
      <c r="HE69" s="57">
        <v>100</v>
      </c>
      <c r="HF69" s="57">
        <v>100</v>
      </c>
      <c r="HG69" s="20"/>
      <c r="HH69" s="20"/>
      <c r="HI69" s="20"/>
      <c r="HJ69" s="20"/>
      <c r="HK69" s="20"/>
      <c r="HL69" s="20">
        <v>30</v>
      </c>
      <c r="HM69" s="20">
        <v>30</v>
      </c>
      <c r="HN69" s="20">
        <v>50</v>
      </c>
      <c r="HO69" s="20"/>
      <c r="HP69" s="20"/>
      <c r="HQ69" s="20"/>
      <c r="HR69" s="20"/>
      <c r="HS69" s="20"/>
      <c r="HT69" s="20">
        <v>100</v>
      </c>
      <c r="HU69" s="20">
        <v>100</v>
      </c>
      <c r="HV69" s="20">
        <v>120</v>
      </c>
      <c r="HW69" s="20"/>
      <c r="HX69" s="20"/>
      <c r="HY69" s="20"/>
      <c r="HZ69" s="20"/>
      <c r="IA69" s="20"/>
      <c r="IB69" s="20">
        <v>68</v>
      </c>
      <c r="IC69" s="20">
        <v>68</v>
      </c>
      <c r="ID69" s="20">
        <v>100</v>
      </c>
      <c r="IE69" s="20"/>
      <c r="IF69" s="20"/>
      <c r="IG69" s="20"/>
      <c r="IH69" s="20"/>
      <c r="II69" s="20"/>
      <c r="IJ69" s="20">
        <v>250</v>
      </c>
      <c r="IK69" s="20">
        <v>250</v>
      </c>
      <c r="IL69" s="20">
        <v>200</v>
      </c>
      <c r="IM69" s="20"/>
      <c r="IN69" s="20"/>
      <c r="IO69" s="20"/>
      <c r="IP69" s="20"/>
      <c r="IQ69" s="20"/>
      <c r="IR69" s="20">
        <v>150</v>
      </c>
      <c r="IS69" s="20">
        <v>150</v>
      </c>
      <c r="IT69" s="20">
        <v>180</v>
      </c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>
        <v>250</v>
      </c>
      <c r="KE69" s="20">
        <v>250</v>
      </c>
      <c r="KF69" s="20">
        <v>300</v>
      </c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136">
        <v>236</v>
      </c>
      <c r="LR69" s="136">
        <v>172</v>
      </c>
      <c r="LS69" s="136">
        <v>222</v>
      </c>
      <c r="LT69" s="136">
        <v>206</v>
      </c>
      <c r="LU69" s="136">
        <v>180</v>
      </c>
      <c r="LV69" s="136">
        <v>90</v>
      </c>
      <c r="LW69" s="136">
        <v>200</v>
      </c>
      <c r="LX69" s="136">
        <v>250</v>
      </c>
      <c r="LY69" s="136">
        <v>113</v>
      </c>
      <c r="LZ69" s="136">
        <v>152</v>
      </c>
      <c r="MA69" s="136">
        <v>212</v>
      </c>
      <c r="MB69" s="136">
        <v>55</v>
      </c>
      <c r="MC69" s="137">
        <v>150</v>
      </c>
      <c r="MD69" s="137">
        <v>134</v>
      </c>
      <c r="ME69" s="136">
        <v>55</v>
      </c>
      <c r="MF69" s="137">
        <v>70</v>
      </c>
      <c r="MG69" s="137">
        <v>71</v>
      </c>
      <c r="MH69" s="137">
        <v>56</v>
      </c>
      <c r="MI69" s="137">
        <v>55</v>
      </c>
      <c r="MJ69" s="137">
        <v>50</v>
      </c>
      <c r="MK69" s="137">
        <v>22</v>
      </c>
      <c r="ML69" s="137">
        <v>55</v>
      </c>
      <c r="MM69" s="137">
        <v>10</v>
      </c>
      <c r="MN69" s="137">
        <v>50</v>
      </c>
      <c r="MO69" s="137">
        <v>69</v>
      </c>
      <c r="MP69" s="137">
        <v>20</v>
      </c>
      <c r="MQ69" s="1">
        <v>10</v>
      </c>
      <c r="MR69" s="137">
        <v>126</v>
      </c>
      <c r="MS69" s="1">
        <v>50</v>
      </c>
      <c r="MT69" s="137">
        <v>46</v>
      </c>
      <c r="MU69" s="138">
        <v>26</v>
      </c>
      <c r="MV69" s="139">
        <f t="shared" si="9"/>
        <v>3213</v>
      </c>
      <c r="MW69" s="121"/>
    </row>
    <row r="70" spans="1:361" s="58" customFormat="1" ht="18.75">
      <c r="A70" s="126" t="s">
        <v>237</v>
      </c>
      <c r="B70" s="46"/>
      <c r="C70" s="20"/>
      <c r="D70" s="20"/>
      <c r="E70" s="20"/>
      <c r="F70" s="20"/>
      <c r="G70" s="47"/>
      <c r="H70" s="48"/>
      <c r="I70" s="46"/>
      <c r="J70" s="20"/>
      <c r="K70" s="20"/>
      <c r="L70" s="20"/>
      <c r="M70" s="20"/>
      <c r="N70" s="47"/>
      <c r="O70" s="49">
        <f t="shared" si="14"/>
        <v>0</v>
      </c>
      <c r="P70" s="46"/>
      <c r="Q70" s="20"/>
      <c r="R70" s="20"/>
      <c r="S70" s="20"/>
      <c r="T70" s="20"/>
      <c r="U70" s="47"/>
      <c r="V70" s="49">
        <f t="shared" si="15"/>
        <v>0</v>
      </c>
      <c r="W70" s="46"/>
      <c r="X70" s="20"/>
      <c r="Y70" s="20"/>
      <c r="Z70" s="20"/>
      <c r="AA70" s="20"/>
      <c r="AB70" s="47"/>
      <c r="AC70" s="49"/>
      <c r="AD70" s="46"/>
      <c r="AE70" s="20"/>
      <c r="AF70" s="20"/>
      <c r="AG70" s="20"/>
      <c r="AH70" s="20"/>
      <c r="AI70" s="47"/>
      <c r="AJ70" s="49"/>
      <c r="AK70" s="46"/>
      <c r="AL70" s="20"/>
      <c r="AM70" s="20"/>
      <c r="AN70" s="20"/>
      <c r="AO70" s="20"/>
      <c r="AP70" s="47"/>
      <c r="AQ70" s="49"/>
      <c r="AR70" s="20"/>
      <c r="AS70" s="20"/>
      <c r="AT70" s="20"/>
      <c r="AU70" s="20"/>
      <c r="AV70" s="20"/>
      <c r="AW70" s="20"/>
      <c r="AX70" s="20">
        <v>0</v>
      </c>
      <c r="AY70" s="49"/>
      <c r="AZ70" s="20"/>
      <c r="BA70" s="20"/>
      <c r="BB70" s="20"/>
      <c r="BC70" s="20"/>
      <c r="BD70" s="20"/>
      <c r="BE70" s="20"/>
      <c r="BF70" s="20"/>
      <c r="BG70" s="49"/>
      <c r="BH70" s="51"/>
      <c r="BI70" s="52"/>
      <c r="BJ70" s="20"/>
      <c r="BK70" s="20"/>
      <c r="BL70" s="20"/>
      <c r="BM70" s="20"/>
      <c r="BN70" s="20"/>
      <c r="BO70" s="49"/>
      <c r="BP70" s="51"/>
      <c r="BQ70" s="46"/>
      <c r="BR70" s="20"/>
      <c r="BS70" s="20"/>
      <c r="BT70" s="20"/>
      <c r="BU70" s="20"/>
      <c r="BV70" s="47"/>
      <c r="BW70" s="48"/>
      <c r="BX70" s="46"/>
      <c r="BY70" s="20"/>
      <c r="BZ70" s="20"/>
      <c r="CA70" s="20"/>
      <c r="CB70" s="20"/>
      <c r="CC70" s="47"/>
      <c r="CD70" s="49">
        <f t="shared" si="16"/>
        <v>0</v>
      </c>
      <c r="CE70" s="46"/>
      <c r="CF70" s="20"/>
      <c r="CG70" s="20"/>
      <c r="CH70" s="20"/>
      <c r="CI70" s="20"/>
      <c r="CJ70" s="47"/>
      <c r="CK70" s="49">
        <f t="shared" si="17"/>
        <v>0</v>
      </c>
      <c r="CL70" s="46"/>
      <c r="CM70" s="20"/>
      <c r="CN70" s="20"/>
      <c r="CO70" s="20"/>
      <c r="CP70" s="20"/>
      <c r="CQ70" s="47"/>
      <c r="CR70" s="49"/>
      <c r="CS70" s="46"/>
      <c r="CT70" s="20"/>
      <c r="CU70" s="20"/>
      <c r="CV70" s="20"/>
      <c r="CW70" s="20"/>
      <c r="CX70" s="47"/>
      <c r="CY70" s="49"/>
      <c r="CZ70" s="46"/>
      <c r="DA70" s="20"/>
      <c r="DB70" s="20"/>
      <c r="DC70" s="20"/>
      <c r="DD70" s="20"/>
      <c r="DE70" s="47"/>
      <c r="DF70" s="49"/>
      <c r="DG70" s="20"/>
      <c r="DH70" s="20"/>
      <c r="DI70" s="20"/>
      <c r="DJ70" s="20"/>
      <c r="DK70" s="20"/>
      <c r="DL70" s="20"/>
      <c r="DM70" s="20">
        <v>0</v>
      </c>
      <c r="DN70" s="49"/>
      <c r="DO70" s="20"/>
      <c r="DP70" s="20"/>
      <c r="DQ70" s="20"/>
      <c r="DR70" s="20"/>
      <c r="DS70" s="20"/>
      <c r="DT70" s="20"/>
      <c r="DU70" s="20"/>
      <c r="DV70" s="49"/>
      <c r="DW70" s="52"/>
      <c r="DX70" s="20"/>
      <c r="DY70" s="20"/>
      <c r="DZ70" s="20"/>
      <c r="EA70" s="20"/>
      <c r="EB70" s="20"/>
      <c r="EC70" s="70"/>
      <c r="ED70" s="51"/>
      <c r="EE70" s="52"/>
      <c r="EF70" s="20"/>
      <c r="EG70" s="20"/>
      <c r="EH70" s="20"/>
      <c r="EI70" s="20"/>
      <c r="EJ70" s="20"/>
      <c r="EK70" s="70"/>
      <c r="EL70" s="51"/>
      <c r="EM70" s="52"/>
      <c r="EN70" s="20"/>
      <c r="EO70" s="20"/>
      <c r="EP70" s="20"/>
      <c r="EQ70" s="20"/>
      <c r="ER70" s="20"/>
      <c r="ES70" s="70"/>
      <c r="ET70" s="57"/>
      <c r="EU70" s="52"/>
      <c r="EV70" s="20"/>
      <c r="EW70" s="20"/>
      <c r="EX70" s="20"/>
      <c r="EY70" s="20"/>
      <c r="EZ70" s="20"/>
      <c r="FA70" s="70"/>
      <c r="FB70" s="57"/>
      <c r="FC70" s="52"/>
      <c r="FD70" s="20"/>
      <c r="FE70" s="20"/>
      <c r="FF70" s="20"/>
      <c r="FG70" s="20"/>
      <c r="FH70" s="20"/>
      <c r="FI70" s="70"/>
      <c r="FJ70" s="57"/>
      <c r="FK70" s="52"/>
      <c r="FL70" s="20"/>
      <c r="FM70" s="20"/>
      <c r="FN70" s="20"/>
      <c r="FO70" s="20"/>
      <c r="FP70" s="20"/>
      <c r="FQ70" s="70"/>
      <c r="FR70" s="57"/>
      <c r="FS70" s="52"/>
      <c r="FT70" s="20"/>
      <c r="FU70" s="20"/>
      <c r="FV70" s="20"/>
      <c r="FW70" s="20"/>
      <c r="FX70" s="20"/>
      <c r="FY70" s="70"/>
      <c r="FZ70" s="57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>
        <v>14</v>
      </c>
      <c r="GO70" s="20">
        <v>14</v>
      </c>
      <c r="GP70" s="20">
        <v>10</v>
      </c>
      <c r="GQ70" s="20"/>
      <c r="GR70" s="20"/>
      <c r="GS70" s="20"/>
      <c r="GT70" s="20"/>
      <c r="GU70" s="20">
        <v>13</v>
      </c>
      <c r="GV70" s="56">
        <v>19</v>
      </c>
      <c r="GW70" s="57">
        <v>19</v>
      </c>
      <c r="GX70" s="57">
        <v>24</v>
      </c>
      <c r="GY70" s="20"/>
      <c r="GZ70" s="20"/>
      <c r="HA70" s="20"/>
      <c r="HB70" s="20"/>
      <c r="HC70" s="20"/>
      <c r="HD70" s="56">
        <v>69</v>
      </c>
      <c r="HE70" s="57">
        <v>69</v>
      </c>
      <c r="HF70" s="57">
        <v>50</v>
      </c>
      <c r="HG70" s="20"/>
      <c r="HH70" s="20"/>
      <c r="HI70" s="20"/>
      <c r="HJ70" s="20"/>
      <c r="HK70" s="20"/>
      <c r="HL70" s="20">
        <v>70</v>
      </c>
      <c r="HM70" s="20">
        <v>70</v>
      </c>
      <c r="HN70" s="20">
        <v>80</v>
      </c>
      <c r="HO70" s="20"/>
      <c r="HP70" s="20"/>
      <c r="HQ70" s="20"/>
      <c r="HR70" s="20"/>
      <c r="HS70" s="20"/>
      <c r="HT70" s="20">
        <v>25</v>
      </c>
      <c r="HU70" s="20">
        <v>25</v>
      </c>
      <c r="HV70" s="20">
        <v>20</v>
      </c>
      <c r="HW70" s="20"/>
      <c r="HX70" s="20"/>
      <c r="HY70" s="20"/>
      <c r="HZ70" s="20"/>
      <c r="IA70" s="20"/>
      <c r="IB70" s="20">
        <v>172</v>
      </c>
      <c r="IC70" s="20">
        <v>172</v>
      </c>
      <c r="ID70" s="20">
        <v>200</v>
      </c>
      <c r="IE70" s="20"/>
      <c r="IF70" s="20"/>
      <c r="IG70" s="20"/>
      <c r="IH70" s="20"/>
      <c r="II70" s="20"/>
      <c r="IJ70" s="20">
        <v>300</v>
      </c>
      <c r="IK70" s="20">
        <v>300</v>
      </c>
      <c r="IL70" s="20">
        <v>200</v>
      </c>
      <c r="IM70" s="20"/>
      <c r="IN70" s="20"/>
      <c r="IO70" s="20"/>
      <c r="IP70" s="20"/>
      <c r="IQ70" s="20"/>
      <c r="IR70" s="20">
        <v>300</v>
      </c>
      <c r="IS70" s="20">
        <v>300</v>
      </c>
      <c r="IT70" s="20">
        <v>350</v>
      </c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>
        <v>420</v>
      </c>
      <c r="KE70" s="20">
        <v>420</v>
      </c>
      <c r="KF70" s="20">
        <v>400</v>
      </c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136">
        <v>200</v>
      </c>
      <c r="LR70" s="136">
        <v>150</v>
      </c>
      <c r="LS70" s="136">
        <v>370</v>
      </c>
      <c r="LT70" s="136">
        <v>342</v>
      </c>
      <c r="LU70" s="136">
        <v>225</v>
      </c>
      <c r="LV70" s="136">
        <v>50</v>
      </c>
      <c r="LW70" s="136">
        <v>240</v>
      </c>
      <c r="LX70" s="136">
        <v>260</v>
      </c>
      <c r="LY70" s="136">
        <v>400</v>
      </c>
      <c r="LZ70" s="136">
        <v>352</v>
      </c>
      <c r="MA70" s="136">
        <v>550</v>
      </c>
      <c r="MB70" s="136">
        <v>470</v>
      </c>
      <c r="MC70" s="137">
        <v>300</v>
      </c>
      <c r="MD70" s="137">
        <v>360</v>
      </c>
      <c r="ME70" s="136">
        <v>50</v>
      </c>
      <c r="MF70" s="137">
        <v>290</v>
      </c>
      <c r="MG70" s="137">
        <v>250</v>
      </c>
      <c r="MH70" s="137">
        <v>143</v>
      </c>
      <c r="MI70" s="137">
        <v>160</v>
      </c>
      <c r="MJ70" s="137">
        <v>150</v>
      </c>
      <c r="MK70" s="137">
        <v>250</v>
      </c>
      <c r="ML70" s="137">
        <v>344</v>
      </c>
      <c r="MM70" s="137">
        <v>150</v>
      </c>
      <c r="MN70" s="137">
        <v>206</v>
      </c>
      <c r="MO70" s="137">
        <v>309</v>
      </c>
      <c r="MP70" s="137"/>
      <c r="MQ70" s="1">
        <v>330</v>
      </c>
      <c r="MR70" s="137">
        <v>377</v>
      </c>
      <c r="MS70" s="1">
        <v>175</v>
      </c>
      <c r="MT70" s="137">
        <v>199</v>
      </c>
      <c r="MU70" s="138">
        <v>197</v>
      </c>
      <c r="MV70" s="139">
        <f t="shared" si="9"/>
        <v>7849</v>
      </c>
      <c r="MW70" s="121"/>
    </row>
    <row r="71" spans="1:361" s="58" customFormat="1" ht="18.75">
      <c r="A71" s="126" t="s">
        <v>238</v>
      </c>
      <c r="B71" s="46"/>
      <c r="C71" s="20"/>
      <c r="D71" s="20"/>
      <c r="E71" s="20"/>
      <c r="F71" s="20"/>
      <c r="G71" s="47">
        <v>250</v>
      </c>
      <c r="H71" s="48"/>
      <c r="I71" s="46"/>
      <c r="J71" s="20"/>
      <c r="K71" s="20"/>
      <c r="L71" s="20"/>
      <c r="M71" s="20"/>
      <c r="N71" s="47">
        <v>200</v>
      </c>
      <c r="O71" s="49">
        <f t="shared" si="14"/>
        <v>200</v>
      </c>
      <c r="P71" s="46"/>
      <c r="Q71" s="20"/>
      <c r="R71" s="20"/>
      <c r="S71" s="20"/>
      <c r="T71" s="20"/>
      <c r="U71" s="47">
        <v>290</v>
      </c>
      <c r="V71" s="49">
        <f t="shared" si="15"/>
        <v>290</v>
      </c>
      <c r="W71" s="46"/>
      <c r="X71" s="20"/>
      <c r="Y71" s="20"/>
      <c r="Z71" s="20"/>
      <c r="AA71" s="20"/>
      <c r="AB71" s="47">
        <v>400</v>
      </c>
      <c r="AC71" s="49"/>
      <c r="AD71" s="46"/>
      <c r="AE71" s="20"/>
      <c r="AF71" s="20"/>
      <c r="AG71" s="20"/>
      <c r="AH71" s="20"/>
      <c r="AI71" s="47">
        <v>200</v>
      </c>
      <c r="AJ71" s="49"/>
      <c r="AK71" s="46"/>
      <c r="AL71" s="20"/>
      <c r="AM71" s="20"/>
      <c r="AN71" s="20"/>
      <c r="AO71" s="20"/>
      <c r="AP71" s="47">
        <v>167</v>
      </c>
      <c r="AQ71" s="49"/>
      <c r="AR71" s="20"/>
      <c r="AS71" s="20"/>
      <c r="AT71" s="20"/>
      <c r="AU71" s="20"/>
      <c r="AV71" s="20"/>
      <c r="AW71" s="20"/>
      <c r="AX71" s="20">
        <v>275</v>
      </c>
      <c r="AY71" s="49"/>
      <c r="AZ71" s="20">
        <v>300</v>
      </c>
      <c r="BA71" s="20"/>
      <c r="BB71" s="20"/>
      <c r="BC71" s="20"/>
      <c r="BD71" s="20"/>
      <c r="BE71" s="20"/>
      <c r="BF71" s="20">
        <v>179</v>
      </c>
      <c r="BG71" s="49"/>
      <c r="BH71" s="51">
        <v>180</v>
      </c>
      <c r="BI71" s="52"/>
      <c r="BJ71" s="20"/>
      <c r="BK71" s="20"/>
      <c r="BL71" s="20"/>
      <c r="BM71" s="20"/>
      <c r="BN71" s="20">
        <v>200</v>
      </c>
      <c r="BO71" s="49">
        <v>200</v>
      </c>
      <c r="BP71" s="51">
        <v>250</v>
      </c>
      <c r="BQ71" s="46"/>
      <c r="BR71" s="20"/>
      <c r="BS71" s="20"/>
      <c r="BT71" s="20"/>
      <c r="BU71" s="20"/>
      <c r="BV71" s="47">
        <v>250</v>
      </c>
      <c r="BW71" s="48"/>
      <c r="BX71" s="46"/>
      <c r="BY71" s="20"/>
      <c r="BZ71" s="20"/>
      <c r="CA71" s="20"/>
      <c r="CB71" s="20"/>
      <c r="CC71" s="47">
        <v>200</v>
      </c>
      <c r="CD71" s="49">
        <f t="shared" si="16"/>
        <v>200</v>
      </c>
      <c r="CE71" s="46"/>
      <c r="CF71" s="20"/>
      <c r="CG71" s="20"/>
      <c r="CH71" s="20"/>
      <c r="CI71" s="20"/>
      <c r="CJ71" s="47">
        <v>290</v>
      </c>
      <c r="CK71" s="49">
        <f t="shared" si="17"/>
        <v>290</v>
      </c>
      <c r="CL71" s="46"/>
      <c r="CM71" s="20"/>
      <c r="CN71" s="20"/>
      <c r="CO71" s="20"/>
      <c r="CP71" s="20"/>
      <c r="CQ71" s="47">
        <v>400</v>
      </c>
      <c r="CR71" s="49"/>
      <c r="CS71" s="46"/>
      <c r="CT71" s="20"/>
      <c r="CU71" s="20"/>
      <c r="CV71" s="20"/>
      <c r="CW71" s="20"/>
      <c r="CX71" s="47">
        <v>200</v>
      </c>
      <c r="CY71" s="49"/>
      <c r="CZ71" s="46"/>
      <c r="DA71" s="20"/>
      <c r="DB71" s="20"/>
      <c r="DC71" s="20"/>
      <c r="DD71" s="20"/>
      <c r="DE71" s="47">
        <v>167</v>
      </c>
      <c r="DF71" s="49"/>
      <c r="DG71" s="20"/>
      <c r="DH71" s="20"/>
      <c r="DI71" s="20"/>
      <c r="DJ71" s="20"/>
      <c r="DK71" s="20"/>
      <c r="DL71" s="20"/>
      <c r="DM71" s="20">
        <v>275</v>
      </c>
      <c r="DN71" s="49"/>
      <c r="DO71" s="20">
        <v>300</v>
      </c>
      <c r="DP71" s="20"/>
      <c r="DQ71" s="20"/>
      <c r="DR71" s="20"/>
      <c r="DS71" s="20"/>
      <c r="DT71" s="20"/>
      <c r="DU71" s="20">
        <v>179</v>
      </c>
      <c r="DV71" s="49"/>
      <c r="DW71" s="52"/>
      <c r="DX71" s="20"/>
      <c r="DY71" s="20"/>
      <c r="DZ71" s="20"/>
      <c r="EA71" s="20"/>
      <c r="EB71" s="20">
        <v>180</v>
      </c>
      <c r="EC71" s="70">
        <v>180</v>
      </c>
      <c r="ED71" s="51">
        <v>200</v>
      </c>
      <c r="EE71" s="52"/>
      <c r="EF71" s="20"/>
      <c r="EG71" s="20"/>
      <c r="EH71" s="20"/>
      <c r="EI71" s="20"/>
      <c r="EJ71" s="20">
        <v>266</v>
      </c>
      <c r="EK71" s="70"/>
      <c r="EL71" s="51"/>
      <c r="EM71" s="52"/>
      <c r="EN71" s="20"/>
      <c r="EO71" s="20"/>
      <c r="EP71" s="20"/>
      <c r="EQ71" s="20"/>
      <c r="ER71" s="20">
        <v>206</v>
      </c>
      <c r="ES71" s="70">
        <v>206</v>
      </c>
      <c r="ET71" s="57">
        <v>210</v>
      </c>
      <c r="EU71" s="52"/>
      <c r="EV71" s="20"/>
      <c r="EW71" s="20"/>
      <c r="EX71" s="20"/>
      <c r="EY71" s="20"/>
      <c r="EZ71" s="20">
        <v>140</v>
      </c>
      <c r="FA71" s="70">
        <v>140</v>
      </c>
      <c r="FB71" s="57">
        <v>150</v>
      </c>
      <c r="FC71" s="52"/>
      <c r="FD71" s="20"/>
      <c r="FE71" s="20"/>
      <c r="FF71" s="20"/>
      <c r="FG71" s="20"/>
      <c r="FH71" s="20">
        <v>250</v>
      </c>
      <c r="FI71" s="70">
        <v>250</v>
      </c>
      <c r="FJ71" s="57">
        <v>200</v>
      </c>
      <c r="FK71" s="52"/>
      <c r="FL71" s="20"/>
      <c r="FM71" s="20"/>
      <c r="FN71" s="20"/>
      <c r="FO71" s="20"/>
      <c r="FP71" s="20">
        <v>200</v>
      </c>
      <c r="FQ71" s="70">
        <v>210</v>
      </c>
      <c r="FR71" s="57">
        <v>240</v>
      </c>
      <c r="FS71" s="52"/>
      <c r="FT71" s="20"/>
      <c r="FU71" s="20"/>
      <c r="FV71" s="20"/>
      <c r="FW71" s="20"/>
      <c r="FX71" s="20">
        <v>170</v>
      </c>
      <c r="FY71" s="70">
        <v>170</v>
      </c>
      <c r="FZ71" s="57">
        <v>150</v>
      </c>
      <c r="GA71" s="20"/>
      <c r="GB71" s="20"/>
      <c r="GC71" s="20"/>
      <c r="GD71" s="20"/>
      <c r="GE71" s="20"/>
      <c r="GF71" s="20">
        <v>285</v>
      </c>
      <c r="GG71" s="20">
        <v>285</v>
      </c>
      <c r="GH71" s="20">
        <v>250</v>
      </c>
      <c r="GI71" s="20"/>
      <c r="GJ71" s="20"/>
      <c r="GK71" s="20"/>
      <c r="GL71" s="20"/>
      <c r="GM71" s="20"/>
      <c r="GN71" s="20">
        <v>250</v>
      </c>
      <c r="GO71" s="20">
        <v>250</v>
      </c>
      <c r="GP71" s="20">
        <v>250</v>
      </c>
      <c r="GQ71" s="20"/>
      <c r="GR71" s="20"/>
      <c r="GS71" s="20"/>
      <c r="GT71" s="20"/>
      <c r="GU71" s="20"/>
      <c r="GV71" s="56">
        <v>308</v>
      </c>
      <c r="GW71" s="57">
        <v>308</v>
      </c>
      <c r="GX71" s="57">
        <v>250</v>
      </c>
      <c r="GY71" s="20"/>
      <c r="GZ71" s="20"/>
      <c r="HA71" s="20"/>
      <c r="HB71" s="20"/>
      <c r="HC71" s="20"/>
      <c r="HD71" s="56">
        <v>380</v>
      </c>
      <c r="HE71" s="57">
        <v>380</v>
      </c>
      <c r="HF71" s="57">
        <v>350</v>
      </c>
      <c r="HG71" s="20"/>
      <c r="HH71" s="20"/>
      <c r="HI71" s="20"/>
      <c r="HJ71" s="20"/>
      <c r="HK71" s="20"/>
      <c r="HL71" s="20">
        <v>350</v>
      </c>
      <c r="HM71" s="20">
        <v>350</v>
      </c>
      <c r="HN71" s="20">
        <v>300</v>
      </c>
      <c r="HO71" s="20"/>
      <c r="HP71" s="20"/>
      <c r="HQ71" s="20"/>
      <c r="HR71" s="20"/>
      <c r="HS71" s="20"/>
      <c r="HT71" s="20">
        <v>130</v>
      </c>
      <c r="HU71" s="20">
        <v>130</v>
      </c>
      <c r="HV71" s="20">
        <v>100</v>
      </c>
      <c r="HW71" s="20"/>
      <c r="HX71" s="20"/>
      <c r="HY71" s="20"/>
      <c r="HZ71" s="20"/>
      <c r="IA71" s="20"/>
      <c r="IB71" s="20">
        <v>517</v>
      </c>
      <c r="IC71" s="20">
        <v>517</v>
      </c>
      <c r="ID71" s="20">
        <v>400</v>
      </c>
      <c r="IE71" s="20"/>
      <c r="IF71" s="20"/>
      <c r="IG71" s="20"/>
      <c r="IH71" s="20"/>
      <c r="II71" s="20"/>
      <c r="IJ71" s="20">
        <v>110</v>
      </c>
      <c r="IK71" s="20">
        <v>110</v>
      </c>
      <c r="IL71" s="20">
        <v>120</v>
      </c>
      <c r="IM71" s="20"/>
      <c r="IN71" s="20"/>
      <c r="IO71" s="20"/>
      <c r="IP71" s="20"/>
      <c r="IQ71" s="20"/>
      <c r="IR71" s="20">
        <v>428</v>
      </c>
      <c r="IS71" s="20">
        <v>428</v>
      </c>
      <c r="IT71" s="20">
        <v>400</v>
      </c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>
        <v>400</v>
      </c>
      <c r="KE71" s="20">
        <v>400</v>
      </c>
      <c r="KF71" s="20">
        <v>450</v>
      </c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136" t="s">
        <v>239</v>
      </c>
      <c r="LR71" s="136">
        <v>300</v>
      </c>
      <c r="LS71" s="141">
        <v>340</v>
      </c>
      <c r="LT71" s="141">
        <v>200</v>
      </c>
      <c r="LU71" s="136">
        <v>165</v>
      </c>
      <c r="LV71" s="136">
        <v>225</v>
      </c>
      <c r="LW71" s="136">
        <v>240</v>
      </c>
      <c r="LX71" s="136">
        <v>120</v>
      </c>
      <c r="LY71" s="136">
        <v>200</v>
      </c>
      <c r="LZ71" s="136">
        <v>200</v>
      </c>
      <c r="MA71" s="136">
        <v>150</v>
      </c>
      <c r="MB71" s="136">
        <v>130</v>
      </c>
      <c r="MC71" s="137">
        <v>90</v>
      </c>
      <c r="MD71" s="137">
        <v>150</v>
      </c>
      <c r="ME71" s="136">
        <v>10</v>
      </c>
      <c r="MF71" s="137">
        <v>200</v>
      </c>
      <c r="MG71" s="137">
        <v>150</v>
      </c>
      <c r="MH71" s="137">
        <v>150</v>
      </c>
      <c r="MI71" s="137">
        <v>150</v>
      </c>
      <c r="MJ71" s="137"/>
      <c r="MK71" s="137">
        <v>72</v>
      </c>
      <c r="ML71" s="137">
        <v>100</v>
      </c>
      <c r="MM71" s="137"/>
      <c r="MN71" s="137">
        <v>110</v>
      </c>
      <c r="MO71" s="137"/>
      <c r="MP71" s="137">
        <v>350</v>
      </c>
      <c r="MQ71" s="58">
        <v>100</v>
      </c>
      <c r="MR71" s="137">
        <v>323</v>
      </c>
      <c r="MS71" s="1">
        <v>275</v>
      </c>
      <c r="MT71" s="137">
        <v>362</v>
      </c>
      <c r="MU71" s="138">
        <v>333</v>
      </c>
      <c r="MV71" s="139">
        <f t="shared" si="9"/>
        <v>5195</v>
      </c>
      <c r="MW71" s="121"/>
    </row>
    <row r="72" spans="1:361" s="58" customFormat="1" ht="18.75">
      <c r="A72" s="127" t="s">
        <v>240</v>
      </c>
      <c r="B72" s="75"/>
      <c r="C72" s="74"/>
      <c r="D72" s="74"/>
      <c r="E72" s="74"/>
      <c r="F72" s="74">
        <v>50</v>
      </c>
      <c r="G72" s="76">
        <v>40</v>
      </c>
      <c r="H72" s="72"/>
      <c r="I72" s="75"/>
      <c r="J72" s="74"/>
      <c r="K72" s="74"/>
      <c r="L72" s="74"/>
      <c r="M72" s="74">
        <v>95</v>
      </c>
      <c r="N72" s="76">
        <v>75</v>
      </c>
      <c r="O72" s="77">
        <f t="shared" si="14"/>
        <v>170</v>
      </c>
      <c r="P72" s="75"/>
      <c r="Q72" s="74"/>
      <c r="R72" s="74"/>
      <c r="S72" s="74"/>
      <c r="T72" s="74">
        <v>150</v>
      </c>
      <c r="U72" s="76">
        <v>70</v>
      </c>
      <c r="V72" s="77">
        <f t="shared" si="15"/>
        <v>220</v>
      </c>
      <c r="W72" s="75"/>
      <c r="X72" s="74"/>
      <c r="Y72" s="74"/>
      <c r="Z72" s="74"/>
      <c r="AA72" s="74">
        <v>85</v>
      </c>
      <c r="AB72" s="76">
        <v>95</v>
      </c>
      <c r="AC72" s="77"/>
      <c r="AD72" s="75"/>
      <c r="AE72" s="74"/>
      <c r="AF72" s="74"/>
      <c r="AG72" s="74"/>
      <c r="AH72" s="74">
        <v>115</v>
      </c>
      <c r="AI72" s="76">
        <v>50</v>
      </c>
      <c r="AJ72" s="77"/>
      <c r="AK72" s="75"/>
      <c r="AL72" s="74"/>
      <c r="AM72" s="74"/>
      <c r="AN72" s="74"/>
      <c r="AO72" s="74">
        <v>130</v>
      </c>
      <c r="AP72" s="76">
        <v>64</v>
      </c>
      <c r="AQ72" s="77"/>
      <c r="AR72" s="74"/>
      <c r="AS72" s="74"/>
      <c r="AT72" s="74"/>
      <c r="AU72" s="74"/>
      <c r="AV72" s="74"/>
      <c r="AW72" s="74">
        <v>30</v>
      </c>
      <c r="AX72" s="74">
        <v>73</v>
      </c>
      <c r="AY72" s="77"/>
      <c r="AZ72" s="74">
        <v>120</v>
      </c>
      <c r="BA72" s="74"/>
      <c r="BB72" s="74"/>
      <c r="BC72" s="74"/>
      <c r="BD72" s="74"/>
      <c r="BE72" s="74">
        <v>106</v>
      </c>
      <c r="BF72" s="74">
        <v>38</v>
      </c>
      <c r="BG72" s="77"/>
      <c r="BH72" s="78">
        <v>130</v>
      </c>
      <c r="BI72" s="79"/>
      <c r="BJ72" s="74"/>
      <c r="BK72" s="74"/>
      <c r="BL72" s="74"/>
      <c r="BM72" s="74">
        <v>120</v>
      </c>
      <c r="BN72" s="74">
        <v>66</v>
      </c>
      <c r="BO72" s="77">
        <v>186</v>
      </c>
      <c r="BP72" s="78">
        <v>200</v>
      </c>
      <c r="BQ72" s="75"/>
      <c r="BR72" s="74"/>
      <c r="BS72" s="74"/>
      <c r="BT72" s="74"/>
      <c r="BU72" s="74">
        <v>50</v>
      </c>
      <c r="BV72" s="76">
        <v>40</v>
      </c>
      <c r="BW72" s="72"/>
      <c r="BX72" s="75"/>
      <c r="BY72" s="74"/>
      <c r="BZ72" s="74"/>
      <c r="CA72" s="74"/>
      <c r="CB72" s="74">
        <v>95</v>
      </c>
      <c r="CC72" s="76">
        <v>75</v>
      </c>
      <c r="CD72" s="77">
        <f t="shared" si="16"/>
        <v>170</v>
      </c>
      <c r="CE72" s="75"/>
      <c r="CF72" s="74"/>
      <c r="CG72" s="74"/>
      <c r="CH72" s="74"/>
      <c r="CI72" s="74">
        <v>150</v>
      </c>
      <c r="CJ72" s="76">
        <v>70</v>
      </c>
      <c r="CK72" s="77">
        <f t="shared" si="17"/>
        <v>220</v>
      </c>
      <c r="CL72" s="75"/>
      <c r="CM72" s="74"/>
      <c r="CN72" s="74"/>
      <c r="CO72" s="74"/>
      <c r="CP72" s="74">
        <v>85</v>
      </c>
      <c r="CQ72" s="76">
        <v>95</v>
      </c>
      <c r="CR72" s="77"/>
      <c r="CS72" s="75"/>
      <c r="CT72" s="74"/>
      <c r="CU72" s="74"/>
      <c r="CV72" s="74"/>
      <c r="CW72" s="74">
        <v>115</v>
      </c>
      <c r="CX72" s="76">
        <v>50</v>
      </c>
      <c r="CY72" s="77"/>
      <c r="CZ72" s="75"/>
      <c r="DA72" s="74"/>
      <c r="DB72" s="74"/>
      <c r="DC72" s="74"/>
      <c r="DD72" s="74">
        <v>130</v>
      </c>
      <c r="DE72" s="76">
        <v>64</v>
      </c>
      <c r="DF72" s="77"/>
      <c r="DG72" s="74"/>
      <c r="DH72" s="74"/>
      <c r="DI72" s="74"/>
      <c r="DJ72" s="74"/>
      <c r="DK72" s="74"/>
      <c r="DL72" s="74">
        <v>30</v>
      </c>
      <c r="DM72" s="74">
        <v>73</v>
      </c>
      <c r="DN72" s="77"/>
      <c r="DO72" s="74">
        <v>120</v>
      </c>
      <c r="DP72" s="74"/>
      <c r="DQ72" s="74"/>
      <c r="DR72" s="74"/>
      <c r="DS72" s="74"/>
      <c r="DT72" s="74">
        <v>106</v>
      </c>
      <c r="DU72" s="74">
        <v>38</v>
      </c>
      <c r="DV72" s="77"/>
      <c r="DW72" s="79"/>
      <c r="DX72" s="74"/>
      <c r="DY72" s="74"/>
      <c r="DZ72" s="74"/>
      <c r="EA72" s="74">
        <v>173</v>
      </c>
      <c r="EB72" s="74">
        <v>80</v>
      </c>
      <c r="EC72" s="80">
        <v>253</v>
      </c>
      <c r="ED72" s="78">
        <v>250</v>
      </c>
      <c r="EE72" s="79"/>
      <c r="EF72" s="74"/>
      <c r="EG72" s="74"/>
      <c r="EH72" s="74"/>
      <c r="EI72" s="74">
        <v>94</v>
      </c>
      <c r="EJ72" s="74">
        <v>128</v>
      </c>
      <c r="EK72" s="80"/>
      <c r="EL72" s="78"/>
      <c r="EM72" s="79"/>
      <c r="EN72" s="74"/>
      <c r="EO72" s="74"/>
      <c r="EP72" s="74"/>
      <c r="EQ72" s="74">
        <v>100</v>
      </c>
      <c r="ER72" s="74">
        <v>30</v>
      </c>
      <c r="ES72" s="80">
        <v>130</v>
      </c>
      <c r="ET72" s="81">
        <v>230</v>
      </c>
      <c r="EU72" s="79"/>
      <c r="EV72" s="74"/>
      <c r="EW72" s="74"/>
      <c r="EX72" s="74"/>
      <c r="EY72" s="74">
        <v>175</v>
      </c>
      <c r="EZ72" s="74">
        <v>150</v>
      </c>
      <c r="FA72" s="80">
        <v>325</v>
      </c>
      <c r="FB72" s="81">
        <v>250</v>
      </c>
      <c r="FC72" s="79"/>
      <c r="FD72" s="74"/>
      <c r="FE72" s="74"/>
      <c r="FF72" s="74"/>
      <c r="FG72" s="74">
        <v>150</v>
      </c>
      <c r="FH72" s="74">
        <v>20</v>
      </c>
      <c r="FI72" s="80">
        <v>170</v>
      </c>
      <c r="FJ72" s="81">
        <v>250</v>
      </c>
      <c r="FK72" s="79"/>
      <c r="FL72" s="74"/>
      <c r="FM72" s="74"/>
      <c r="FN72" s="74"/>
      <c r="FO72" s="74">
        <v>100</v>
      </c>
      <c r="FP72" s="74">
        <v>130</v>
      </c>
      <c r="FQ72" s="80">
        <v>230</v>
      </c>
      <c r="FR72" s="81">
        <v>250</v>
      </c>
      <c r="FS72" s="79"/>
      <c r="FT72" s="74"/>
      <c r="FU72" s="74"/>
      <c r="FV72" s="74"/>
      <c r="FW72" s="20">
        <v>184</v>
      </c>
      <c r="FX72" s="74">
        <v>31</v>
      </c>
      <c r="FY72" s="80">
        <v>215</v>
      </c>
      <c r="FZ72" s="81">
        <v>280</v>
      </c>
      <c r="GA72" s="74"/>
      <c r="GB72" s="74"/>
      <c r="GC72" s="74"/>
      <c r="GD72" s="74"/>
      <c r="GE72" s="74">
        <v>200</v>
      </c>
      <c r="GF72" s="74">
        <v>73</v>
      </c>
      <c r="GG72" s="74">
        <v>273</v>
      </c>
      <c r="GH72" s="74">
        <v>280</v>
      </c>
      <c r="GI72" s="74"/>
      <c r="GJ72" s="74"/>
      <c r="GK72" s="74"/>
      <c r="GL72" s="74"/>
      <c r="GM72" s="74">
        <v>80</v>
      </c>
      <c r="GN72" s="74">
        <v>70</v>
      </c>
      <c r="GO72" s="74">
        <v>150</v>
      </c>
      <c r="GP72" s="74">
        <v>80</v>
      </c>
      <c r="GQ72" s="74"/>
      <c r="GR72" s="74"/>
      <c r="GS72" s="74"/>
      <c r="GT72" s="74"/>
      <c r="GU72" s="74">
        <v>190</v>
      </c>
      <c r="GV72" s="71">
        <v>100</v>
      </c>
      <c r="GW72" s="81">
        <v>290</v>
      </c>
      <c r="GX72" s="81">
        <v>230</v>
      </c>
      <c r="GY72" s="74"/>
      <c r="GZ72" s="74"/>
      <c r="HA72" s="74"/>
      <c r="HB72" s="74"/>
      <c r="HC72" s="74">
        <v>100</v>
      </c>
      <c r="HD72" s="71">
        <v>150</v>
      </c>
      <c r="HE72" s="81">
        <v>250</v>
      </c>
      <c r="HF72" s="81">
        <v>180</v>
      </c>
      <c r="HG72" s="74"/>
      <c r="HH72" s="74"/>
      <c r="HI72" s="74"/>
      <c r="HJ72" s="74"/>
      <c r="HK72" s="74">
        <v>150</v>
      </c>
      <c r="HL72" s="74">
        <v>70</v>
      </c>
      <c r="HM72" s="20">
        <v>220</v>
      </c>
      <c r="HN72" s="20">
        <v>280</v>
      </c>
      <c r="HO72" s="74"/>
      <c r="HP72" s="74"/>
      <c r="HQ72" s="74"/>
      <c r="HR72" s="74"/>
      <c r="HS72" s="74">
        <v>150</v>
      </c>
      <c r="HT72" s="74">
        <v>80</v>
      </c>
      <c r="HU72" s="20">
        <v>230</v>
      </c>
      <c r="HV72" s="20">
        <v>180</v>
      </c>
      <c r="HW72" s="74"/>
      <c r="HX72" s="74"/>
      <c r="HY72" s="74"/>
      <c r="HZ72" s="74"/>
      <c r="IA72" s="74">
        <v>150</v>
      </c>
      <c r="IB72" s="74">
        <v>168</v>
      </c>
      <c r="IC72" s="20">
        <v>318</v>
      </c>
      <c r="ID72" s="20">
        <v>350</v>
      </c>
      <c r="IE72" s="74"/>
      <c r="IF72" s="74"/>
      <c r="IG72" s="74"/>
      <c r="IH72" s="74"/>
      <c r="II72" s="74"/>
      <c r="IJ72" s="74">
        <v>172</v>
      </c>
      <c r="IK72" s="20">
        <v>172</v>
      </c>
      <c r="IL72" s="20">
        <v>150</v>
      </c>
      <c r="IM72" s="74"/>
      <c r="IN72" s="74"/>
      <c r="IO72" s="74"/>
      <c r="IP72" s="74"/>
      <c r="IQ72" s="74">
        <v>300</v>
      </c>
      <c r="IR72" s="74">
        <v>80</v>
      </c>
      <c r="IS72" s="20">
        <v>380</v>
      </c>
      <c r="IT72" s="20">
        <v>250</v>
      </c>
      <c r="IU72" s="74"/>
      <c r="IV72" s="74"/>
      <c r="IW72" s="74"/>
      <c r="IX72" s="74"/>
      <c r="IY72" s="74"/>
      <c r="IZ72" s="74"/>
      <c r="JA72" s="20"/>
      <c r="JB72" s="20"/>
      <c r="JC72" s="74"/>
      <c r="JD72" s="74"/>
      <c r="JE72" s="74"/>
      <c r="JF72" s="74"/>
      <c r="JG72" s="74"/>
      <c r="JH72" s="74"/>
      <c r="JI72" s="20"/>
      <c r="JJ72" s="20"/>
      <c r="JK72" s="74"/>
      <c r="JL72" s="74"/>
      <c r="JM72" s="74"/>
      <c r="JN72" s="74"/>
      <c r="JO72" s="74"/>
      <c r="JP72" s="74"/>
      <c r="JQ72" s="20"/>
      <c r="JR72" s="20"/>
      <c r="JS72" s="74"/>
      <c r="JT72" s="74"/>
      <c r="JU72" s="74"/>
      <c r="JV72" s="74"/>
      <c r="JW72" s="74"/>
      <c r="JX72" s="74"/>
      <c r="JY72" s="20"/>
      <c r="JZ72" s="20"/>
      <c r="KA72" s="74"/>
      <c r="KB72" s="74"/>
      <c r="KC72" s="74">
        <v>330</v>
      </c>
      <c r="KD72" s="74">
        <v>200</v>
      </c>
      <c r="KE72" s="20">
        <v>530</v>
      </c>
      <c r="KF72" s="20">
        <v>480</v>
      </c>
      <c r="KG72" s="74"/>
      <c r="KH72" s="74"/>
      <c r="KI72" s="74"/>
      <c r="KJ72" s="74"/>
      <c r="KK72" s="74"/>
      <c r="KL72" s="74"/>
      <c r="KM72" s="20"/>
      <c r="KN72" s="20"/>
      <c r="KO72" s="74"/>
      <c r="KP72" s="74"/>
      <c r="KQ72" s="74"/>
      <c r="KR72" s="74"/>
      <c r="KS72" s="74"/>
      <c r="KT72" s="74"/>
      <c r="KU72" s="20"/>
      <c r="KV72" s="20"/>
      <c r="KW72" s="74"/>
      <c r="KX72" s="74"/>
      <c r="KY72" s="74"/>
      <c r="KZ72" s="74"/>
      <c r="LA72" s="74"/>
      <c r="LB72" s="74"/>
      <c r="LC72" s="20"/>
      <c r="LD72" s="20"/>
      <c r="LE72" s="74"/>
      <c r="LF72" s="74"/>
      <c r="LG72" s="74"/>
      <c r="LH72" s="74"/>
      <c r="LI72" s="74"/>
      <c r="LJ72" s="74"/>
      <c r="LK72" s="20"/>
      <c r="LL72" s="20"/>
      <c r="LM72" s="74"/>
      <c r="LN72" s="74"/>
      <c r="LO72" s="74">
        <v>280</v>
      </c>
      <c r="LP72" s="74">
        <v>394</v>
      </c>
      <c r="LQ72" s="141">
        <v>515</v>
      </c>
      <c r="LR72" s="142">
        <v>832</v>
      </c>
      <c r="LS72" s="137">
        <v>551</v>
      </c>
      <c r="LT72" s="137">
        <v>390</v>
      </c>
      <c r="LU72" s="136">
        <v>406</v>
      </c>
      <c r="LV72" s="143">
        <v>531</v>
      </c>
      <c r="LW72" s="136">
        <v>580</v>
      </c>
      <c r="LX72" s="136">
        <v>550</v>
      </c>
      <c r="LY72" s="136">
        <v>545</v>
      </c>
      <c r="LZ72" s="136">
        <v>850</v>
      </c>
      <c r="MA72" s="136">
        <v>310</v>
      </c>
      <c r="MB72" s="136">
        <v>400</v>
      </c>
      <c r="MC72" s="137">
        <v>570</v>
      </c>
      <c r="MD72" s="137">
        <v>17</v>
      </c>
      <c r="ME72" s="136">
        <v>9</v>
      </c>
      <c r="MF72" s="137"/>
      <c r="MG72" s="137">
        <v>10</v>
      </c>
      <c r="MH72" s="137"/>
      <c r="MI72" s="137">
        <v>10</v>
      </c>
      <c r="MJ72" s="137"/>
      <c r="MK72" s="137"/>
      <c r="ML72" s="137"/>
      <c r="MM72" s="137"/>
      <c r="MN72" s="137"/>
      <c r="MO72" s="137"/>
      <c r="MP72" s="137"/>
      <c r="MQ72" s="1">
        <v>120</v>
      </c>
      <c r="MR72" s="137">
        <v>0</v>
      </c>
      <c r="MS72" s="1">
        <v>0</v>
      </c>
      <c r="MT72" s="137">
        <v>0</v>
      </c>
      <c r="MU72" s="138">
        <v>0</v>
      </c>
      <c r="MV72" s="139">
        <f t="shared" si="9"/>
        <v>7196</v>
      </c>
      <c r="MW72" s="121"/>
    </row>
    <row r="73" spans="1:361" s="58" customFormat="1" ht="18.75">
      <c r="A73" s="120" t="s">
        <v>241</v>
      </c>
      <c r="B73" s="82"/>
      <c r="C73" s="83"/>
      <c r="D73" s="83"/>
      <c r="E73" s="83"/>
      <c r="F73" s="83"/>
      <c r="G73" s="84"/>
      <c r="H73" s="85"/>
      <c r="I73" s="86"/>
      <c r="J73" s="83"/>
      <c r="K73" s="83"/>
      <c r="L73" s="83"/>
      <c r="M73" s="83"/>
      <c r="N73" s="84"/>
      <c r="O73" s="87"/>
      <c r="P73" s="86"/>
      <c r="Q73" s="83"/>
      <c r="R73" s="83"/>
      <c r="S73" s="83"/>
      <c r="T73" s="83"/>
      <c r="U73" s="84"/>
      <c r="V73" s="87"/>
      <c r="W73" s="86"/>
      <c r="X73" s="83"/>
      <c r="Y73" s="83"/>
      <c r="Z73" s="83"/>
      <c r="AA73" s="83"/>
      <c r="AB73" s="84"/>
      <c r="AC73" s="87"/>
      <c r="AD73" s="86"/>
      <c r="AE73" s="83"/>
      <c r="AF73" s="83"/>
      <c r="AG73" s="83"/>
      <c r="AH73" s="83"/>
      <c r="AI73" s="84"/>
      <c r="AJ73" s="87"/>
      <c r="AK73" s="86"/>
      <c r="AL73" s="83"/>
      <c r="AM73" s="83"/>
      <c r="AN73" s="83"/>
      <c r="AO73" s="83"/>
      <c r="AP73" s="84"/>
      <c r="AQ73" s="87"/>
      <c r="AR73" s="83"/>
      <c r="AS73" s="83"/>
      <c r="AT73" s="83"/>
      <c r="AU73" s="83"/>
      <c r="AV73" s="83"/>
      <c r="AW73" s="83"/>
      <c r="AX73" s="83"/>
      <c r="AY73" s="87"/>
      <c r="AZ73" s="87"/>
      <c r="BA73" s="83"/>
      <c r="BB73" s="83"/>
      <c r="BC73" s="83"/>
      <c r="BD73" s="83"/>
      <c r="BE73" s="83"/>
      <c r="BF73" s="83"/>
      <c r="BG73" s="87"/>
      <c r="BH73" s="87"/>
      <c r="BI73" s="82"/>
      <c r="BJ73" s="83"/>
      <c r="BK73" s="83"/>
      <c r="BL73" s="83"/>
      <c r="BM73" s="83"/>
      <c r="BN73" s="88"/>
      <c r="BO73" s="87"/>
      <c r="BP73" s="89"/>
      <c r="BQ73" s="86"/>
      <c r="BR73" s="83"/>
      <c r="BS73" s="83"/>
      <c r="BT73" s="83"/>
      <c r="BU73" s="83"/>
      <c r="BV73" s="84"/>
      <c r="BW73" s="85"/>
      <c r="BX73" s="86"/>
      <c r="BY73" s="83"/>
      <c r="BZ73" s="83"/>
      <c r="CA73" s="83"/>
      <c r="CB73" s="83"/>
      <c r="CC73" s="84"/>
      <c r="CD73" s="87"/>
      <c r="CE73" s="86"/>
      <c r="CF73" s="83"/>
      <c r="CG73" s="83"/>
      <c r="CH73" s="83"/>
      <c r="CI73" s="83"/>
      <c r="CJ73" s="84"/>
      <c r="CK73" s="87"/>
      <c r="CL73" s="86"/>
      <c r="CM73" s="83"/>
      <c r="CN73" s="83"/>
      <c r="CO73" s="83"/>
      <c r="CP73" s="83"/>
      <c r="CQ73" s="84"/>
      <c r="CR73" s="87"/>
      <c r="CS73" s="86"/>
      <c r="CT73" s="83"/>
      <c r="CU73" s="83"/>
      <c r="CV73" s="83"/>
      <c r="CW73" s="83"/>
      <c r="CX73" s="84"/>
      <c r="CY73" s="87"/>
      <c r="CZ73" s="86"/>
      <c r="DA73" s="83"/>
      <c r="DB73" s="83"/>
      <c r="DC73" s="83"/>
      <c r="DD73" s="83"/>
      <c r="DE73" s="84"/>
      <c r="DF73" s="87"/>
      <c r="DG73" s="83"/>
      <c r="DH73" s="83"/>
      <c r="DI73" s="83"/>
      <c r="DJ73" s="83"/>
      <c r="DK73" s="83"/>
      <c r="DL73" s="83"/>
      <c r="DM73" s="83"/>
      <c r="DN73" s="87"/>
      <c r="DO73" s="87"/>
      <c r="DP73" s="83"/>
      <c r="DQ73" s="83"/>
      <c r="DR73" s="83"/>
      <c r="DS73" s="83"/>
      <c r="DT73" s="83"/>
      <c r="DU73" s="83"/>
      <c r="DV73" s="87"/>
      <c r="DW73" s="82"/>
      <c r="DX73" s="83"/>
      <c r="DY73" s="83"/>
      <c r="DZ73" s="83"/>
      <c r="EA73" s="83"/>
      <c r="EB73" s="88"/>
      <c r="EC73" s="90"/>
      <c r="ED73" s="89"/>
      <c r="EE73" s="82"/>
      <c r="EF73" s="83"/>
      <c r="EG73" s="83"/>
      <c r="EH73" s="83"/>
      <c r="EI73" s="83"/>
      <c r="EJ73" s="88"/>
      <c r="EK73" s="90"/>
      <c r="EL73" s="89"/>
      <c r="EM73" s="82"/>
      <c r="EN73" s="83"/>
      <c r="EO73" s="83"/>
      <c r="EP73" s="83"/>
      <c r="EQ73" s="83"/>
      <c r="ER73" s="88"/>
      <c r="ES73" s="90"/>
      <c r="ET73" s="91"/>
      <c r="EU73" s="82"/>
      <c r="EV73" s="83"/>
      <c r="EW73" s="83"/>
      <c r="EX73" s="83"/>
      <c r="EY73" s="83"/>
      <c r="EZ73" s="88"/>
      <c r="FA73" s="90"/>
      <c r="FB73" s="91"/>
      <c r="FC73" s="82"/>
      <c r="FD73" s="83"/>
      <c r="FE73" s="83"/>
      <c r="FF73" s="83"/>
      <c r="FG73" s="83"/>
      <c r="FH73" s="88"/>
      <c r="FI73" s="90"/>
      <c r="FJ73" s="91"/>
      <c r="FK73" s="82"/>
      <c r="FL73" s="83"/>
      <c r="FM73" s="83"/>
      <c r="FN73" s="83"/>
      <c r="FO73" s="83"/>
      <c r="FP73" s="88"/>
      <c r="FQ73" s="90"/>
      <c r="FR73" s="91"/>
      <c r="FS73" s="82"/>
      <c r="FT73" s="83"/>
      <c r="FU73" s="83"/>
      <c r="FV73" s="83"/>
      <c r="FW73" s="83"/>
      <c r="FX73" s="88"/>
      <c r="FY73" s="90"/>
      <c r="FZ73" s="91"/>
      <c r="GA73" s="83"/>
      <c r="GB73" s="83"/>
      <c r="GC73" s="83"/>
      <c r="GD73" s="83"/>
      <c r="GE73" s="83"/>
      <c r="GF73" s="88"/>
      <c r="GG73" s="82"/>
      <c r="GH73" s="88"/>
      <c r="GI73" s="83"/>
      <c r="GJ73" s="83"/>
      <c r="GK73" s="83"/>
      <c r="GL73" s="83"/>
      <c r="GM73" s="83"/>
      <c r="GN73" s="88"/>
      <c r="GO73" s="82"/>
      <c r="GP73" s="88"/>
      <c r="GQ73" s="83"/>
      <c r="GR73" s="83"/>
      <c r="GS73" s="83"/>
      <c r="GT73" s="83"/>
      <c r="GU73" s="83"/>
      <c r="GV73" s="88"/>
      <c r="GW73" s="91"/>
      <c r="GX73" s="91"/>
      <c r="GY73" s="83"/>
      <c r="GZ73" s="83"/>
      <c r="HA73" s="83"/>
      <c r="HB73" s="83"/>
      <c r="HC73" s="83"/>
      <c r="HD73" s="88"/>
      <c r="HE73" s="91"/>
      <c r="HF73" s="91"/>
      <c r="HG73" s="83"/>
      <c r="HH73" s="83"/>
      <c r="HI73" s="83"/>
      <c r="HJ73" s="83"/>
      <c r="HK73" s="83"/>
      <c r="HL73" s="83"/>
      <c r="HM73" s="83"/>
      <c r="HN73" s="83"/>
      <c r="HO73" s="83"/>
      <c r="HP73" s="83"/>
      <c r="HQ73" s="83"/>
      <c r="HR73" s="83"/>
      <c r="HS73" s="83"/>
      <c r="HT73" s="83"/>
      <c r="HU73" s="83"/>
      <c r="HV73" s="83"/>
      <c r="HW73" s="83"/>
      <c r="HX73" s="83"/>
      <c r="HY73" s="83"/>
      <c r="HZ73" s="83"/>
      <c r="IA73" s="83"/>
      <c r="IB73" s="83"/>
      <c r="IC73" s="83"/>
      <c r="ID73" s="83"/>
      <c r="IE73" s="83"/>
      <c r="IF73" s="83"/>
      <c r="IG73" s="83"/>
      <c r="IH73" s="83"/>
      <c r="II73" s="83"/>
      <c r="IJ73" s="83"/>
      <c r="IK73" s="83"/>
      <c r="IL73" s="83"/>
      <c r="IM73" s="83"/>
      <c r="IN73" s="83"/>
      <c r="IO73" s="83"/>
      <c r="IP73" s="83"/>
      <c r="IQ73" s="83"/>
      <c r="IR73" s="83"/>
      <c r="IS73" s="83"/>
      <c r="IT73" s="83"/>
      <c r="IU73" s="83"/>
      <c r="IV73" s="83"/>
      <c r="IW73" s="83"/>
      <c r="IX73" s="83"/>
      <c r="IY73" s="83"/>
      <c r="IZ73" s="83"/>
      <c r="JA73" s="83"/>
      <c r="JB73" s="83"/>
      <c r="JC73" s="83"/>
      <c r="JD73" s="83"/>
      <c r="JE73" s="83"/>
      <c r="JF73" s="83"/>
      <c r="JG73" s="83"/>
      <c r="JH73" s="83"/>
      <c r="JI73" s="83"/>
      <c r="JJ73" s="83"/>
      <c r="JK73" s="83"/>
      <c r="JL73" s="83"/>
      <c r="JM73" s="83"/>
      <c r="JN73" s="83"/>
      <c r="JO73" s="83"/>
      <c r="JP73" s="83"/>
      <c r="JQ73" s="83"/>
      <c r="JR73" s="83"/>
      <c r="JS73" s="83"/>
      <c r="JT73" s="83"/>
      <c r="JU73" s="83"/>
      <c r="JV73" s="83"/>
      <c r="JW73" s="83"/>
      <c r="JX73" s="83"/>
      <c r="JY73" s="83"/>
      <c r="JZ73" s="83"/>
      <c r="KA73" s="83"/>
      <c r="KB73" s="83"/>
      <c r="KC73" s="83"/>
      <c r="KD73" s="83"/>
      <c r="KE73" s="83"/>
      <c r="KF73" s="83"/>
      <c r="KG73" s="83"/>
      <c r="KH73" s="83"/>
      <c r="KI73" s="83"/>
      <c r="KJ73" s="83"/>
      <c r="KK73" s="83"/>
      <c r="KL73" s="83"/>
      <c r="KM73" s="83"/>
      <c r="KN73" s="83"/>
      <c r="KO73" s="83"/>
      <c r="KP73" s="83"/>
      <c r="KQ73" s="83"/>
      <c r="KR73" s="83"/>
      <c r="KS73" s="83"/>
      <c r="KT73" s="83"/>
      <c r="KU73" s="83"/>
      <c r="KV73" s="83"/>
      <c r="KW73" s="83"/>
      <c r="KX73" s="83"/>
      <c r="KY73" s="83"/>
      <c r="KZ73" s="83"/>
      <c r="LA73" s="83"/>
      <c r="LB73" s="83"/>
      <c r="LC73" s="83"/>
      <c r="LD73" s="83"/>
      <c r="LE73" s="83"/>
      <c r="LF73" s="83"/>
      <c r="LG73" s="83"/>
      <c r="LH73" s="83"/>
      <c r="LI73" s="83"/>
      <c r="LJ73" s="83"/>
      <c r="LK73" s="83"/>
      <c r="LL73" s="83"/>
      <c r="LM73" s="83"/>
      <c r="LN73" s="83"/>
      <c r="LO73" s="83"/>
      <c r="LP73" s="88"/>
      <c r="LQ73" s="137"/>
      <c r="LR73" s="144"/>
      <c r="LS73" s="137"/>
      <c r="LT73" s="137">
        <v>14</v>
      </c>
      <c r="LU73" s="141"/>
      <c r="LV73" s="136"/>
      <c r="LW73" s="136"/>
      <c r="LX73" s="136"/>
      <c r="LY73" s="136"/>
      <c r="LZ73" s="136"/>
      <c r="MA73" s="136"/>
      <c r="MB73" s="136"/>
      <c r="MC73" s="137"/>
      <c r="MD73" s="137">
        <v>697</v>
      </c>
      <c r="ME73" s="136">
        <v>450</v>
      </c>
      <c r="MF73" s="137">
        <v>702</v>
      </c>
      <c r="MG73" s="137">
        <v>730</v>
      </c>
      <c r="MH73" s="137">
        <v>530</v>
      </c>
      <c r="MI73" s="137">
        <v>1060</v>
      </c>
      <c r="MJ73" s="137">
        <v>717</v>
      </c>
      <c r="MK73" s="137">
        <v>561</v>
      </c>
      <c r="ML73" s="137">
        <v>600</v>
      </c>
      <c r="MM73" s="137">
        <v>460</v>
      </c>
      <c r="MN73" s="137">
        <v>306</v>
      </c>
      <c r="MO73" s="137">
        <v>210</v>
      </c>
      <c r="MP73" s="137">
        <v>444</v>
      </c>
      <c r="MQ73" s="1">
        <v>0</v>
      </c>
      <c r="MR73" s="137">
        <v>450</v>
      </c>
      <c r="MS73" s="1">
        <v>362</v>
      </c>
      <c r="MT73" s="137">
        <v>219</v>
      </c>
      <c r="MU73" s="138">
        <v>245</v>
      </c>
      <c r="MV73" s="139">
        <f t="shared" si="9"/>
        <v>8757</v>
      </c>
      <c r="MW73" s="121"/>
    </row>
    <row r="74" spans="1:361" s="58" customFormat="1" ht="19.5" thickBot="1">
      <c r="A74" s="120" t="s">
        <v>243</v>
      </c>
      <c r="B74" s="92"/>
      <c r="C74" s="73"/>
      <c r="D74" s="73"/>
      <c r="E74" s="73"/>
      <c r="F74" s="73"/>
      <c r="G74" s="93"/>
      <c r="H74" s="94"/>
      <c r="I74" s="95"/>
      <c r="J74" s="73"/>
      <c r="K74" s="73"/>
      <c r="L74" s="73"/>
      <c r="M74" s="73"/>
      <c r="N74" s="93"/>
      <c r="O74" s="96"/>
      <c r="P74" s="95"/>
      <c r="Q74" s="73"/>
      <c r="R74" s="73"/>
      <c r="S74" s="73"/>
      <c r="T74" s="73"/>
      <c r="U74" s="93"/>
      <c r="V74" s="96"/>
      <c r="W74" s="95"/>
      <c r="X74" s="73"/>
      <c r="Y74" s="73"/>
      <c r="Z74" s="73"/>
      <c r="AA74" s="73"/>
      <c r="AB74" s="93"/>
      <c r="AC74" s="96"/>
      <c r="AD74" s="95"/>
      <c r="AE74" s="73"/>
      <c r="AF74" s="73"/>
      <c r="AG74" s="73"/>
      <c r="AH74" s="73"/>
      <c r="AI74" s="93"/>
      <c r="AJ74" s="96"/>
      <c r="AK74" s="95"/>
      <c r="AL74" s="73"/>
      <c r="AM74" s="73"/>
      <c r="AN74" s="73"/>
      <c r="AO74" s="73"/>
      <c r="AP74" s="93"/>
      <c r="AQ74" s="96"/>
      <c r="AR74" s="97"/>
      <c r="AS74" s="73"/>
      <c r="AT74" s="73"/>
      <c r="AU74" s="73"/>
      <c r="AV74" s="73"/>
      <c r="AW74" s="73"/>
      <c r="AX74" s="73"/>
      <c r="AY74" s="96"/>
      <c r="AZ74" s="96"/>
      <c r="BA74" s="73"/>
      <c r="BB74" s="73"/>
      <c r="BC74" s="73"/>
      <c r="BD74" s="73"/>
      <c r="BE74" s="73"/>
      <c r="BF74" s="73"/>
      <c r="BG74" s="96"/>
      <c r="BH74" s="96"/>
      <c r="BI74" s="92"/>
      <c r="BJ74" s="73"/>
      <c r="BK74" s="73"/>
      <c r="BL74" s="73"/>
      <c r="BM74" s="73"/>
      <c r="BN74" s="98"/>
      <c r="BO74" s="96"/>
      <c r="BP74" s="99"/>
      <c r="BQ74" s="95"/>
      <c r="BR74" s="73"/>
      <c r="BS74" s="73"/>
      <c r="BT74" s="73"/>
      <c r="BU74" s="73"/>
      <c r="BV74" s="93"/>
      <c r="BW74" s="94"/>
      <c r="BX74" s="95"/>
      <c r="BY74" s="73"/>
      <c r="BZ74" s="73"/>
      <c r="CA74" s="73"/>
      <c r="CB74" s="73"/>
      <c r="CC74" s="93"/>
      <c r="CD74" s="96"/>
      <c r="CE74" s="95"/>
      <c r="CF74" s="73"/>
      <c r="CG74" s="73"/>
      <c r="CH74" s="73"/>
      <c r="CI74" s="73"/>
      <c r="CJ74" s="93"/>
      <c r="CK74" s="96"/>
      <c r="CL74" s="95"/>
      <c r="CM74" s="73"/>
      <c r="CN74" s="73"/>
      <c r="CO74" s="73"/>
      <c r="CP74" s="73"/>
      <c r="CQ74" s="93"/>
      <c r="CR74" s="96"/>
      <c r="CS74" s="95"/>
      <c r="CT74" s="73"/>
      <c r="CU74" s="73"/>
      <c r="CV74" s="73"/>
      <c r="CW74" s="73"/>
      <c r="CX74" s="93"/>
      <c r="CY74" s="96"/>
      <c r="CZ74" s="95"/>
      <c r="DA74" s="73"/>
      <c r="DB74" s="73"/>
      <c r="DC74" s="73"/>
      <c r="DD74" s="73"/>
      <c r="DE74" s="93"/>
      <c r="DF74" s="96"/>
      <c r="DG74" s="97"/>
      <c r="DH74" s="73"/>
      <c r="DI74" s="73"/>
      <c r="DJ74" s="73"/>
      <c r="DK74" s="73"/>
      <c r="DL74" s="73"/>
      <c r="DM74" s="73"/>
      <c r="DN74" s="96"/>
      <c r="DO74" s="96"/>
      <c r="DP74" s="73"/>
      <c r="DQ74" s="73"/>
      <c r="DR74" s="73"/>
      <c r="DS74" s="73"/>
      <c r="DT74" s="73"/>
      <c r="DU74" s="73"/>
      <c r="DV74" s="96"/>
      <c r="DW74" s="92"/>
      <c r="DX74" s="73"/>
      <c r="DY74" s="73"/>
      <c r="DZ74" s="73"/>
      <c r="EA74" s="73"/>
      <c r="EB74" s="98"/>
      <c r="EC74" s="96"/>
      <c r="ED74" s="99"/>
      <c r="EE74" s="92"/>
      <c r="EF74" s="73"/>
      <c r="EG74" s="73"/>
      <c r="EH74" s="73"/>
      <c r="EI74" s="73"/>
      <c r="EJ74" s="98"/>
      <c r="EK74" s="96"/>
      <c r="EL74" s="99"/>
      <c r="EM74" s="92"/>
      <c r="EN74" s="73"/>
      <c r="EO74" s="73"/>
      <c r="EP74" s="73"/>
      <c r="EQ74" s="73"/>
      <c r="ER74" s="98"/>
      <c r="ES74" s="96"/>
      <c r="ET74" s="99"/>
      <c r="EU74" s="92"/>
      <c r="EV74" s="73"/>
      <c r="EW74" s="73"/>
      <c r="EX74" s="73"/>
      <c r="EY74" s="73"/>
      <c r="EZ74" s="98"/>
      <c r="FA74" s="96"/>
      <c r="FB74" s="99"/>
      <c r="FC74" s="92"/>
      <c r="FD74" s="73"/>
      <c r="FE74" s="73"/>
      <c r="FF74" s="73"/>
      <c r="FG74" s="73"/>
      <c r="FH74" s="98"/>
      <c r="FI74" s="96"/>
      <c r="FJ74" s="99"/>
      <c r="FK74" s="92"/>
      <c r="FL74" s="73"/>
      <c r="FM74" s="73"/>
      <c r="FN74" s="73"/>
      <c r="FO74" s="73"/>
      <c r="FP74" s="98"/>
      <c r="FQ74" s="96"/>
      <c r="FR74" s="99"/>
      <c r="FS74" s="92"/>
      <c r="FT74" s="73"/>
      <c r="FU74" s="73"/>
      <c r="FV74" s="73"/>
      <c r="FW74" s="73"/>
      <c r="FX74" s="98"/>
      <c r="FY74" s="96"/>
      <c r="FZ74" s="99"/>
      <c r="GA74" s="73"/>
      <c r="GB74" s="73"/>
      <c r="GC74" s="73"/>
      <c r="GD74" s="73"/>
      <c r="GE74" s="73"/>
      <c r="GF74" s="98"/>
      <c r="GG74" s="100"/>
      <c r="GH74" s="101"/>
      <c r="GI74" s="73"/>
      <c r="GJ74" s="73"/>
      <c r="GK74" s="73"/>
      <c r="GL74" s="73"/>
      <c r="GM74" s="73"/>
      <c r="GN74" s="98"/>
      <c r="GO74" s="100"/>
      <c r="GP74" s="101"/>
      <c r="GQ74" s="73"/>
      <c r="GR74" s="73"/>
      <c r="GS74" s="73"/>
      <c r="GT74" s="73"/>
      <c r="GU74" s="73"/>
      <c r="GV74" s="98"/>
      <c r="GW74" s="102"/>
      <c r="GX74" s="102"/>
      <c r="GY74" s="73"/>
      <c r="GZ74" s="73"/>
      <c r="HA74" s="73"/>
      <c r="HB74" s="73"/>
      <c r="HC74" s="73"/>
      <c r="HD74" s="98"/>
      <c r="HE74" s="102"/>
      <c r="HF74" s="102"/>
      <c r="HG74" s="73"/>
      <c r="HH74" s="73"/>
      <c r="HI74" s="73"/>
      <c r="HJ74" s="73"/>
      <c r="HK74" s="73"/>
      <c r="HL74" s="73"/>
      <c r="HM74" s="73"/>
      <c r="HN74" s="73"/>
      <c r="HO74" s="73"/>
      <c r="HP74" s="73"/>
      <c r="HQ74" s="73"/>
      <c r="HR74" s="73"/>
      <c r="HS74" s="73"/>
      <c r="HT74" s="73"/>
      <c r="HU74" s="73"/>
      <c r="HV74" s="73"/>
      <c r="HW74" s="73"/>
      <c r="HX74" s="73"/>
      <c r="HY74" s="73"/>
      <c r="HZ74" s="73"/>
      <c r="IA74" s="73"/>
      <c r="IB74" s="73"/>
      <c r="IC74" s="73"/>
      <c r="ID74" s="73"/>
      <c r="IE74" s="73"/>
      <c r="IF74" s="73"/>
      <c r="IG74" s="73"/>
      <c r="IH74" s="73"/>
      <c r="II74" s="73"/>
      <c r="IJ74" s="73"/>
      <c r="IK74" s="73"/>
      <c r="IL74" s="73"/>
      <c r="IM74" s="73"/>
      <c r="IN74" s="73"/>
      <c r="IO74" s="73"/>
      <c r="IP74" s="73"/>
      <c r="IQ74" s="73"/>
      <c r="IR74" s="73"/>
      <c r="IS74" s="73"/>
      <c r="IT74" s="73"/>
      <c r="IU74" s="73"/>
      <c r="IV74" s="73"/>
      <c r="IW74" s="73"/>
      <c r="IX74" s="73"/>
      <c r="IY74" s="73"/>
      <c r="IZ74" s="73"/>
      <c r="JA74" s="73"/>
      <c r="JB74" s="73"/>
      <c r="JC74" s="73"/>
      <c r="JD74" s="73"/>
      <c r="JE74" s="73"/>
      <c r="JF74" s="73"/>
      <c r="JG74" s="73"/>
      <c r="JH74" s="73"/>
      <c r="JI74" s="73"/>
      <c r="JJ74" s="73"/>
      <c r="JK74" s="73"/>
      <c r="JL74" s="73"/>
      <c r="JM74" s="73"/>
      <c r="JN74" s="73"/>
      <c r="JO74" s="73"/>
      <c r="JP74" s="73"/>
      <c r="JQ74" s="73"/>
      <c r="JR74" s="73"/>
      <c r="JS74" s="73"/>
      <c r="JT74" s="73"/>
      <c r="JU74" s="73"/>
      <c r="JV74" s="73"/>
      <c r="JW74" s="73"/>
      <c r="JX74" s="73"/>
      <c r="JY74" s="73"/>
      <c r="JZ74" s="73"/>
      <c r="KA74" s="73"/>
      <c r="KB74" s="73"/>
      <c r="KC74" s="73"/>
      <c r="KD74" s="73"/>
      <c r="KE74" s="73"/>
      <c r="KF74" s="73"/>
      <c r="KG74" s="73"/>
      <c r="KH74" s="73"/>
      <c r="KI74" s="73"/>
      <c r="KJ74" s="73"/>
      <c r="KK74" s="73"/>
      <c r="KL74" s="73"/>
      <c r="KM74" s="73"/>
      <c r="KN74" s="73"/>
      <c r="KO74" s="73"/>
      <c r="KP74" s="73"/>
      <c r="KQ74" s="73"/>
      <c r="KR74" s="73"/>
      <c r="KS74" s="73"/>
      <c r="KT74" s="73"/>
      <c r="KU74" s="73"/>
      <c r="KV74" s="73"/>
      <c r="KW74" s="73"/>
      <c r="KX74" s="73"/>
      <c r="KY74" s="73"/>
      <c r="KZ74" s="73"/>
      <c r="LA74" s="73"/>
      <c r="LB74" s="73"/>
      <c r="LC74" s="73"/>
      <c r="LD74" s="73"/>
      <c r="LE74" s="73"/>
      <c r="LF74" s="73"/>
      <c r="LG74" s="73"/>
      <c r="LH74" s="73"/>
      <c r="LI74" s="73"/>
      <c r="LJ74" s="73"/>
      <c r="LK74" s="73"/>
      <c r="LL74" s="73"/>
      <c r="LM74" s="73"/>
      <c r="LN74" s="73"/>
      <c r="LO74" s="73"/>
      <c r="LP74" s="73"/>
      <c r="LQ74" s="145"/>
      <c r="LR74" s="142">
        <v>12</v>
      </c>
      <c r="LS74" s="137">
        <v>7</v>
      </c>
      <c r="LT74" s="138">
        <v>15</v>
      </c>
      <c r="LU74" s="146">
        <v>20</v>
      </c>
      <c r="LV74" s="143">
        <v>24</v>
      </c>
      <c r="LW74" s="136">
        <v>44</v>
      </c>
      <c r="LX74" s="136">
        <v>58</v>
      </c>
      <c r="LY74" s="136">
        <v>35</v>
      </c>
      <c r="LZ74" s="136"/>
      <c r="MA74" s="136">
        <v>15</v>
      </c>
      <c r="MB74" s="136">
        <v>19</v>
      </c>
      <c r="MC74" s="137"/>
      <c r="MD74" s="140">
        <v>0</v>
      </c>
      <c r="ME74" s="141"/>
      <c r="MF74" s="140">
        <v>10</v>
      </c>
      <c r="MG74" s="137"/>
      <c r="MH74" s="137"/>
      <c r="MI74" s="137">
        <v>7</v>
      </c>
      <c r="MJ74" s="137"/>
      <c r="MK74" s="137"/>
      <c r="ML74" s="137"/>
      <c r="MM74" s="137"/>
      <c r="MN74" s="137"/>
      <c r="MO74" s="137"/>
      <c r="MP74" s="137"/>
      <c r="MQ74" s="1">
        <v>0</v>
      </c>
      <c r="MR74" s="137">
        <v>0</v>
      </c>
      <c r="MS74" s="1">
        <v>0</v>
      </c>
      <c r="MT74" s="137">
        <v>0</v>
      </c>
      <c r="MU74" s="138">
        <v>5</v>
      </c>
      <c r="MV74" s="139">
        <f t="shared" si="9"/>
        <v>271</v>
      </c>
      <c r="MW74" s="121"/>
    </row>
    <row r="75" spans="1:361" s="172" customFormat="1" ht="19.5" customHeight="1" thickBot="1">
      <c r="A75" s="152" t="s">
        <v>163</v>
      </c>
      <c r="B75" s="153"/>
      <c r="C75" s="44"/>
      <c r="D75" s="44"/>
      <c r="E75" s="44"/>
      <c r="F75" s="44"/>
      <c r="G75" s="154"/>
      <c r="H75" s="155"/>
      <c r="I75" s="153"/>
      <c r="J75" s="44"/>
      <c r="K75" s="44"/>
      <c r="L75" s="44"/>
      <c r="M75" s="44"/>
      <c r="N75" s="154"/>
      <c r="O75" s="156">
        <f>SUM(O36:O72)</f>
        <v>1569</v>
      </c>
      <c r="P75" s="153"/>
      <c r="Q75" s="44"/>
      <c r="R75" s="44"/>
      <c r="S75" s="44"/>
      <c r="T75" s="44"/>
      <c r="U75" s="154"/>
      <c r="V75" s="156">
        <f>SUM(V36:V72)</f>
        <v>2117</v>
      </c>
      <c r="W75" s="153"/>
      <c r="X75" s="44"/>
      <c r="Y75" s="44"/>
      <c r="Z75" s="44"/>
      <c r="AA75" s="44"/>
      <c r="AB75" s="154"/>
      <c r="AC75" s="156"/>
      <c r="AD75" s="153"/>
      <c r="AE75" s="44"/>
      <c r="AF75" s="44"/>
      <c r="AG75" s="44"/>
      <c r="AH75" s="44"/>
      <c r="AI75" s="154"/>
      <c r="AJ75" s="156"/>
      <c r="AK75" s="153"/>
      <c r="AL75" s="44"/>
      <c r="AM75" s="44"/>
      <c r="AN75" s="44"/>
      <c r="AO75" s="44"/>
      <c r="AP75" s="154"/>
      <c r="AQ75" s="156"/>
      <c r="AR75" s="157"/>
      <c r="AS75" s="44"/>
      <c r="AT75" s="44"/>
      <c r="AU75" s="44"/>
      <c r="AV75" s="44"/>
      <c r="AW75" s="44"/>
      <c r="AX75" s="44"/>
      <c r="AY75" s="156"/>
      <c r="AZ75" s="156">
        <f>SUM(AZ36:AZ72)</f>
        <v>2681</v>
      </c>
      <c r="BA75" s="44"/>
      <c r="BB75" s="44"/>
      <c r="BC75" s="44"/>
      <c r="BD75" s="44"/>
      <c r="BE75" s="44"/>
      <c r="BF75" s="44"/>
      <c r="BG75" s="158"/>
      <c r="BH75" s="159"/>
      <c r="BI75" s="159"/>
      <c r="BJ75" s="44"/>
      <c r="BK75" s="44"/>
      <c r="BL75" s="44"/>
      <c r="BM75" s="44"/>
      <c r="BN75" s="160"/>
      <c r="BO75" s="161">
        <v>2334</v>
      </c>
      <c r="BP75" s="162">
        <v>2565</v>
      </c>
      <c r="BQ75" s="153"/>
      <c r="BR75" s="44"/>
      <c r="BS75" s="44"/>
      <c r="BT75" s="44"/>
      <c r="BU75" s="44"/>
      <c r="BV75" s="154"/>
      <c r="BW75" s="155"/>
      <c r="BX75" s="153"/>
      <c r="BY75" s="44"/>
      <c r="BZ75" s="44"/>
      <c r="CA75" s="44"/>
      <c r="CB75" s="44"/>
      <c r="CC75" s="154"/>
      <c r="CD75" s="156">
        <f>SUM(CD36:CD72)</f>
        <v>1569</v>
      </c>
      <c r="CE75" s="153"/>
      <c r="CF75" s="44"/>
      <c r="CG75" s="44"/>
      <c r="CH75" s="44"/>
      <c r="CI75" s="44"/>
      <c r="CJ75" s="154"/>
      <c r="CK75" s="156">
        <f>SUM(CK36:CK72)</f>
        <v>2117</v>
      </c>
      <c r="CL75" s="153"/>
      <c r="CM75" s="44"/>
      <c r="CN75" s="44"/>
      <c r="CO75" s="44"/>
      <c r="CP75" s="44"/>
      <c r="CQ75" s="154"/>
      <c r="CR75" s="156"/>
      <c r="CS75" s="153"/>
      <c r="CT75" s="44"/>
      <c r="CU75" s="44"/>
      <c r="CV75" s="44"/>
      <c r="CW75" s="44"/>
      <c r="CX75" s="154"/>
      <c r="CY75" s="156"/>
      <c r="CZ75" s="153"/>
      <c r="DA75" s="44"/>
      <c r="DB75" s="44"/>
      <c r="DC75" s="44"/>
      <c r="DD75" s="44"/>
      <c r="DE75" s="154"/>
      <c r="DF75" s="156"/>
      <c r="DG75" s="157"/>
      <c r="DH75" s="44"/>
      <c r="DI75" s="44"/>
      <c r="DJ75" s="44"/>
      <c r="DK75" s="44"/>
      <c r="DL75" s="44"/>
      <c r="DM75" s="44"/>
      <c r="DN75" s="156"/>
      <c r="DO75" s="156">
        <f>SUM(DO36:DO72)</f>
        <v>2681</v>
      </c>
      <c r="DP75" s="44"/>
      <c r="DQ75" s="44"/>
      <c r="DR75" s="44"/>
      <c r="DS75" s="44"/>
      <c r="DT75" s="44"/>
      <c r="DU75" s="44"/>
      <c r="DV75" s="158"/>
      <c r="DW75" s="159"/>
      <c r="DX75" s="44"/>
      <c r="DY75" s="44"/>
      <c r="DZ75" s="44"/>
      <c r="EA75" s="44"/>
      <c r="EB75" s="160"/>
      <c r="EC75" s="161">
        <v>1796</v>
      </c>
      <c r="ED75" s="162">
        <v>1820</v>
      </c>
      <c r="EE75" s="159"/>
      <c r="EF75" s="44"/>
      <c r="EG75" s="44"/>
      <c r="EH75" s="44"/>
      <c r="EI75" s="44"/>
      <c r="EJ75" s="160"/>
      <c r="EK75" s="161"/>
      <c r="EL75" s="162"/>
      <c r="EM75" s="159"/>
      <c r="EN75" s="44"/>
      <c r="EO75" s="44"/>
      <c r="EP75" s="44"/>
      <c r="EQ75" s="44"/>
      <c r="ER75" s="160"/>
      <c r="ES75" s="161">
        <v>2363</v>
      </c>
      <c r="ET75" s="162">
        <v>2400</v>
      </c>
      <c r="EU75" s="159"/>
      <c r="EV75" s="44"/>
      <c r="EW75" s="44"/>
      <c r="EX75" s="44"/>
      <c r="EY75" s="44"/>
      <c r="EZ75" s="160"/>
      <c r="FA75" s="161">
        <v>2030</v>
      </c>
      <c r="FB75" s="162">
        <v>1915</v>
      </c>
      <c r="FC75" s="159"/>
      <c r="FD75" s="44"/>
      <c r="FE75" s="44"/>
      <c r="FF75" s="44"/>
      <c r="FG75" s="44"/>
      <c r="FH75" s="160"/>
      <c r="FI75" s="161">
        <v>2158</v>
      </c>
      <c r="FJ75" s="162">
        <v>2115</v>
      </c>
      <c r="FK75" s="159"/>
      <c r="FL75" s="44"/>
      <c r="FM75" s="44"/>
      <c r="FN75" s="44"/>
      <c r="FO75" s="44"/>
      <c r="FP75" s="160"/>
      <c r="FQ75" s="161">
        <v>2119</v>
      </c>
      <c r="FR75" s="162">
        <v>2160</v>
      </c>
      <c r="FS75" s="159"/>
      <c r="FT75" s="44"/>
      <c r="FU75" s="44"/>
      <c r="FV75" s="44"/>
      <c r="FW75" s="44"/>
      <c r="FX75" s="160"/>
      <c r="FY75" s="161">
        <v>1900</v>
      </c>
      <c r="FZ75" s="162">
        <v>2090</v>
      </c>
      <c r="GA75" s="44"/>
      <c r="GB75" s="44"/>
      <c r="GC75" s="44"/>
      <c r="GD75" s="44"/>
      <c r="GE75" s="44"/>
      <c r="GF75" s="160"/>
      <c r="GG75" s="163">
        <v>2403</v>
      </c>
      <c r="GH75" s="164">
        <v>2257</v>
      </c>
      <c r="GI75" s="44"/>
      <c r="GJ75" s="44"/>
      <c r="GK75" s="44"/>
      <c r="GL75" s="44"/>
      <c r="GM75" s="44"/>
      <c r="GN75" s="160"/>
      <c r="GO75" s="163"/>
      <c r="GP75" s="164"/>
      <c r="GQ75" s="44"/>
      <c r="GR75" s="44"/>
      <c r="GS75" s="44"/>
      <c r="GT75" s="44"/>
      <c r="GU75" s="44"/>
      <c r="GV75" s="160"/>
      <c r="GW75" s="162">
        <v>3095</v>
      </c>
      <c r="GX75" s="162">
        <v>2569</v>
      </c>
      <c r="GY75" s="44"/>
      <c r="GZ75" s="44"/>
      <c r="HA75" s="44"/>
      <c r="HB75" s="44"/>
      <c r="HC75" s="44"/>
      <c r="HD75" s="160"/>
      <c r="HE75" s="162">
        <v>2545</v>
      </c>
      <c r="HF75" s="162">
        <v>2485</v>
      </c>
      <c r="HG75" s="44"/>
      <c r="HH75" s="44"/>
      <c r="HI75" s="44"/>
      <c r="HJ75" s="44"/>
      <c r="HK75" s="44"/>
      <c r="HL75" s="44"/>
      <c r="HM75" s="44">
        <v>2330</v>
      </c>
      <c r="HN75" s="44"/>
      <c r="HO75" s="44"/>
      <c r="HP75" s="44"/>
      <c r="HQ75" s="44"/>
      <c r="HR75" s="44"/>
      <c r="HS75" s="44"/>
      <c r="HT75" s="44"/>
      <c r="HU75" s="44">
        <v>2799</v>
      </c>
      <c r="HV75" s="44"/>
      <c r="HW75" s="44"/>
      <c r="HX75" s="44"/>
      <c r="HY75" s="44"/>
      <c r="HZ75" s="44"/>
      <c r="IA75" s="44"/>
      <c r="IB75" s="44"/>
      <c r="IC75" s="44">
        <v>4143</v>
      </c>
      <c r="ID75" s="44">
        <v>3685</v>
      </c>
      <c r="IE75" s="44"/>
      <c r="IF75" s="44"/>
      <c r="IG75" s="44"/>
      <c r="IH75" s="44"/>
      <c r="II75" s="44"/>
      <c r="IJ75" s="44"/>
      <c r="IK75" s="44">
        <v>5013</v>
      </c>
      <c r="IL75" s="44">
        <v>3867</v>
      </c>
      <c r="IM75" s="44"/>
      <c r="IN75" s="44"/>
      <c r="IO75" s="44"/>
      <c r="IP75" s="44"/>
      <c r="IQ75" s="44"/>
      <c r="IR75" s="44"/>
      <c r="IS75" s="44">
        <v>4937</v>
      </c>
      <c r="IT75" s="44">
        <v>4865</v>
      </c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>
        <v>5503</v>
      </c>
      <c r="KF75" s="44">
        <v>5505</v>
      </c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>
        <v>3503</v>
      </c>
      <c r="LR75" s="26">
        <v>4823</v>
      </c>
      <c r="LS75" s="165">
        <v>4391</v>
      </c>
      <c r="LT75" s="160">
        <v>4848</v>
      </c>
      <c r="LU75" s="27">
        <v>3918</v>
      </c>
      <c r="LV75" s="166">
        <v>3367</v>
      </c>
      <c r="LW75" s="26">
        <v>3946</v>
      </c>
      <c r="LX75" s="44">
        <v>4573</v>
      </c>
      <c r="LY75" s="26">
        <v>4624</v>
      </c>
      <c r="LZ75" s="26">
        <v>4532</v>
      </c>
      <c r="MA75" s="26">
        <v>4769</v>
      </c>
      <c r="MB75" s="26">
        <v>4028</v>
      </c>
      <c r="MC75" s="133">
        <v>3696</v>
      </c>
      <c r="MD75" s="27">
        <f>SUM(MD37:MD74)</f>
        <v>3400</v>
      </c>
      <c r="ME75" s="27">
        <f t="shared" ref="ME75:MF75" si="18">SUM(ME37:ME74)</f>
        <v>2876</v>
      </c>
      <c r="MF75" s="27">
        <f t="shared" si="18"/>
        <v>3947</v>
      </c>
      <c r="MG75" s="27">
        <v>3797</v>
      </c>
      <c r="MH75" s="27">
        <v>3355</v>
      </c>
      <c r="MI75" s="27">
        <v>3984</v>
      </c>
      <c r="MJ75" s="27">
        <v>3557</v>
      </c>
      <c r="MK75" s="27">
        <v>3014</v>
      </c>
      <c r="ML75" s="27">
        <v>3237</v>
      </c>
      <c r="MM75" s="27">
        <v>2140</v>
      </c>
      <c r="MN75" s="27">
        <v>1874</v>
      </c>
      <c r="MO75" s="27">
        <v>2780</v>
      </c>
      <c r="MP75" s="27">
        <v>3752</v>
      </c>
      <c r="MQ75" s="27">
        <v>3331</v>
      </c>
      <c r="MR75" s="27">
        <v>4282</v>
      </c>
      <c r="MS75" s="171">
        <v>3761</v>
      </c>
      <c r="MT75" s="27">
        <v>3944</v>
      </c>
      <c r="MU75" s="133">
        <v>3126</v>
      </c>
      <c r="MV75" s="177">
        <f>SUM(MV37:MV74)</f>
        <v>115048</v>
      </c>
    </row>
    <row r="76" spans="1:361" s="172" customFormat="1" ht="51.6" customHeight="1" thickBot="1">
      <c r="A76" s="167" t="s">
        <v>244</v>
      </c>
      <c r="B76" s="153"/>
      <c r="C76" s="44"/>
      <c r="D76" s="44"/>
      <c r="E76" s="44"/>
      <c r="F76" s="44"/>
      <c r="G76" s="154"/>
      <c r="H76" s="155"/>
      <c r="I76" s="153"/>
      <c r="J76" s="44"/>
      <c r="K76" s="44"/>
      <c r="L76" s="44"/>
      <c r="M76" s="44"/>
      <c r="N76" s="154"/>
      <c r="O76" s="156">
        <f>O35+O75</f>
        <v>9718</v>
      </c>
      <c r="P76" s="153"/>
      <c r="Q76" s="44"/>
      <c r="R76" s="44"/>
      <c r="S76" s="44"/>
      <c r="T76" s="44"/>
      <c r="U76" s="154"/>
      <c r="V76" s="156">
        <f>V35+V75</f>
        <v>10544</v>
      </c>
      <c r="W76" s="153"/>
      <c r="X76" s="44"/>
      <c r="Y76" s="44"/>
      <c r="Z76" s="44"/>
      <c r="AA76" s="44"/>
      <c r="AB76" s="154"/>
      <c r="AC76" s="156"/>
      <c r="AD76" s="153"/>
      <c r="AE76" s="44"/>
      <c r="AF76" s="44"/>
      <c r="AG76" s="44"/>
      <c r="AH76" s="44"/>
      <c r="AI76" s="154"/>
      <c r="AJ76" s="156"/>
      <c r="AK76" s="153"/>
      <c r="AL76" s="44"/>
      <c r="AM76" s="44"/>
      <c r="AN76" s="44"/>
      <c r="AO76" s="44"/>
      <c r="AP76" s="154"/>
      <c r="AQ76" s="156"/>
      <c r="AR76" s="156"/>
      <c r="AS76" s="44"/>
      <c r="AT76" s="44"/>
      <c r="AU76" s="44"/>
      <c r="AV76" s="44"/>
      <c r="AW76" s="44"/>
      <c r="AX76" s="44"/>
      <c r="AY76" s="156"/>
      <c r="AZ76" s="156">
        <f>AZ35+AZ75</f>
        <v>13451</v>
      </c>
      <c r="BA76" s="44"/>
      <c r="BB76" s="44"/>
      <c r="BC76" s="44"/>
      <c r="BD76" s="44"/>
      <c r="BE76" s="44"/>
      <c r="BF76" s="44"/>
      <c r="BG76" s="158"/>
      <c r="BH76" s="159"/>
      <c r="BI76" s="159"/>
      <c r="BJ76" s="44"/>
      <c r="BK76" s="44"/>
      <c r="BL76" s="44"/>
      <c r="BM76" s="44"/>
      <c r="BN76" s="160"/>
      <c r="BO76" s="161">
        <v>12161</v>
      </c>
      <c r="BP76" s="162">
        <v>15777</v>
      </c>
      <c r="BQ76" s="153"/>
      <c r="BR76" s="44"/>
      <c r="BS76" s="44"/>
      <c r="BT76" s="44"/>
      <c r="BU76" s="44"/>
      <c r="BV76" s="154"/>
      <c r="BW76" s="155"/>
      <c r="BX76" s="153"/>
      <c r="BY76" s="44"/>
      <c r="BZ76" s="44"/>
      <c r="CA76" s="44"/>
      <c r="CB76" s="44"/>
      <c r="CC76" s="154"/>
      <c r="CD76" s="156">
        <f>CD35+CD75</f>
        <v>9718</v>
      </c>
      <c r="CE76" s="153"/>
      <c r="CF76" s="44"/>
      <c r="CG76" s="44"/>
      <c r="CH76" s="44"/>
      <c r="CI76" s="44"/>
      <c r="CJ76" s="154"/>
      <c r="CK76" s="156">
        <f>CK35+CK75</f>
        <v>10544</v>
      </c>
      <c r="CL76" s="153"/>
      <c r="CM76" s="44"/>
      <c r="CN76" s="44"/>
      <c r="CO76" s="44"/>
      <c r="CP76" s="44"/>
      <c r="CQ76" s="154"/>
      <c r="CR76" s="156"/>
      <c r="CS76" s="153"/>
      <c r="CT76" s="44"/>
      <c r="CU76" s="44"/>
      <c r="CV76" s="44"/>
      <c r="CW76" s="44"/>
      <c r="CX76" s="154"/>
      <c r="CY76" s="156"/>
      <c r="CZ76" s="153"/>
      <c r="DA76" s="44"/>
      <c r="DB76" s="44"/>
      <c r="DC76" s="44"/>
      <c r="DD76" s="44"/>
      <c r="DE76" s="154"/>
      <c r="DF76" s="156"/>
      <c r="DG76" s="156"/>
      <c r="DH76" s="44"/>
      <c r="DI76" s="44"/>
      <c r="DJ76" s="44"/>
      <c r="DK76" s="44"/>
      <c r="DL76" s="44"/>
      <c r="DM76" s="44"/>
      <c r="DN76" s="156"/>
      <c r="DO76" s="156">
        <f>DO35+DO75</f>
        <v>13451</v>
      </c>
      <c r="DP76" s="44"/>
      <c r="DQ76" s="44"/>
      <c r="DR76" s="44"/>
      <c r="DS76" s="44"/>
      <c r="DT76" s="44"/>
      <c r="DU76" s="44"/>
      <c r="DV76" s="158"/>
      <c r="DW76" s="159"/>
      <c r="DX76" s="44"/>
      <c r="DY76" s="44"/>
      <c r="DZ76" s="44"/>
      <c r="EA76" s="44"/>
      <c r="EB76" s="160"/>
      <c r="EC76" s="161">
        <v>12743</v>
      </c>
      <c r="ED76" s="162">
        <v>13485</v>
      </c>
      <c r="EE76" s="159"/>
      <c r="EF76" s="44"/>
      <c r="EG76" s="44"/>
      <c r="EH76" s="44"/>
      <c r="EI76" s="44"/>
      <c r="EJ76" s="160"/>
      <c r="EK76" s="161"/>
      <c r="EL76" s="162"/>
      <c r="EM76" s="159"/>
      <c r="EN76" s="44"/>
      <c r="EO76" s="44"/>
      <c r="EP76" s="44"/>
      <c r="EQ76" s="44"/>
      <c r="ER76" s="160"/>
      <c r="ES76" s="161">
        <v>16633</v>
      </c>
      <c r="ET76" s="162">
        <v>12100</v>
      </c>
      <c r="EU76" s="159"/>
      <c r="EV76" s="44"/>
      <c r="EW76" s="44"/>
      <c r="EX76" s="44"/>
      <c r="EY76" s="44"/>
      <c r="EZ76" s="160"/>
      <c r="FA76" s="161">
        <v>17110</v>
      </c>
      <c r="FB76" s="162">
        <v>16115</v>
      </c>
      <c r="FC76" s="159"/>
      <c r="FD76" s="44"/>
      <c r="FE76" s="44"/>
      <c r="FF76" s="44"/>
      <c r="FG76" s="44"/>
      <c r="FH76" s="160"/>
      <c r="FI76" s="161">
        <v>15025</v>
      </c>
      <c r="FJ76" s="162">
        <v>16195</v>
      </c>
      <c r="FK76" s="159"/>
      <c r="FL76" s="44"/>
      <c r="FM76" s="44"/>
      <c r="FN76" s="44"/>
      <c r="FO76" s="44"/>
      <c r="FP76" s="160"/>
      <c r="FQ76" s="161">
        <v>16567</v>
      </c>
      <c r="FR76" s="162">
        <v>17515</v>
      </c>
      <c r="FS76" s="159"/>
      <c r="FT76" s="44"/>
      <c r="FU76" s="44"/>
      <c r="FV76" s="44"/>
      <c r="FW76" s="44"/>
      <c r="FX76" s="160"/>
      <c r="FY76" s="168">
        <v>18708</v>
      </c>
      <c r="FZ76" s="162">
        <v>18075</v>
      </c>
      <c r="GA76" s="44"/>
      <c r="GB76" s="44"/>
      <c r="GC76" s="44"/>
      <c r="GD76" s="44"/>
      <c r="GE76" s="44"/>
      <c r="GF76" s="44"/>
      <c r="GG76" s="169">
        <v>22570</v>
      </c>
      <c r="GH76" s="170">
        <v>23222</v>
      </c>
      <c r="GI76" s="44"/>
      <c r="GJ76" s="44"/>
      <c r="GK76" s="44"/>
      <c r="GL76" s="44"/>
      <c r="GM76" s="44"/>
      <c r="GN76" s="44"/>
      <c r="GO76" s="169"/>
      <c r="GP76" s="170"/>
      <c r="GQ76" s="44"/>
      <c r="GR76" s="44"/>
      <c r="GS76" s="44"/>
      <c r="GT76" s="44"/>
      <c r="GU76" s="44"/>
      <c r="GV76" s="160"/>
      <c r="GW76" s="169">
        <v>23908</v>
      </c>
      <c r="GX76" s="169">
        <v>23779</v>
      </c>
      <c r="GY76" s="44"/>
      <c r="GZ76" s="44"/>
      <c r="HA76" s="44"/>
      <c r="HB76" s="44"/>
      <c r="HC76" s="44"/>
      <c r="HD76" s="160"/>
      <c r="HE76" s="169">
        <v>23785</v>
      </c>
      <c r="HF76" s="169">
        <v>23850</v>
      </c>
      <c r="HG76" s="44"/>
      <c r="HH76" s="44"/>
      <c r="HI76" s="44"/>
      <c r="HJ76" s="44"/>
      <c r="HK76" s="44"/>
      <c r="HL76" s="44"/>
      <c r="HM76" s="44">
        <v>20503</v>
      </c>
      <c r="HN76" s="44"/>
      <c r="HO76" s="44"/>
      <c r="HP76" s="44"/>
      <c r="HQ76" s="44"/>
      <c r="HR76" s="44"/>
      <c r="HS76" s="44"/>
      <c r="HT76" s="44"/>
      <c r="HU76" s="44">
        <v>20574</v>
      </c>
      <c r="HV76" s="44"/>
      <c r="HW76" s="44"/>
      <c r="HX76" s="44"/>
      <c r="HY76" s="44"/>
      <c r="HZ76" s="44"/>
      <c r="IA76" s="44"/>
      <c r="IB76" s="44"/>
      <c r="IC76" s="44">
        <v>27199</v>
      </c>
      <c r="ID76" s="44"/>
      <c r="IE76" s="44"/>
      <c r="IF76" s="44"/>
      <c r="IG76" s="44"/>
      <c r="IH76" s="44"/>
      <c r="II76" s="44"/>
      <c r="IJ76" s="44"/>
      <c r="IK76" s="44">
        <v>32252</v>
      </c>
      <c r="IL76" s="44">
        <v>24317</v>
      </c>
      <c r="IM76" s="44"/>
      <c r="IN76" s="44"/>
      <c r="IO76" s="44"/>
      <c r="IP76" s="44"/>
      <c r="IQ76" s="44"/>
      <c r="IR76" s="44"/>
      <c r="IS76" s="44">
        <v>40673</v>
      </c>
      <c r="IT76" s="44">
        <v>32425</v>
      </c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>
        <v>32865</v>
      </c>
      <c r="KF76" s="44">
        <v>29860</v>
      </c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>
        <f>LQ35</f>
        <v>16594</v>
      </c>
      <c r="LR76" s="26">
        <v>22988</v>
      </c>
      <c r="LS76" s="44">
        <v>21282</v>
      </c>
      <c r="LT76" s="160">
        <v>21315</v>
      </c>
      <c r="LU76" s="27">
        <f>LU75+LU35</f>
        <v>18988</v>
      </c>
      <c r="LV76" s="166">
        <v>14847</v>
      </c>
      <c r="LW76" s="26">
        <v>16286</v>
      </c>
      <c r="LX76" s="44">
        <v>16563</v>
      </c>
      <c r="LY76" s="26">
        <v>17383</v>
      </c>
      <c r="LZ76" s="26">
        <v>16641</v>
      </c>
      <c r="MA76" s="26">
        <v>17365</v>
      </c>
      <c r="MB76" s="45">
        <v>14582</v>
      </c>
      <c r="MC76" s="27">
        <f>MC75+MC35</f>
        <v>12584</v>
      </c>
      <c r="MD76" s="27">
        <f>MD75+MD35</f>
        <v>11893</v>
      </c>
      <c r="ME76" s="27">
        <f>ME75+ME35</f>
        <v>11234</v>
      </c>
      <c r="MF76" s="27">
        <f>MF75+MF35</f>
        <v>14875</v>
      </c>
      <c r="MG76" s="27">
        <f>MG75+MG35</f>
        <v>16984</v>
      </c>
      <c r="MH76" s="27">
        <v>22061</v>
      </c>
      <c r="MI76" s="27">
        <v>28454</v>
      </c>
      <c r="MJ76" s="27">
        <v>27997</v>
      </c>
      <c r="MK76" s="27">
        <v>24840</v>
      </c>
      <c r="ML76" s="27">
        <v>34549</v>
      </c>
      <c r="MM76" s="27">
        <v>36371</v>
      </c>
      <c r="MN76" s="27">
        <v>31689</v>
      </c>
      <c r="MO76" s="27">
        <v>46294</v>
      </c>
      <c r="MP76" s="27">
        <v>58356</v>
      </c>
      <c r="MQ76" s="27">
        <f>MQ75+MQ35</f>
        <v>79530</v>
      </c>
      <c r="MR76" s="27">
        <v>71772</v>
      </c>
      <c r="MS76" s="171">
        <v>69471</v>
      </c>
      <c r="MT76" s="27">
        <v>73248</v>
      </c>
      <c r="MU76" s="133">
        <v>65921</v>
      </c>
      <c r="MV76" s="178">
        <f>MV75+MV35</f>
        <v>956379</v>
      </c>
    </row>
    <row r="77" spans="1:361">
      <c r="LZ77" s="191"/>
      <c r="MA77" s="191"/>
      <c r="MB77" s="191"/>
      <c r="ME77" s="191"/>
      <c r="MF77" s="191"/>
      <c r="MG77" s="191"/>
      <c r="MH77" s="191"/>
      <c r="MI77" s="191"/>
      <c r="MK77" s="147"/>
      <c r="ML77" s="147"/>
      <c r="MM77" s="147"/>
      <c r="MN77" s="147"/>
      <c r="MO77" s="147"/>
      <c r="MP77" s="147"/>
      <c r="MQ77" s="147"/>
      <c r="MU77" s="148"/>
      <c r="MV77" s="174"/>
    </row>
    <row r="78" spans="1:361">
      <c r="MK78" s="147"/>
      <c r="ML78" s="147"/>
      <c r="MM78" s="147"/>
      <c r="MN78" s="147"/>
      <c r="MO78" s="147"/>
      <c r="MP78" s="147"/>
    </row>
    <row r="79" spans="1:361">
      <c r="MK79" s="147"/>
      <c r="ML79" s="147"/>
      <c r="MM79" s="147"/>
      <c r="MN79" s="147"/>
      <c r="MO79" s="147"/>
      <c r="MP79" s="147"/>
    </row>
    <row r="80" spans="1:361">
      <c r="MK80" s="147"/>
      <c r="ML80" s="147"/>
      <c r="MM80" s="147"/>
      <c r="MN80" s="147"/>
      <c r="MO80" s="147"/>
      <c r="MP80" s="147"/>
    </row>
    <row r="81" spans="349:354">
      <c r="MK81" s="147"/>
      <c r="ML81" s="147"/>
      <c r="MM81" s="147"/>
      <c r="MN81" s="147"/>
      <c r="MO81" s="147"/>
      <c r="MP81" s="147"/>
    </row>
    <row r="82" spans="349:354">
      <c r="MK82" s="147"/>
      <c r="ML82" s="147"/>
      <c r="MM82" s="147"/>
      <c r="MN82" s="147"/>
      <c r="MO82" s="147"/>
      <c r="MP82" s="147"/>
    </row>
    <row r="83" spans="349:354">
      <c r="MK83" s="147"/>
      <c r="ML83" s="147"/>
      <c r="MM83" s="147"/>
      <c r="MN83" s="147"/>
      <c r="MO83" s="147"/>
      <c r="MP83" s="147"/>
    </row>
    <row r="84" spans="349:354">
      <c r="MK84" s="147"/>
      <c r="ML84" s="147"/>
      <c r="MM84" s="147"/>
      <c r="MN84" s="147"/>
      <c r="MO84" s="147"/>
      <c r="MP84" s="147"/>
    </row>
    <row r="85" spans="349:354">
      <c r="MK85" s="147"/>
      <c r="ML85" s="147"/>
      <c r="MM85" s="147"/>
      <c r="MN85" s="147"/>
      <c r="MO85" s="147"/>
      <c r="MP85" s="147"/>
    </row>
    <row r="86" spans="349:354">
      <c r="MK86" s="147"/>
      <c r="ML86" s="147"/>
      <c r="MM86" s="147"/>
      <c r="MN86" s="147"/>
      <c r="MO86" s="147"/>
      <c r="MP86" s="147"/>
    </row>
    <row r="87" spans="349:354">
      <c r="MK87" s="147"/>
      <c r="ML87" s="147"/>
      <c r="MM87" s="147"/>
      <c r="MN87" s="147"/>
      <c r="MO87" s="147"/>
      <c r="MP87" s="147"/>
    </row>
    <row r="88" spans="349:354">
      <c r="MK88" s="147"/>
      <c r="ML88" s="147"/>
      <c r="MM88" s="147"/>
      <c r="MN88" s="147"/>
      <c r="MO88" s="147"/>
      <c r="MP88" s="147"/>
    </row>
    <row r="89" spans="349:354">
      <c r="MK89" s="147"/>
      <c r="ML89" s="147"/>
      <c r="MM89" s="147"/>
      <c r="MN89" s="147"/>
      <c r="MO89" s="147"/>
      <c r="MP89" s="147"/>
    </row>
    <row r="90" spans="349:354">
      <c r="MK90" s="147"/>
      <c r="ML90" s="147"/>
      <c r="MM90" s="147"/>
      <c r="MN90" s="147"/>
      <c r="MO90" s="147"/>
      <c r="MP90" s="147"/>
    </row>
    <row r="91" spans="349:354">
      <c r="MK91" s="147"/>
      <c r="ML91" s="147"/>
      <c r="MM91" s="147"/>
      <c r="MN91" s="147"/>
      <c r="MO91" s="147"/>
      <c r="MP91" s="147"/>
    </row>
    <row r="92" spans="349:354">
      <c r="MK92" s="147"/>
      <c r="ML92" s="147"/>
      <c r="MM92" s="147"/>
      <c r="MN92" s="147"/>
      <c r="MO92" s="147"/>
      <c r="MP92" s="147"/>
    </row>
    <row r="93" spans="349:354">
      <c r="MK93" s="147"/>
      <c r="ML93" s="147"/>
      <c r="MM93" s="147"/>
      <c r="MN93" s="147"/>
      <c r="MO93" s="147"/>
      <c r="MP93" s="147"/>
    </row>
    <row r="94" spans="349:354">
      <c r="MK94" s="147"/>
      <c r="ML94" s="147"/>
      <c r="MM94" s="147"/>
      <c r="MN94" s="147"/>
      <c r="MO94" s="147"/>
      <c r="MP94" s="147"/>
    </row>
    <row r="95" spans="349:354">
      <c r="MK95" s="147"/>
      <c r="ML95" s="147"/>
      <c r="MM95" s="147"/>
      <c r="MN95" s="147"/>
      <c r="MO95" s="147"/>
      <c r="MP95" s="147"/>
    </row>
    <row r="96" spans="349:354">
      <c r="MK96" s="147"/>
      <c r="ML96" s="147"/>
      <c r="MM96" s="147"/>
      <c r="MN96" s="147"/>
      <c r="MO96" s="147"/>
      <c r="MP96" s="147"/>
    </row>
    <row r="97" spans="349:354">
      <c r="MK97" s="147"/>
      <c r="ML97" s="147"/>
      <c r="MM97" s="147"/>
      <c r="MN97" s="147"/>
      <c r="MO97" s="147"/>
      <c r="MP97" s="147"/>
    </row>
    <row r="98" spans="349:354">
      <c r="MK98" s="147"/>
      <c r="ML98" s="147"/>
      <c r="MM98" s="147"/>
      <c r="MN98" s="147"/>
      <c r="MO98" s="147"/>
      <c r="MP98" s="147"/>
    </row>
    <row r="99" spans="349:354">
      <c r="MK99" s="147"/>
      <c r="ML99" s="147"/>
      <c r="MM99" s="147"/>
      <c r="MN99" s="147"/>
      <c r="MO99" s="147"/>
      <c r="MP99" s="147"/>
    </row>
    <row r="100" spans="349:354">
      <c r="MK100" s="147"/>
      <c r="ML100" s="147"/>
      <c r="MM100" s="147"/>
      <c r="MN100" s="147"/>
      <c r="MO100" s="147"/>
      <c r="MP100" s="147"/>
    </row>
    <row r="101" spans="349:354">
      <c r="MK101" s="147"/>
      <c r="ML101" s="147"/>
      <c r="MM101" s="147"/>
      <c r="MN101" s="147"/>
      <c r="MO101" s="147"/>
      <c r="MP101" s="147"/>
    </row>
    <row r="102" spans="349:354">
      <c r="MK102" s="147"/>
      <c r="ML102" s="147"/>
      <c r="MM102" s="147"/>
      <c r="MN102" s="147"/>
      <c r="MO102" s="147"/>
      <c r="MP102" s="147"/>
    </row>
    <row r="103" spans="349:354">
      <c r="MK103" s="147"/>
      <c r="ML103" s="147"/>
      <c r="MM103" s="147"/>
      <c r="MN103" s="147"/>
      <c r="MO103" s="147"/>
      <c r="MP103" s="147"/>
    </row>
    <row r="104" spans="349:354">
      <c r="MK104" s="147"/>
      <c r="ML104" s="147"/>
      <c r="MM104" s="147"/>
      <c r="MN104" s="147"/>
      <c r="MO104" s="147"/>
      <c r="MP104" s="147"/>
    </row>
    <row r="105" spans="349:354">
      <c r="MK105" s="147"/>
      <c r="ML105" s="147"/>
      <c r="MM105" s="147"/>
      <c r="MN105" s="147"/>
      <c r="MO105" s="147"/>
      <c r="MP105" s="147"/>
    </row>
    <row r="106" spans="349:354">
      <c r="MK106" s="147"/>
      <c r="ML106" s="147"/>
      <c r="MM106" s="147"/>
      <c r="MN106" s="147"/>
      <c r="MO106" s="147"/>
      <c r="MP106" s="147"/>
    </row>
    <row r="107" spans="349:354">
      <c r="MK107" s="147"/>
      <c r="ML107" s="147"/>
      <c r="MM107" s="147"/>
      <c r="MN107" s="147"/>
      <c r="MO107" s="147"/>
      <c r="MP107" s="147"/>
    </row>
    <row r="108" spans="349:354">
      <c r="MK108" s="147"/>
      <c r="ML108" s="147"/>
      <c r="MM108" s="147"/>
      <c r="MN108" s="147"/>
      <c r="MO108" s="147"/>
      <c r="MP108" s="147"/>
    </row>
    <row r="109" spans="349:354">
      <c r="MK109" s="147"/>
      <c r="ML109" s="147"/>
      <c r="MM109" s="147"/>
      <c r="MN109" s="147"/>
      <c r="MO109" s="147"/>
      <c r="MP109" s="147"/>
    </row>
    <row r="110" spans="349:354">
      <c r="MK110" s="147"/>
      <c r="ML110" s="147"/>
      <c r="MM110" s="147"/>
      <c r="MN110" s="147"/>
      <c r="MO110" s="147"/>
      <c r="MP110" s="147"/>
    </row>
    <row r="111" spans="349:354">
      <c r="MK111" s="147"/>
      <c r="ML111" s="147"/>
      <c r="MM111" s="147"/>
      <c r="MN111" s="147"/>
      <c r="MO111" s="147"/>
      <c r="MP111" s="147"/>
    </row>
    <row r="112" spans="349:354">
      <c r="MK112" s="147"/>
      <c r="ML112" s="147"/>
      <c r="MM112" s="147"/>
      <c r="MN112" s="147"/>
      <c r="MO112" s="147"/>
      <c r="MP112" s="147"/>
    </row>
    <row r="113" spans="349:354">
      <c r="MK113" s="147"/>
      <c r="ML113" s="147"/>
      <c r="MM113" s="147"/>
      <c r="MN113" s="147"/>
      <c r="MO113" s="147"/>
      <c r="MP113" s="147"/>
    </row>
    <row r="114" spans="349:354">
      <c r="MK114" s="147"/>
      <c r="ML114" s="147"/>
      <c r="MM114" s="147"/>
      <c r="MN114" s="147"/>
      <c r="MO114" s="147"/>
      <c r="MP114" s="147"/>
    </row>
    <row r="115" spans="349:354">
      <c r="MK115" s="147"/>
      <c r="ML115" s="147"/>
      <c r="MM115" s="147"/>
      <c r="MN115" s="147"/>
      <c r="MO115" s="147"/>
      <c r="MP115" s="147"/>
    </row>
    <row r="116" spans="349:354">
      <c r="MK116" s="147"/>
      <c r="ML116" s="147"/>
      <c r="MM116" s="147"/>
      <c r="MN116" s="147"/>
      <c r="MO116" s="147"/>
      <c r="MP116" s="147"/>
    </row>
    <row r="117" spans="349:354">
      <c r="MK117" s="147"/>
      <c r="ML117" s="147"/>
      <c r="MM117" s="147"/>
      <c r="MN117" s="147"/>
      <c r="MO117" s="147"/>
      <c r="MP117" s="147"/>
    </row>
    <row r="118" spans="349:354">
      <c r="MK118" s="147"/>
      <c r="ML118" s="147"/>
      <c r="MM118" s="147"/>
      <c r="MN118" s="147"/>
      <c r="MO118" s="147"/>
      <c r="MP118" s="147"/>
    </row>
    <row r="119" spans="349:354">
      <c r="MK119" s="147"/>
      <c r="ML119" s="147"/>
      <c r="MM119" s="147"/>
      <c r="MN119" s="147"/>
      <c r="MO119" s="147"/>
      <c r="MP119" s="147"/>
    </row>
    <row r="120" spans="349:354">
      <c r="MK120" s="147"/>
      <c r="ML120" s="147"/>
      <c r="MM120" s="147"/>
      <c r="MN120" s="147"/>
      <c r="MO120" s="147"/>
      <c r="MP120" s="147"/>
    </row>
    <row r="121" spans="349:354">
      <c r="MK121" s="147"/>
      <c r="ML121" s="147"/>
      <c r="MM121" s="147"/>
      <c r="MN121" s="147"/>
      <c r="MO121" s="147"/>
      <c r="MP121" s="147"/>
    </row>
    <row r="122" spans="349:354">
      <c r="MK122" s="147"/>
      <c r="ML122" s="147"/>
      <c r="MM122" s="147"/>
      <c r="MN122" s="147"/>
      <c r="MO122" s="147"/>
      <c r="MP122" s="147"/>
    </row>
    <row r="123" spans="349:354">
      <c r="MK123" s="147"/>
      <c r="ML123" s="147"/>
      <c r="MM123" s="147"/>
      <c r="MN123" s="147"/>
      <c r="MO123" s="147"/>
      <c r="MP123" s="147"/>
    </row>
    <row r="124" spans="349:354">
      <c r="MK124" s="147"/>
      <c r="ML124" s="147"/>
      <c r="MM124" s="147"/>
      <c r="MN124" s="147"/>
      <c r="MO124" s="147"/>
      <c r="MP124" s="147"/>
    </row>
    <row r="125" spans="349:354">
      <c r="MK125" s="147"/>
      <c r="ML125" s="147"/>
      <c r="MM125" s="147"/>
      <c r="MN125" s="147"/>
      <c r="MO125" s="147"/>
      <c r="MP125" s="147"/>
    </row>
    <row r="126" spans="349:354">
      <c r="MK126" s="147"/>
      <c r="ML126" s="147"/>
      <c r="MM126" s="147"/>
      <c r="MN126" s="147"/>
      <c r="MO126" s="147"/>
      <c r="MP126" s="147"/>
    </row>
    <row r="127" spans="349:354">
      <c r="MK127" s="147"/>
      <c r="ML127" s="147"/>
      <c r="MM127" s="147"/>
      <c r="MN127" s="147"/>
      <c r="MO127" s="147"/>
      <c r="MP127" s="147"/>
    </row>
    <row r="128" spans="349:354">
      <c r="MK128" s="147"/>
      <c r="ML128" s="147"/>
      <c r="MM128" s="147"/>
      <c r="MN128" s="147"/>
      <c r="MO128" s="147"/>
      <c r="MP128" s="147"/>
    </row>
    <row r="129" spans="349:354">
      <c r="MK129" s="147"/>
      <c r="ML129" s="147"/>
      <c r="MM129" s="147"/>
      <c r="MN129" s="147"/>
      <c r="MO129" s="147"/>
      <c r="MP129" s="147"/>
    </row>
    <row r="130" spans="349:354">
      <c r="MK130" s="147"/>
      <c r="ML130" s="147"/>
      <c r="MM130" s="147"/>
      <c r="MN130" s="147"/>
      <c r="MO130" s="147"/>
      <c r="MP130" s="147"/>
    </row>
    <row r="131" spans="349:354">
      <c r="MK131" s="147"/>
      <c r="ML131" s="147"/>
      <c r="MM131" s="147"/>
      <c r="MN131" s="147"/>
      <c r="MO131" s="147"/>
      <c r="MP131" s="147"/>
    </row>
    <row r="132" spans="349:354">
      <c r="MK132" s="147"/>
      <c r="ML132" s="147"/>
      <c r="MM132" s="147"/>
      <c r="MN132" s="147"/>
      <c r="MO132" s="147"/>
      <c r="MP132" s="147"/>
    </row>
    <row r="133" spans="349:354">
      <c r="MK133" s="147"/>
      <c r="ML133" s="147"/>
      <c r="MM133" s="147"/>
      <c r="MN133" s="147"/>
      <c r="MO133" s="147"/>
      <c r="MP133" s="147"/>
    </row>
    <row r="134" spans="349:354">
      <c r="MK134" s="147"/>
      <c r="ML134" s="147"/>
      <c r="MM134" s="147"/>
      <c r="MN134" s="147"/>
      <c r="MO134" s="147"/>
      <c r="MP134" s="147"/>
    </row>
    <row r="135" spans="349:354">
      <c r="MK135" s="147"/>
      <c r="ML135" s="147"/>
      <c r="MM135" s="147"/>
      <c r="MN135" s="147"/>
      <c r="MO135" s="147"/>
      <c r="MP135" s="147"/>
    </row>
    <row r="136" spans="349:354">
      <c r="MK136" s="147"/>
      <c r="ML136" s="147"/>
      <c r="MM136" s="147"/>
      <c r="MN136" s="147"/>
      <c r="MO136" s="147"/>
      <c r="MP136" s="147"/>
    </row>
    <row r="137" spans="349:354">
      <c r="MK137" s="147"/>
      <c r="ML137" s="147"/>
      <c r="MM137" s="147"/>
      <c r="MN137" s="147"/>
      <c r="MO137" s="147"/>
      <c r="MP137" s="147"/>
    </row>
    <row r="138" spans="349:354">
      <c r="MK138" s="147"/>
      <c r="ML138" s="147"/>
      <c r="MM138" s="147"/>
      <c r="MN138" s="147"/>
      <c r="MO138" s="147"/>
      <c r="MP138" s="147"/>
    </row>
    <row r="139" spans="349:354">
      <c r="MK139" s="147"/>
      <c r="ML139" s="147"/>
      <c r="MM139" s="147"/>
      <c r="MN139" s="147"/>
      <c r="MO139" s="147"/>
      <c r="MP139" s="147"/>
    </row>
    <row r="140" spans="349:354">
      <c r="MK140" s="147"/>
      <c r="ML140" s="147"/>
      <c r="MM140" s="147"/>
      <c r="MN140" s="147"/>
      <c r="MO140" s="147"/>
      <c r="MP140" s="147"/>
    </row>
    <row r="141" spans="349:354">
      <c r="MK141" s="147"/>
      <c r="ML141" s="147"/>
      <c r="MM141" s="147"/>
      <c r="MN141" s="147"/>
      <c r="MO141" s="147"/>
      <c r="MP141" s="147"/>
    </row>
    <row r="142" spans="349:354">
      <c r="MK142" s="147"/>
      <c r="ML142" s="147"/>
      <c r="MM142" s="147"/>
      <c r="MN142" s="147"/>
      <c r="MO142" s="147"/>
      <c r="MP142" s="147"/>
    </row>
    <row r="143" spans="349:354">
      <c r="MK143" s="147"/>
      <c r="ML143" s="147"/>
      <c r="MM143" s="147"/>
      <c r="MN143" s="147"/>
      <c r="MO143" s="147"/>
      <c r="MP143" s="147"/>
    </row>
    <row r="144" spans="349:354">
      <c r="MK144" s="147"/>
      <c r="ML144" s="147"/>
      <c r="MM144" s="147"/>
      <c r="MN144" s="147"/>
      <c r="MO144" s="147"/>
      <c r="MP144" s="147"/>
    </row>
    <row r="145" spans="349:354">
      <c r="MK145" s="147"/>
      <c r="ML145" s="147"/>
      <c r="MM145" s="147"/>
      <c r="MN145" s="147"/>
      <c r="MO145" s="147"/>
      <c r="MP145" s="147"/>
    </row>
    <row r="146" spans="349:354">
      <c r="MK146" s="147"/>
      <c r="ML146" s="147"/>
      <c r="MM146" s="147"/>
      <c r="MN146" s="147"/>
      <c r="MO146" s="147"/>
      <c r="MP146" s="147"/>
    </row>
    <row r="147" spans="349:354">
      <c r="MK147" s="147"/>
      <c r="ML147" s="147"/>
      <c r="MM147" s="147"/>
      <c r="MN147" s="147"/>
      <c r="MO147" s="147"/>
      <c r="MP147" s="147"/>
    </row>
    <row r="148" spans="349:354">
      <c r="MK148" s="147"/>
      <c r="ML148" s="147"/>
      <c r="MM148" s="147"/>
      <c r="MN148" s="147"/>
      <c r="MO148" s="147"/>
      <c r="MP148" s="147"/>
    </row>
    <row r="149" spans="349:354">
      <c r="MK149" s="147"/>
      <c r="ML149" s="147"/>
      <c r="MM149" s="147"/>
      <c r="MN149" s="147"/>
      <c r="MO149" s="147"/>
      <c r="MP149" s="147"/>
    </row>
    <row r="150" spans="349:354">
      <c r="MK150" s="147"/>
      <c r="ML150" s="147"/>
      <c r="MM150" s="147"/>
      <c r="MN150" s="147"/>
      <c r="MO150" s="147"/>
      <c r="MP150" s="147"/>
    </row>
    <row r="151" spans="349:354">
      <c r="MK151" s="147"/>
      <c r="ML151" s="147"/>
      <c r="MM151" s="147"/>
      <c r="MN151" s="147"/>
      <c r="MO151" s="147"/>
      <c r="MP151" s="147"/>
    </row>
    <row r="152" spans="349:354">
      <c r="MK152" s="147"/>
      <c r="ML152" s="147"/>
      <c r="MM152" s="147"/>
      <c r="MN152" s="147"/>
      <c r="MO152" s="147"/>
      <c r="MP152" s="147"/>
    </row>
    <row r="153" spans="349:354">
      <c r="MK153" s="147"/>
      <c r="ML153" s="147"/>
      <c r="MM153" s="147"/>
      <c r="MN153" s="147"/>
      <c r="MO153" s="147"/>
      <c r="MP153" s="147"/>
    </row>
    <row r="154" spans="349:354">
      <c r="MK154" s="147"/>
      <c r="ML154" s="147"/>
      <c r="MM154" s="147"/>
      <c r="MN154" s="147"/>
      <c r="MO154" s="147"/>
      <c r="MP154" s="147"/>
    </row>
    <row r="155" spans="349:354">
      <c r="MK155" s="147"/>
      <c r="ML155" s="147"/>
      <c r="MM155" s="147"/>
      <c r="MN155" s="147"/>
      <c r="MO155" s="147"/>
      <c r="MP155" s="147"/>
    </row>
    <row r="156" spans="349:354">
      <c r="MK156" s="147"/>
      <c r="ML156" s="147"/>
      <c r="MM156" s="147"/>
      <c r="MN156" s="147"/>
      <c r="MO156" s="147"/>
      <c r="MP156" s="147"/>
    </row>
    <row r="157" spans="349:354">
      <c r="MK157" s="147"/>
      <c r="ML157" s="147"/>
      <c r="MM157" s="147"/>
      <c r="MN157" s="147"/>
      <c r="MO157" s="147"/>
      <c r="MP157" s="147"/>
    </row>
    <row r="158" spans="349:354">
      <c r="MK158" s="147"/>
      <c r="ML158" s="147"/>
      <c r="MM158" s="147"/>
      <c r="MN158" s="147"/>
      <c r="MO158" s="147"/>
      <c r="MP158" s="147"/>
    </row>
    <row r="159" spans="349:354">
      <c r="MK159" s="147"/>
      <c r="ML159" s="147"/>
      <c r="MM159" s="147"/>
      <c r="MN159" s="147"/>
      <c r="MO159" s="147"/>
      <c r="MP159" s="147"/>
    </row>
    <row r="160" spans="349:354">
      <c r="MK160" s="147"/>
      <c r="ML160" s="147"/>
      <c r="MM160" s="147"/>
      <c r="MN160" s="147"/>
      <c r="MO160" s="147"/>
      <c r="MP160" s="147"/>
    </row>
    <row r="161" spans="349:354">
      <c r="MK161" s="147"/>
      <c r="ML161" s="147"/>
      <c r="MM161" s="147"/>
      <c r="MN161" s="147"/>
      <c r="MO161" s="147"/>
      <c r="MP161" s="147"/>
    </row>
    <row r="162" spans="349:354">
      <c r="MK162" s="147"/>
      <c r="ML162" s="147"/>
      <c r="MM162" s="147"/>
      <c r="MN162" s="147"/>
      <c r="MO162" s="147"/>
      <c r="MP162" s="147"/>
    </row>
    <row r="163" spans="349:354">
      <c r="MK163" s="147"/>
      <c r="ML163" s="147"/>
      <c r="MM163" s="147"/>
      <c r="MN163" s="147"/>
      <c r="MO163" s="147"/>
      <c r="MP163" s="147"/>
    </row>
    <row r="164" spans="349:354">
      <c r="MK164" s="147"/>
      <c r="ML164" s="147"/>
      <c r="MM164" s="147"/>
      <c r="MN164" s="147"/>
      <c r="MO164" s="147"/>
      <c r="MP164" s="147"/>
    </row>
    <row r="165" spans="349:354">
      <c r="MK165" s="147"/>
      <c r="ML165" s="147"/>
      <c r="MM165" s="147"/>
      <c r="MN165" s="147"/>
      <c r="MO165" s="147"/>
      <c r="MP165" s="147"/>
    </row>
    <row r="166" spans="349:354">
      <c r="MK166" s="147"/>
      <c r="ML166" s="147"/>
      <c r="MM166" s="147"/>
      <c r="MN166" s="147"/>
      <c r="MO166" s="147"/>
      <c r="MP166" s="147"/>
    </row>
    <row r="167" spans="349:354">
      <c r="MK167" s="147"/>
      <c r="ML167" s="147"/>
      <c r="MM167" s="147"/>
      <c r="MN167" s="147"/>
      <c r="MO167" s="147"/>
      <c r="MP167" s="147"/>
    </row>
    <row r="168" spans="349:354">
      <c r="MK168" s="147"/>
      <c r="ML168" s="147"/>
      <c r="MM168" s="147"/>
      <c r="MN168" s="147"/>
      <c r="MO168" s="147"/>
      <c r="MP168" s="147"/>
    </row>
    <row r="169" spans="349:354">
      <c r="MK169" s="147"/>
      <c r="ML169" s="147"/>
      <c r="MM169" s="147"/>
      <c r="MN169" s="147"/>
      <c r="MO169" s="147"/>
      <c r="MP169" s="147"/>
    </row>
    <row r="170" spans="349:354">
      <c r="MK170" s="147"/>
      <c r="ML170" s="147"/>
      <c r="MM170" s="147"/>
      <c r="MN170" s="147"/>
      <c r="MO170" s="147"/>
      <c r="MP170" s="147"/>
    </row>
    <row r="171" spans="349:354">
      <c r="MK171" s="147"/>
      <c r="ML171" s="147"/>
      <c r="MM171" s="147"/>
      <c r="MN171" s="147"/>
      <c r="MO171" s="147"/>
      <c r="MP171" s="147"/>
    </row>
    <row r="172" spans="349:354">
      <c r="MK172" s="147"/>
      <c r="ML172" s="147"/>
      <c r="MM172" s="147"/>
      <c r="MN172" s="147"/>
      <c r="MO172" s="147"/>
      <c r="MP172" s="147"/>
    </row>
    <row r="173" spans="349:354">
      <c r="MK173" s="147"/>
      <c r="ML173" s="147"/>
      <c r="MM173" s="147"/>
      <c r="MN173" s="147"/>
      <c r="MO173" s="147"/>
      <c r="MP173" s="147"/>
    </row>
    <row r="174" spans="349:354">
      <c r="MK174" s="147"/>
      <c r="ML174" s="147"/>
      <c r="MM174" s="147"/>
      <c r="MN174" s="147"/>
      <c r="MO174" s="147"/>
      <c r="MP174" s="147"/>
    </row>
    <row r="175" spans="349:354">
      <c r="MK175" s="147"/>
      <c r="ML175" s="147"/>
      <c r="MM175" s="147"/>
      <c r="MN175" s="147"/>
      <c r="MO175" s="147"/>
      <c r="MP175" s="147"/>
    </row>
    <row r="176" spans="349:354">
      <c r="MK176" s="147"/>
      <c r="ML176" s="147"/>
      <c r="MM176" s="147"/>
      <c r="MN176" s="147"/>
      <c r="MO176" s="147"/>
      <c r="MP176" s="147"/>
    </row>
    <row r="177" spans="349:354">
      <c r="MK177" s="147"/>
      <c r="ML177" s="147"/>
      <c r="MM177" s="147"/>
      <c r="MN177" s="147"/>
      <c r="MO177" s="147"/>
      <c r="MP177" s="147"/>
    </row>
    <row r="178" spans="349:354">
      <c r="MK178" s="147"/>
      <c r="ML178" s="147"/>
      <c r="MM178" s="147"/>
      <c r="MN178" s="147"/>
      <c r="MO178" s="147"/>
      <c r="MP178" s="147"/>
    </row>
    <row r="179" spans="349:354">
      <c r="MK179" s="147"/>
      <c r="ML179" s="147"/>
      <c r="MM179" s="147"/>
      <c r="MN179" s="147"/>
      <c r="MO179" s="147"/>
      <c r="MP179" s="147"/>
    </row>
    <row r="180" spans="349:354">
      <c r="MK180" s="147"/>
      <c r="ML180" s="147"/>
      <c r="MM180" s="147"/>
      <c r="MN180" s="147"/>
      <c r="MO180" s="147"/>
      <c r="MP180" s="147"/>
    </row>
    <row r="181" spans="349:354">
      <c r="MK181" s="147"/>
      <c r="ML181" s="147"/>
      <c r="MM181" s="147"/>
      <c r="MN181" s="147"/>
      <c r="MO181" s="147"/>
      <c r="MP181" s="147"/>
    </row>
    <row r="182" spans="349:354">
      <c r="MK182" s="147"/>
      <c r="ML182" s="147"/>
      <c r="MM182" s="147"/>
      <c r="MN182" s="147"/>
      <c r="MO182" s="147"/>
      <c r="MP182" s="147"/>
    </row>
    <row r="183" spans="349:354">
      <c r="MK183" s="147"/>
      <c r="ML183" s="147"/>
      <c r="MM183" s="147"/>
      <c r="MN183" s="147"/>
      <c r="MO183" s="147"/>
      <c r="MP183" s="147"/>
    </row>
    <row r="184" spans="349:354">
      <c r="MK184" s="147"/>
      <c r="ML184" s="147"/>
      <c r="MM184" s="147"/>
      <c r="MN184" s="147"/>
      <c r="MO184" s="147"/>
      <c r="MP184" s="147"/>
    </row>
    <row r="185" spans="349:354">
      <c r="MK185" s="147"/>
      <c r="ML185" s="147"/>
      <c r="MM185" s="147"/>
      <c r="MN185" s="147"/>
      <c r="MO185" s="147"/>
      <c r="MP185" s="147"/>
    </row>
    <row r="186" spans="349:354">
      <c r="MK186" s="147"/>
      <c r="ML186" s="147"/>
      <c r="MM186" s="147"/>
      <c r="MN186" s="147"/>
      <c r="MO186" s="147"/>
      <c r="MP186" s="147"/>
    </row>
    <row r="187" spans="349:354">
      <c r="MK187" s="147"/>
      <c r="ML187" s="147"/>
      <c r="MM187" s="147"/>
      <c r="MN187" s="147"/>
      <c r="MO187" s="147"/>
      <c r="MP187" s="147"/>
    </row>
    <row r="188" spans="349:354">
      <c r="MK188" s="147"/>
      <c r="ML188" s="147"/>
      <c r="MM188" s="147"/>
      <c r="MN188" s="147"/>
      <c r="MO188" s="147"/>
      <c r="MP188" s="147"/>
    </row>
    <row r="189" spans="349:354">
      <c r="MK189" s="147"/>
      <c r="ML189" s="147"/>
      <c r="MM189" s="147"/>
      <c r="MN189" s="147"/>
      <c r="MO189" s="147"/>
      <c r="MP189" s="147"/>
    </row>
    <row r="190" spans="349:354">
      <c r="MK190" s="147"/>
      <c r="ML190" s="147"/>
      <c r="MM190" s="147"/>
      <c r="MN190" s="147"/>
      <c r="MO190" s="147"/>
      <c r="MP190" s="147"/>
    </row>
    <row r="191" spans="349:354">
      <c r="MK191" s="147"/>
      <c r="ML191" s="147"/>
      <c r="MM191" s="147"/>
      <c r="MN191" s="147"/>
      <c r="MO191" s="147"/>
      <c r="MP191" s="147"/>
    </row>
    <row r="192" spans="349:354">
      <c r="MK192" s="147"/>
      <c r="ML192" s="147"/>
      <c r="MM192" s="147"/>
      <c r="MN192" s="147"/>
      <c r="MO192" s="147"/>
      <c r="MP192" s="147"/>
    </row>
    <row r="193" spans="349:354">
      <c r="MK193" s="147"/>
      <c r="ML193" s="147"/>
      <c r="MM193" s="147"/>
      <c r="MN193" s="147"/>
      <c r="MO193" s="147"/>
      <c r="MP193" s="147"/>
    </row>
    <row r="194" spans="349:354">
      <c r="MK194" s="147"/>
      <c r="ML194" s="147"/>
      <c r="MM194" s="147"/>
      <c r="MN194" s="147"/>
      <c r="MO194" s="147"/>
      <c r="MP194" s="147"/>
    </row>
    <row r="195" spans="349:354">
      <c r="MK195" s="147"/>
      <c r="ML195" s="147"/>
      <c r="MM195" s="147"/>
      <c r="MN195" s="147"/>
      <c r="MO195" s="147"/>
      <c r="MP195" s="147"/>
    </row>
    <row r="196" spans="349:354">
      <c r="MK196" s="147"/>
      <c r="ML196" s="147"/>
      <c r="MM196" s="147"/>
      <c r="MN196" s="147"/>
      <c r="MO196" s="147"/>
      <c r="MP196" s="147"/>
    </row>
    <row r="197" spans="349:354">
      <c r="MK197" s="147"/>
      <c r="ML197" s="147"/>
      <c r="MM197" s="147"/>
      <c r="MN197" s="147"/>
      <c r="MO197" s="147"/>
      <c r="MP197" s="147"/>
    </row>
    <row r="198" spans="349:354">
      <c r="MK198" s="147"/>
      <c r="ML198" s="147"/>
      <c r="MM198" s="147"/>
      <c r="MN198" s="147"/>
      <c r="MO198" s="147"/>
      <c r="MP198" s="147"/>
    </row>
    <row r="199" spans="349:354">
      <c r="MK199" s="147"/>
      <c r="ML199" s="147"/>
      <c r="MM199" s="147"/>
      <c r="MN199" s="147"/>
      <c r="MO199" s="147"/>
      <c r="MP199" s="147"/>
    </row>
    <row r="200" spans="349:354">
      <c r="MK200" s="147"/>
      <c r="ML200" s="147"/>
      <c r="MM200" s="147"/>
      <c r="MN200" s="147"/>
      <c r="MO200" s="147"/>
      <c r="MP200" s="147"/>
    </row>
    <row r="201" spans="349:354">
      <c r="MK201" s="147"/>
      <c r="ML201" s="147"/>
      <c r="MM201" s="147"/>
      <c r="MN201" s="147"/>
      <c r="MO201" s="147"/>
      <c r="MP201" s="147"/>
    </row>
    <row r="202" spans="349:354">
      <c r="MK202" s="147"/>
      <c r="ML202" s="147"/>
      <c r="MM202" s="147"/>
      <c r="MN202" s="147"/>
      <c r="MO202" s="147"/>
      <c r="MP202" s="147"/>
    </row>
    <row r="203" spans="349:354">
      <c r="MK203" s="147"/>
      <c r="ML203" s="147"/>
      <c r="MM203" s="147"/>
      <c r="MN203" s="147"/>
      <c r="MO203" s="147"/>
      <c r="MP203" s="147"/>
    </row>
    <row r="204" spans="349:354">
      <c r="MK204" s="147"/>
      <c r="ML204" s="147"/>
      <c r="MM204" s="147"/>
      <c r="MN204" s="147"/>
      <c r="MO204" s="147"/>
      <c r="MP204" s="147"/>
    </row>
    <row r="205" spans="349:354">
      <c r="MK205" s="147"/>
      <c r="ML205" s="147"/>
      <c r="MM205" s="147"/>
      <c r="MN205" s="147"/>
      <c r="MO205" s="147"/>
      <c r="MP205" s="147"/>
    </row>
    <row r="206" spans="349:354">
      <c r="MK206" s="147"/>
      <c r="ML206" s="147"/>
      <c r="MM206" s="147"/>
      <c r="MN206" s="147"/>
      <c r="MO206" s="147"/>
      <c r="MP206" s="147"/>
    </row>
    <row r="207" spans="349:354">
      <c r="MK207" s="147"/>
      <c r="ML207" s="147"/>
      <c r="MM207" s="147"/>
      <c r="MN207" s="147"/>
      <c r="MO207" s="147"/>
      <c r="MP207" s="147"/>
    </row>
    <row r="208" spans="349:354">
      <c r="MK208" s="147"/>
      <c r="ML208" s="147"/>
      <c r="MM208" s="147"/>
      <c r="MN208" s="147"/>
      <c r="MO208" s="147"/>
      <c r="MP208" s="147"/>
    </row>
    <row r="209" spans="349:354">
      <c r="MK209" s="147"/>
      <c r="ML209" s="147"/>
      <c r="MM209" s="147"/>
      <c r="MN209" s="147"/>
      <c r="MO209" s="147"/>
      <c r="MP209" s="147"/>
    </row>
    <row r="210" spans="349:354">
      <c r="MK210" s="147"/>
      <c r="ML210" s="147"/>
      <c r="MM210" s="147"/>
      <c r="MN210" s="147"/>
      <c r="MO210" s="147"/>
      <c r="MP210" s="147"/>
    </row>
    <row r="211" spans="349:354">
      <c r="MK211" s="147"/>
      <c r="ML211" s="147"/>
      <c r="MM211" s="147"/>
      <c r="MN211" s="147"/>
      <c r="MO211" s="147"/>
      <c r="MP211" s="147"/>
    </row>
    <row r="212" spans="349:354">
      <c r="MK212" s="147"/>
      <c r="ML212" s="147"/>
      <c r="MM212" s="147"/>
      <c r="MN212" s="147"/>
      <c r="MO212" s="147"/>
      <c r="MP212" s="147"/>
    </row>
    <row r="213" spans="349:354">
      <c r="MK213" s="147"/>
      <c r="ML213" s="147"/>
      <c r="MM213" s="147"/>
      <c r="MN213" s="147"/>
      <c r="MO213" s="147"/>
      <c r="MP213" s="147"/>
    </row>
    <row r="214" spans="349:354">
      <c r="MK214" s="147"/>
      <c r="ML214" s="147"/>
      <c r="MM214" s="147"/>
      <c r="MN214" s="147"/>
      <c r="MO214" s="147"/>
      <c r="MP214" s="147"/>
    </row>
    <row r="215" spans="349:354">
      <c r="MK215" s="147"/>
      <c r="ML215" s="147"/>
      <c r="MM215" s="147"/>
      <c r="MN215" s="147"/>
      <c r="MO215" s="147"/>
      <c r="MP215" s="147"/>
    </row>
    <row r="216" spans="349:354">
      <c r="MK216" s="147"/>
      <c r="ML216" s="147"/>
      <c r="MM216" s="147"/>
      <c r="MN216" s="147"/>
      <c r="MO216" s="147"/>
      <c r="MP216" s="147"/>
    </row>
    <row r="217" spans="349:354">
      <c r="MK217" s="147"/>
      <c r="ML217" s="147"/>
      <c r="MM217" s="147"/>
      <c r="MN217" s="147"/>
      <c r="MO217" s="147"/>
      <c r="MP217" s="147"/>
    </row>
    <row r="218" spans="349:354">
      <c r="MK218" s="147"/>
      <c r="ML218" s="147"/>
      <c r="MM218" s="147"/>
      <c r="MN218" s="147"/>
      <c r="MO218" s="147"/>
      <c r="MP218" s="147"/>
    </row>
    <row r="219" spans="349:354">
      <c r="MK219" s="147"/>
      <c r="ML219" s="147"/>
      <c r="MM219" s="147"/>
      <c r="MN219" s="147"/>
      <c r="MO219" s="147"/>
      <c r="MP219" s="147"/>
    </row>
    <row r="220" spans="349:354">
      <c r="MK220" s="147"/>
      <c r="ML220" s="147"/>
      <c r="MM220" s="147"/>
      <c r="MN220" s="147"/>
      <c r="MO220" s="147"/>
      <c r="MP220" s="147"/>
    </row>
    <row r="221" spans="349:354">
      <c r="MK221" s="147"/>
      <c r="ML221" s="147"/>
      <c r="MM221" s="147"/>
      <c r="MN221" s="147"/>
      <c r="MO221" s="147"/>
      <c r="MP221" s="147"/>
    </row>
    <row r="222" spans="349:354">
      <c r="MK222" s="147"/>
      <c r="ML222" s="147"/>
      <c r="MM222" s="147"/>
      <c r="MN222" s="147"/>
      <c r="MO222" s="147"/>
      <c r="MP222" s="147"/>
    </row>
    <row r="223" spans="349:354">
      <c r="MK223" s="147"/>
      <c r="ML223" s="147"/>
      <c r="MM223" s="147"/>
      <c r="MN223" s="147"/>
      <c r="MO223" s="147"/>
      <c r="MP223" s="147"/>
    </row>
    <row r="224" spans="349:354">
      <c r="MK224" s="147"/>
      <c r="ML224" s="147"/>
      <c r="MM224" s="147"/>
      <c r="MN224" s="147"/>
      <c r="MO224" s="147"/>
      <c r="MP224" s="147"/>
    </row>
    <row r="225" spans="349:354">
      <c r="MK225" s="147"/>
      <c r="ML225" s="147"/>
      <c r="MM225" s="147"/>
      <c r="MN225" s="147"/>
      <c r="MO225" s="147"/>
      <c r="MP225" s="147"/>
    </row>
    <row r="226" spans="349:354">
      <c r="MK226" s="147"/>
      <c r="ML226" s="147"/>
      <c r="MM226" s="147"/>
      <c r="MN226" s="147"/>
      <c r="MO226" s="147"/>
      <c r="MP226" s="147"/>
    </row>
    <row r="227" spans="349:354">
      <c r="MK227" s="147"/>
      <c r="ML227" s="147"/>
      <c r="MM227" s="147"/>
      <c r="MN227" s="147"/>
      <c r="MO227" s="147"/>
      <c r="MP227" s="147"/>
    </row>
    <row r="228" spans="349:354">
      <c r="MK228" s="147"/>
      <c r="ML228" s="147"/>
      <c r="MM228" s="147"/>
      <c r="MN228" s="147"/>
      <c r="MO228" s="147"/>
      <c r="MP228" s="147"/>
    </row>
    <row r="229" spans="349:354">
      <c r="MK229" s="147"/>
      <c r="ML229" s="147"/>
      <c r="MM229" s="147"/>
      <c r="MN229" s="147"/>
      <c r="MO229" s="147"/>
      <c r="MP229" s="147"/>
    </row>
    <row r="230" spans="349:354">
      <c r="MK230" s="147"/>
      <c r="ML230" s="147"/>
      <c r="MM230" s="147"/>
      <c r="MN230" s="147"/>
      <c r="MO230" s="147"/>
      <c r="MP230" s="147"/>
    </row>
    <row r="231" spans="349:354">
      <c r="MK231" s="147"/>
      <c r="ML231" s="147"/>
      <c r="MM231" s="147"/>
      <c r="MN231" s="147"/>
      <c r="MO231" s="147"/>
      <c r="MP231" s="147"/>
    </row>
    <row r="232" spans="349:354">
      <c r="MK232" s="147"/>
      <c r="ML232" s="147"/>
      <c r="MM232" s="147"/>
      <c r="MN232" s="147"/>
      <c r="MO232" s="147"/>
      <c r="MP232" s="147"/>
    </row>
    <row r="233" spans="349:354">
      <c r="MK233" s="147"/>
      <c r="ML233" s="147"/>
      <c r="MM233" s="147"/>
      <c r="MN233" s="147"/>
      <c r="MO233" s="147"/>
      <c r="MP233" s="147"/>
    </row>
    <row r="234" spans="349:354">
      <c r="MK234" s="147"/>
      <c r="ML234" s="147"/>
      <c r="MM234" s="147"/>
      <c r="MN234" s="147"/>
      <c r="MO234" s="147"/>
      <c r="MP234" s="147"/>
    </row>
    <row r="235" spans="349:354">
      <c r="MK235" s="147"/>
      <c r="ML235" s="147"/>
      <c r="MM235" s="147"/>
      <c r="MN235" s="147"/>
      <c r="MO235" s="147"/>
      <c r="MP235" s="147"/>
    </row>
    <row r="236" spans="349:354">
      <c r="MK236" s="147"/>
      <c r="ML236" s="147"/>
      <c r="MM236" s="147"/>
      <c r="MN236" s="147"/>
      <c r="MO236" s="147"/>
      <c r="MP236" s="147"/>
    </row>
    <row r="237" spans="349:354">
      <c r="MK237" s="147"/>
      <c r="ML237" s="147"/>
      <c r="MM237" s="147"/>
      <c r="MN237" s="147"/>
      <c r="MO237" s="147"/>
      <c r="MP237" s="147"/>
    </row>
    <row r="238" spans="349:354">
      <c r="MK238" s="147"/>
      <c r="ML238" s="147"/>
      <c r="MM238" s="147"/>
      <c r="MN238" s="147"/>
      <c r="MO238" s="147"/>
      <c r="MP238" s="147"/>
    </row>
    <row r="239" spans="349:354">
      <c r="MK239" s="147"/>
      <c r="ML239" s="147"/>
      <c r="MM239" s="147"/>
      <c r="MN239" s="147"/>
      <c r="MO239" s="147"/>
      <c r="MP239" s="147"/>
    </row>
    <row r="240" spans="349:354">
      <c r="MK240" s="147"/>
      <c r="ML240" s="147"/>
      <c r="MM240" s="147"/>
      <c r="MN240" s="147"/>
      <c r="MO240" s="147"/>
      <c r="MP240" s="147"/>
    </row>
    <row r="241" spans="349:354">
      <c r="MK241" s="147"/>
      <c r="ML241" s="147"/>
      <c r="MM241" s="147"/>
      <c r="MN241" s="147"/>
      <c r="MO241" s="147"/>
      <c r="MP241" s="147"/>
    </row>
    <row r="242" spans="349:354">
      <c r="MK242" s="147"/>
      <c r="ML242" s="147"/>
      <c r="MM242" s="147"/>
      <c r="MN242" s="147"/>
      <c r="MO242" s="147"/>
      <c r="MP242" s="147"/>
    </row>
    <row r="243" spans="349:354">
      <c r="MK243" s="147"/>
      <c r="ML243" s="147"/>
      <c r="MM243" s="147"/>
      <c r="MN243" s="147"/>
      <c r="MO243" s="147"/>
      <c r="MP243" s="147"/>
    </row>
    <row r="244" spans="349:354">
      <c r="MK244" s="147"/>
      <c r="ML244" s="147"/>
      <c r="MM244" s="147"/>
      <c r="MN244" s="147"/>
      <c r="MO244" s="147"/>
      <c r="MP244" s="147"/>
    </row>
    <row r="245" spans="349:354">
      <c r="MK245" s="147"/>
      <c r="ML245" s="147"/>
      <c r="MM245" s="147"/>
      <c r="MN245" s="147"/>
      <c r="MO245" s="147"/>
      <c r="MP245" s="147"/>
    </row>
    <row r="246" spans="349:354">
      <c r="MK246" s="147"/>
      <c r="ML246" s="147"/>
      <c r="MM246" s="147"/>
      <c r="MN246" s="147"/>
      <c r="MO246" s="147"/>
      <c r="MP246" s="147"/>
    </row>
    <row r="247" spans="349:354">
      <c r="MK247" s="147"/>
      <c r="ML247" s="147"/>
      <c r="MM247" s="147"/>
      <c r="MN247" s="147"/>
      <c r="MO247" s="147"/>
      <c r="MP247" s="147"/>
    </row>
    <row r="248" spans="349:354">
      <c r="MK248" s="147"/>
      <c r="ML248" s="147"/>
      <c r="MM248" s="147"/>
      <c r="MN248" s="147"/>
      <c r="MO248" s="147"/>
      <c r="MP248" s="147"/>
    </row>
    <row r="249" spans="349:354">
      <c r="MK249" s="147"/>
      <c r="ML249" s="147"/>
      <c r="MM249" s="147"/>
      <c r="MN249" s="147"/>
      <c r="MO249" s="147"/>
      <c r="MP249" s="147"/>
    </row>
    <row r="250" spans="349:354">
      <c r="MK250" s="147"/>
      <c r="ML250" s="147"/>
      <c r="MM250" s="147"/>
      <c r="MN250" s="147"/>
      <c r="MO250" s="147"/>
      <c r="MP250" s="147"/>
    </row>
    <row r="251" spans="349:354">
      <c r="MK251" s="147"/>
      <c r="ML251" s="147"/>
      <c r="MM251" s="147"/>
      <c r="MN251" s="147"/>
      <c r="MO251" s="147"/>
      <c r="MP251" s="147"/>
    </row>
    <row r="252" spans="349:354">
      <c r="MK252" s="147"/>
      <c r="ML252" s="147"/>
      <c r="MM252" s="147"/>
      <c r="MN252" s="147"/>
      <c r="MO252" s="147"/>
      <c r="MP252" s="147"/>
    </row>
    <row r="253" spans="349:354">
      <c r="MK253" s="147"/>
      <c r="ML253" s="147"/>
      <c r="MM253" s="147"/>
      <c r="MN253" s="147"/>
      <c r="MO253" s="147"/>
      <c r="MP253" s="147"/>
    </row>
    <row r="254" spans="349:354">
      <c r="MK254" s="147"/>
      <c r="ML254" s="147"/>
      <c r="MM254" s="147"/>
      <c r="MN254" s="147"/>
      <c r="MO254" s="147"/>
      <c r="MP254" s="147"/>
    </row>
    <row r="255" spans="349:354">
      <c r="MK255" s="147"/>
      <c r="ML255" s="147"/>
      <c r="MM255" s="147"/>
      <c r="MN255" s="147"/>
      <c r="MO255" s="147"/>
      <c r="MP255" s="147"/>
    </row>
    <row r="256" spans="349:354">
      <c r="MK256" s="147"/>
      <c r="ML256" s="147"/>
      <c r="MM256" s="147"/>
      <c r="MN256" s="147"/>
      <c r="MO256" s="147"/>
      <c r="MP256" s="147"/>
    </row>
    <row r="257" spans="349:354">
      <c r="MK257" s="147"/>
      <c r="ML257" s="147"/>
      <c r="MM257" s="147"/>
      <c r="MN257" s="147"/>
      <c r="MO257" s="147"/>
      <c r="MP257" s="147"/>
    </row>
    <row r="258" spans="349:354">
      <c r="MK258" s="147"/>
      <c r="ML258" s="147"/>
      <c r="MM258" s="147"/>
      <c r="MN258" s="147"/>
      <c r="MO258" s="147"/>
      <c r="MP258" s="147"/>
    </row>
    <row r="259" spans="349:354">
      <c r="MK259" s="147"/>
      <c r="ML259" s="147"/>
      <c r="MM259" s="147"/>
      <c r="MN259" s="147"/>
      <c r="MO259" s="147"/>
      <c r="MP259" s="147"/>
    </row>
    <row r="260" spans="349:354">
      <c r="MK260" s="147"/>
      <c r="ML260" s="147"/>
      <c r="MM260" s="147"/>
      <c r="MN260" s="147"/>
      <c r="MO260" s="147"/>
      <c r="MP260" s="147"/>
    </row>
    <row r="261" spans="349:354">
      <c r="MK261" s="147"/>
      <c r="ML261" s="147"/>
      <c r="MM261" s="147"/>
      <c r="MN261" s="147"/>
      <c r="MO261" s="147"/>
      <c r="MP261" s="147"/>
    </row>
    <row r="262" spans="349:354">
      <c r="MK262" s="147"/>
      <c r="ML262" s="147"/>
      <c r="MM262" s="147"/>
      <c r="MN262" s="147"/>
      <c r="MO262" s="147"/>
      <c r="MP262" s="147"/>
    </row>
    <row r="263" spans="349:354">
      <c r="MK263" s="147"/>
      <c r="ML263" s="147"/>
      <c r="MM263" s="147"/>
      <c r="MN263" s="147"/>
      <c r="MO263" s="147"/>
      <c r="MP263" s="147"/>
    </row>
    <row r="264" spans="349:354">
      <c r="MK264" s="147"/>
      <c r="ML264" s="147"/>
      <c r="MM264" s="147"/>
      <c r="MN264" s="147"/>
      <c r="MO264" s="147"/>
      <c r="MP264" s="147"/>
    </row>
    <row r="265" spans="349:354">
      <c r="MK265" s="147"/>
      <c r="ML265" s="147"/>
      <c r="MM265" s="147"/>
      <c r="MN265" s="147"/>
      <c r="MO265" s="147"/>
      <c r="MP265" s="147"/>
    </row>
    <row r="266" spans="349:354">
      <c r="MK266" s="147"/>
      <c r="ML266" s="147"/>
      <c r="MM266" s="147"/>
      <c r="MN266" s="147"/>
      <c r="MO266" s="147"/>
      <c r="MP266" s="147"/>
    </row>
    <row r="267" spans="349:354">
      <c r="MK267" s="147"/>
      <c r="ML267" s="147"/>
      <c r="MM267" s="147"/>
      <c r="MN267" s="147"/>
      <c r="MO267" s="147"/>
      <c r="MP267" s="147"/>
    </row>
    <row r="268" spans="349:354">
      <c r="MK268" s="147"/>
      <c r="ML268" s="147"/>
      <c r="MM268" s="147"/>
      <c r="MN268" s="147"/>
      <c r="MO268" s="147"/>
      <c r="MP268" s="147"/>
    </row>
    <row r="269" spans="349:354">
      <c r="MK269" s="147"/>
      <c r="ML269" s="147"/>
      <c r="MM269" s="147"/>
      <c r="MN269" s="147"/>
      <c r="MO269" s="147"/>
      <c r="MP269" s="147"/>
    </row>
    <row r="270" spans="349:354">
      <c r="MK270" s="147"/>
      <c r="ML270" s="147"/>
      <c r="MM270" s="147"/>
      <c r="MN270" s="147"/>
      <c r="MO270" s="147"/>
      <c r="MP270" s="147"/>
    </row>
    <row r="271" spans="349:354">
      <c r="MK271" s="147"/>
      <c r="ML271" s="147"/>
      <c r="MM271" s="147"/>
      <c r="MN271" s="147"/>
      <c r="MO271" s="147"/>
      <c r="MP271" s="147"/>
    </row>
    <row r="272" spans="349:354">
      <c r="MK272" s="147"/>
      <c r="ML272" s="147"/>
      <c r="MM272" s="147"/>
      <c r="MN272" s="147"/>
      <c r="MO272" s="147"/>
      <c r="MP272" s="147"/>
    </row>
    <row r="273" spans="349:354">
      <c r="MK273" s="147"/>
      <c r="ML273" s="147"/>
      <c r="MM273" s="147"/>
      <c r="MN273" s="147"/>
      <c r="MO273" s="147"/>
      <c r="MP273" s="147"/>
    </row>
    <row r="274" spans="349:354">
      <c r="MK274" s="147"/>
      <c r="ML274" s="147"/>
      <c r="MM274" s="147"/>
      <c r="MN274" s="147"/>
      <c r="MO274" s="147"/>
      <c r="MP274" s="147"/>
    </row>
    <row r="275" spans="349:354">
      <c r="MK275" s="147"/>
      <c r="ML275" s="147"/>
      <c r="MM275" s="147"/>
      <c r="MN275" s="147"/>
      <c r="MO275" s="147"/>
      <c r="MP275" s="147"/>
    </row>
    <row r="276" spans="349:354">
      <c r="MK276" s="147"/>
      <c r="ML276" s="147"/>
      <c r="MM276" s="147"/>
      <c r="MN276" s="147"/>
      <c r="MO276" s="147"/>
      <c r="MP276" s="147"/>
    </row>
    <row r="277" spans="349:354">
      <c r="MK277" s="147"/>
      <c r="ML277" s="147"/>
      <c r="MM277" s="147"/>
      <c r="MN277" s="147"/>
      <c r="MO277" s="147"/>
      <c r="MP277" s="147"/>
    </row>
    <row r="278" spans="349:354">
      <c r="MK278" s="147"/>
      <c r="ML278" s="147"/>
      <c r="MM278" s="147"/>
      <c r="MN278" s="147"/>
      <c r="MO278" s="147"/>
      <c r="MP278" s="147"/>
    </row>
    <row r="279" spans="349:354">
      <c r="MK279" s="147"/>
      <c r="ML279" s="147"/>
      <c r="MM279" s="147"/>
      <c r="MN279" s="147"/>
      <c r="MO279" s="147"/>
      <c r="MP279" s="147"/>
    </row>
    <row r="280" spans="349:354">
      <c r="MK280" s="147"/>
      <c r="ML280" s="147"/>
      <c r="MM280" s="147"/>
      <c r="MN280" s="147"/>
      <c r="MO280" s="147"/>
      <c r="MP280" s="147"/>
    </row>
    <row r="281" spans="349:354">
      <c r="MK281" s="147"/>
      <c r="ML281" s="147"/>
      <c r="MM281" s="147"/>
      <c r="MN281" s="147"/>
      <c r="MO281" s="147"/>
      <c r="MP281" s="147"/>
    </row>
    <row r="282" spans="349:354">
      <c r="MK282" s="147"/>
      <c r="ML282" s="147"/>
      <c r="MM282" s="147"/>
      <c r="MN282" s="147"/>
      <c r="MO282" s="147"/>
      <c r="MP282" s="147"/>
    </row>
    <row r="283" spans="349:354">
      <c r="MK283" s="147"/>
      <c r="ML283" s="147"/>
      <c r="MM283" s="147"/>
      <c r="MN283" s="147"/>
      <c r="MO283" s="147"/>
      <c r="MP283" s="147"/>
    </row>
    <row r="284" spans="349:354">
      <c r="MK284" s="147"/>
      <c r="ML284" s="147"/>
      <c r="MM284" s="147"/>
      <c r="MN284" s="147"/>
      <c r="MO284" s="147"/>
      <c r="MP284" s="147"/>
    </row>
    <row r="285" spans="349:354">
      <c r="MK285" s="147"/>
      <c r="ML285" s="147"/>
      <c r="MM285" s="147"/>
      <c r="MN285" s="147"/>
      <c r="MO285" s="147"/>
      <c r="MP285" s="147"/>
    </row>
    <row r="286" spans="349:354">
      <c r="MK286" s="147"/>
      <c r="ML286" s="147"/>
      <c r="MM286" s="147"/>
      <c r="MN286" s="147"/>
      <c r="MO286" s="147"/>
      <c r="MP286" s="147"/>
    </row>
    <row r="287" spans="349:354">
      <c r="MK287" s="147"/>
      <c r="ML287" s="147"/>
      <c r="MM287" s="147"/>
      <c r="MN287" s="147"/>
      <c r="MO287" s="147"/>
      <c r="MP287" s="147"/>
    </row>
    <row r="288" spans="349:354">
      <c r="MK288" s="147"/>
      <c r="ML288" s="147"/>
      <c r="MM288" s="147"/>
      <c r="MN288" s="147"/>
      <c r="MO288" s="147"/>
      <c r="MP288" s="147"/>
    </row>
    <row r="289" spans="349:354">
      <c r="MK289" s="147"/>
      <c r="ML289" s="147"/>
      <c r="MM289" s="147"/>
      <c r="MN289" s="147"/>
      <c r="MO289" s="147"/>
      <c r="MP289" s="147"/>
    </row>
    <row r="290" spans="349:354">
      <c r="MK290" s="147"/>
      <c r="ML290" s="147"/>
      <c r="MM290" s="147"/>
      <c r="MN290" s="147"/>
      <c r="MO290" s="147"/>
      <c r="MP290" s="147"/>
    </row>
    <row r="291" spans="349:354">
      <c r="MK291" s="147"/>
      <c r="ML291" s="147"/>
      <c r="MM291" s="147"/>
      <c r="MN291" s="147"/>
      <c r="MO291" s="147"/>
      <c r="MP291" s="147"/>
    </row>
    <row r="292" spans="349:354">
      <c r="MK292" s="147"/>
      <c r="ML292" s="147"/>
      <c r="MM292" s="147"/>
      <c r="MN292" s="147"/>
      <c r="MO292" s="147"/>
      <c r="MP292" s="147"/>
    </row>
    <row r="293" spans="349:354">
      <c r="MK293" s="147"/>
      <c r="ML293" s="147"/>
      <c r="MM293" s="147"/>
      <c r="MN293" s="147"/>
      <c r="MO293" s="147"/>
      <c r="MP293" s="147"/>
    </row>
    <row r="294" spans="349:354">
      <c r="MK294" s="147"/>
      <c r="ML294" s="147"/>
      <c r="MM294" s="147"/>
      <c r="MN294" s="147"/>
      <c r="MO294" s="147"/>
      <c r="MP294" s="147"/>
    </row>
    <row r="295" spans="349:354">
      <c r="MK295" s="147"/>
      <c r="ML295" s="147"/>
      <c r="MM295" s="147"/>
      <c r="MN295" s="147"/>
      <c r="MO295" s="147"/>
      <c r="MP295" s="147"/>
    </row>
    <row r="296" spans="349:354">
      <c r="MK296" s="147"/>
      <c r="ML296" s="147"/>
      <c r="MM296" s="147"/>
      <c r="MN296" s="147"/>
      <c r="MO296" s="147"/>
      <c r="MP296" s="147"/>
    </row>
    <row r="297" spans="349:354">
      <c r="MK297" s="147"/>
      <c r="ML297" s="147"/>
      <c r="MM297" s="147"/>
      <c r="MN297" s="147"/>
      <c r="MO297" s="147"/>
      <c r="MP297" s="147"/>
    </row>
    <row r="298" spans="349:354">
      <c r="MK298" s="147"/>
      <c r="ML298" s="147"/>
      <c r="MM298" s="147"/>
      <c r="MN298" s="147"/>
      <c r="MO298" s="147"/>
      <c r="MP298" s="147"/>
    </row>
    <row r="299" spans="349:354">
      <c r="MK299" s="147"/>
      <c r="ML299" s="147"/>
      <c r="MM299" s="147"/>
      <c r="MN299" s="147"/>
      <c r="MO299" s="147"/>
      <c r="MP299" s="147"/>
    </row>
    <row r="300" spans="349:354">
      <c r="MK300" s="147"/>
      <c r="ML300" s="147"/>
      <c r="MM300" s="147"/>
      <c r="MN300" s="147"/>
      <c r="MO300" s="147"/>
      <c r="MP300" s="147"/>
    </row>
    <row r="301" spans="349:354">
      <c r="MK301" s="147"/>
      <c r="ML301" s="147"/>
      <c r="MM301" s="147"/>
      <c r="MN301" s="147"/>
      <c r="MO301" s="147"/>
      <c r="MP301" s="147"/>
    </row>
    <row r="302" spans="349:354">
      <c r="MK302" s="147"/>
      <c r="ML302" s="147"/>
      <c r="MM302" s="147"/>
      <c r="MN302" s="147"/>
      <c r="MO302" s="147"/>
      <c r="MP302" s="147"/>
    </row>
    <row r="303" spans="349:354">
      <c r="MK303" s="147"/>
      <c r="ML303" s="147"/>
      <c r="MM303" s="147"/>
      <c r="MN303" s="147"/>
      <c r="MO303" s="147"/>
      <c r="MP303" s="147"/>
    </row>
    <row r="304" spans="349:354">
      <c r="MK304" s="147"/>
      <c r="ML304" s="147"/>
      <c r="MM304" s="147"/>
      <c r="MN304" s="147"/>
      <c r="MO304" s="147"/>
      <c r="MP304" s="147"/>
    </row>
    <row r="305" spans="349:354">
      <c r="MK305" s="147"/>
      <c r="ML305" s="147"/>
      <c r="MM305" s="147"/>
      <c r="MN305" s="147"/>
      <c r="MO305" s="147"/>
      <c r="MP305" s="147"/>
    </row>
    <row r="306" spans="349:354">
      <c r="MK306" s="147"/>
      <c r="ML306" s="147"/>
      <c r="MM306" s="147"/>
      <c r="MN306" s="147"/>
      <c r="MO306" s="147"/>
      <c r="MP306" s="147"/>
    </row>
    <row r="307" spans="349:354">
      <c r="MK307" s="147"/>
      <c r="ML307" s="147"/>
      <c r="MM307" s="147"/>
      <c r="MN307" s="147"/>
      <c r="MO307" s="147"/>
      <c r="MP307" s="147"/>
    </row>
    <row r="308" spans="349:354">
      <c r="MK308" s="147"/>
      <c r="ML308" s="147"/>
      <c r="MM308" s="147"/>
      <c r="MN308" s="147"/>
      <c r="MO308" s="147"/>
      <c r="MP308" s="147"/>
    </row>
    <row r="309" spans="349:354">
      <c r="MK309" s="147"/>
      <c r="ML309" s="147"/>
      <c r="MM309" s="147"/>
      <c r="MN309" s="147"/>
      <c r="MO309" s="147"/>
      <c r="MP309" s="147"/>
    </row>
    <row r="310" spans="349:354">
      <c r="MK310" s="147"/>
      <c r="ML310" s="147"/>
      <c r="MM310" s="147"/>
      <c r="MN310" s="147"/>
      <c r="MO310" s="147"/>
      <c r="MP310" s="147"/>
    </row>
    <row r="311" spans="349:354">
      <c r="MK311" s="147"/>
      <c r="ML311" s="147"/>
      <c r="MM311" s="147"/>
      <c r="MN311" s="147"/>
      <c r="MO311" s="147"/>
      <c r="MP311" s="147"/>
    </row>
    <row r="312" spans="349:354">
      <c r="MK312" s="147"/>
      <c r="ML312" s="147"/>
      <c r="MM312" s="147"/>
      <c r="MN312" s="147"/>
      <c r="MO312" s="147"/>
      <c r="MP312" s="147"/>
    </row>
    <row r="313" spans="349:354">
      <c r="MK313" s="147"/>
      <c r="ML313" s="147"/>
      <c r="MM313" s="147"/>
      <c r="MN313" s="147"/>
      <c r="MO313" s="147"/>
      <c r="MP313" s="147"/>
    </row>
    <row r="314" spans="349:354">
      <c r="MK314" s="147"/>
      <c r="ML314" s="147"/>
      <c r="MM314" s="147"/>
      <c r="MN314" s="147"/>
      <c r="MO314" s="147"/>
      <c r="MP314" s="147"/>
    </row>
    <row r="315" spans="349:354">
      <c r="MK315" s="147"/>
      <c r="ML315" s="147"/>
      <c r="MM315" s="147"/>
      <c r="MN315" s="147"/>
      <c r="MO315" s="147"/>
      <c r="MP315" s="147"/>
    </row>
    <row r="316" spans="349:354">
      <c r="MK316" s="147"/>
      <c r="ML316" s="147"/>
      <c r="MM316" s="147"/>
      <c r="MN316" s="147"/>
      <c r="MO316" s="147"/>
      <c r="MP316" s="147"/>
    </row>
    <row r="317" spans="349:354">
      <c r="MK317" s="147"/>
      <c r="ML317" s="147"/>
      <c r="MM317" s="147"/>
      <c r="MN317" s="147"/>
      <c r="MO317" s="147"/>
      <c r="MP317" s="147"/>
    </row>
    <row r="318" spans="349:354">
      <c r="MK318" s="147"/>
      <c r="ML318" s="147"/>
      <c r="MM318" s="147"/>
      <c r="MN318" s="147"/>
      <c r="MO318" s="147"/>
      <c r="MP318" s="147"/>
    </row>
    <row r="319" spans="349:354">
      <c r="MK319" s="147"/>
      <c r="ML319" s="147"/>
      <c r="MM319" s="147"/>
      <c r="MN319" s="147"/>
      <c r="MO319" s="147"/>
      <c r="MP319" s="147"/>
    </row>
    <row r="320" spans="349:354">
      <c r="MK320" s="147"/>
      <c r="ML320" s="147"/>
      <c r="MM320" s="147"/>
      <c r="MN320" s="147"/>
      <c r="MO320" s="147"/>
      <c r="MP320" s="147"/>
    </row>
    <row r="321" spans="349:354">
      <c r="MK321" s="147"/>
      <c r="ML321" s="147"/>
      <c r="MM321" s="147"/>
      <c r="MN321" s="147"/>
      <c r="MO321" s="147"/>
      <c r="MP321" s="147"/>
    </row>
    <row r="322" spans="349:354">
      <c r="MK322" s="147"/>
      <c r="ML322" s="147"/>
      <c r="MM322" s="147"/>
      <c r="MN322" s="147"/>
      <c r="MO322" s="147"/>
      <c r="MP322" s="147"/>
    </row>
    <row r="323" spans="349:354">
      <c r="MK323" s="147"/>
      <c r="ML323" s="147"/>
      <c r="MM323" s="147"/>
      <c r="MN323" s="147"/>
      <c r="MO323" s="147"/>
      <c r="MP323" s="147"/>
    </row>
    <row r="324" spans="349:354">
      <c r="MK324" s="147"/>
      <c r="ML324" s="147"/>
      <c r="MM324" s="147"/>
      <c r="MN324" s="147"/>
      <c r="MO324" s="147"/>
      <c r="MP324" s="147"/>
    </row>
    <row r="325" spans="349:354">
      <c r="MK325" s="147"/>
      <c r="ML325" s="147"/>
      <c r="MM325" s="147"/>
      <c r="MN325" s="147"/>
      <c r="MO325" s="147"/>
      <c r="MP325" s="147"/>
    </row>
    <row r="326" spans="349:354">
      <c r="MK326" s="147"/>
      <c r="ML326" s="147"/>
      <c r="MM326" s="147"/>
      <c r="MN326" s="147"/>
      <c r="MO326" s="147"/>
      <c r="MP326" s="147"/>
    </row>
    <row r="327" spans="349:354">
      <c r="MK327" s="147"/>
      <c r="ML327" s="147"/>
      <c r="MM327" s="147"/>
      <c r="MN327" s="147"/>
      <c r="MO327" s="147"/>
      <c r="MP327" s="147"/>
    </row>
    <row r="328" spans="349:354">
      <c r="MK328" s="147"/>
      <c r="ML328" s="147"/>
      <c r="MM328" s="147"/>
      <c r="MN328" s="147"/>
      <c r="MO328" s="147"/>
      <c r="MP328" s="147"/>
    </row>
    <row r="329" spans="349:354">
      <c r="MK329" s="147"/>
      <c r="ML329" s="147"/>
      <c r="MM329" s="147"/>
      <c r="MN329" s="147"/>
      <c r="MO329" s="147"/>
      <c r="MP329" s="147"/>
    </row>
    <row r="330" spans="349:354">
      <c r="MK330" s="147"/>
      <c r="ML330" s="147"/>
      <c r="MM330" s="147"/>
      <c r="MN330" s="147"/>
      <c r="MO330" s="147"/>
      <c r="MP330" s="147"/>
    </row>
    <row r="331" spans="349:354">
      <c r="MK331" s="147"/>
      <c r="ML331" s="147"/>
      <c r="MM331" s="147"/>
      <c r="MN331" s="147"/>
      <c r="MO331" s="147"/>
      <c r="MP331" s="147"/>
    </row>
    <row r="332" spans="349:354">
      <c r="MK332" s="147"/>
      <c r="ML332" s="147"/>
      <c r="MM332" s="147"/>
      <c r="MN332" s="147"/>
      <c r="MO332" s="147"/>
      <c r="MP332" s="147"/>
    </row>
    <row r="333" spans="349:354">
      <c r="MK333" s="147"/>
      <c r="ML333" s="147"/>
      <c r="MM333" s="147"/>
      <c r="MN333" s="147"/>
      <c r="MO333" s="147"/>
      <c r="MP333" s="147"/>
    </row>
    <row r="334" spans="349:354">
      <c r="MK334" s="147"/>
      <c r="ML334" s="147"/>
      <c r="MM334" s="147"/>
      <c r="MN334" s="147"/>
      <c r="MO334" s="147"/>
      <c r="MP334" s="147"/>
    </row>
    <row r="335" spans="349:354">
      <c r="MK335" s="147"/>
      <c r="ML335" s="147"/>
      <c r="MM335" s="147"/>
      <c r="MN335" s="147"/>
      <c r="MO335" s="147"/>
      <c r="MP335" s="147"/>
    </row>
    <row r="336" spans="349:354">
      <c r="MK336" s="147"/>
      <c r="ML336" s="147"/>
      <c r="MM336" s="147"/>
      <c r="MN336" s="147"/>
      <c r="MO336" s="147"/>
      <c r="MP336" s="147"/>
    </row>
    <row r="337" spans="349:354">
      <c r="MK337" s="147"/>
      <c r="ML337" s="147"/>
      <c r="MM337" s="147"/>
      <c r="MN337" s="147"/>
      <c r="MO337" s="147"/>
      <c r="MP337" s="147"/>
    </row>
    <row r="338" spans="349:354">
      <c r="MK338" s="147"/>
      <c r="ML338" s="147"/>
      <c r="MM338" s="147"/>
      <c r="MN338" s="147"/>
      <c r="MO338" s="147"/>
      <c r="MP338" s="147"/>
    </row>
    <row r="339" spans="349:354">
      <c r="MK339" s="147"/>
      <c r="ML339" s="147"/>
      <c r="MM339" s="147"/>
      <c r="MN339" s="147"/>
      <c r="MO339" s="147"/>
      <c r="MP339" s="147"/>
    </row>
    <row r="340" spans="349:354">
      <c r="MK340" s="147"/>
      <c r="ML340" s="147"/>
      <c r="MM340" s="147"/>
      <c r="MN340" s="147"/>
      <c r="MO340" s="147"/>
      <c r="MP340" s="147"/>
    </row>
    <row r="341" spans="349:354">
      <c r="MK341" s="147"/>
      <c r="ML341" s="147"/>
      <c r="MM341" s="147"/>
      <c r="MN341" s="147"/>
      <c r="MO341" s="147"/>
      <c r="MP341" s="147"/>
    </row>
    <row r="342" spans="349:354">
      <c r="MK342" s="147"/>
      <c r="ML342" s="147"/>
      <c r="MM342" s="147"/>
      <c r="MN342" s="147"/>
      <c r="MO342" s="147"/>
      <c r="MP342" s="147"/>
    </row>
    <row r="343" spans="349:354">
      <c r="MK343" s="147"/>
      <c r="ML343" s="147"/>
      <c r="MM343" s="147"/>
      <c r="MN343" s="147"/>
      <c r="MO343" s="147"/>
      <c r="MP343" s="147"/>
    </row>
    <row r="344" spans="349:354">
      <c r="MK344" s="147"/>
      <c r="ML344" s="147"/>
      <c r="MM344" s="147"/>
      <c r="MN344" s="147"/>
      <c r="MO344" s="147"/>
      <c r="MP344" s="147"/>
    </row>
    <row r="345" spans="349:354">
      <c r="MK345" s="147"/>
      <c r="ML345" s="147"/>
      <c r="MM345" s="147"/>
      <c r="MN345" s="147"/>
      <c r="MO345" s="147"/>
      <c r="MP345" s="147"/>
    </row>
    <row r="346" spans="349:354">
      <c r="MK346" s="147"/>
      <c r="ML346" s="147"/>
      <c r="MM346" s="147"/>
      <c r="MN346" s="147"/>
      <c r="MO346" s="147"/>
      <c r="MP346" s="147"/>
    </row>
    <row r="347" spans="349:354">
      <c r="MK347" s="147"/>
      <c r="ML347" s="147"/>
      <c r="MM347" s="147"/>
      <c r="MN347" s="147"/>
      <c r="MO347" s="147"/>
      <c r="MP347" s="147"/>
    </row>
    <row r="348" spans="349:354">
      <c r="MK348" s="147"/>
      <c r="ML348" s="147"/>
      <c r="MM348" s="147"/>
      <c r="MN348" s="147"/>
      <c r="MO348" s="147"/>
      <c r="MP348" s="147"/>
    </row>
    <row r="349" spans="349:354">
      <c r="MK349" s="147"/>
      <c r="ML349" s="147"/>
      <c r="MM349" s="147"/>
      <c r="MN349" s="147"/>
      <c r="MO349" s="147"/>
      <c r="MP349" s="147"/>
    </row>
    <row r="350" spans="349:354">
      <c r="MK350" s="147"/>
      <c r="ML350" s="147"/>
      <c r="MM350" s="147"/>
      <c r="MN350" s="147"/>
      <c r="MO350" s="147"/>
      <c r="MP350" s="147"/>
    </row>
    <row r="351" spans="349:354">
      <c r="MK351" s="147"/>
      <c r="ML351" s="147"/>
      <c r="MM351" s="147"/>
      <c r="MN351" s="147"/>
      <c r="MO351" s="147"/>
      <c r="MP351" s="147"/>
    </row>
    <row r="352" spans="349:354">
      <c r="MK352" s="147"/>
      <c r="ML352" s="147"/>
      <c r="MM352" s="147"/>
      <c r="MN352" s="147"/>
      <c r="MO352" s="147"/>
      <c r="MP352" s="147"/>
    </row>
    <row r="353" spans="349:354">
      <c r="MK353" s="147"/>
      <c r="ML353" s="147"/>
      <c r="MM353" s="147"/>
      <c r="MN353" s="147"/>
      <c r="MO353" s="147"/>
      <c r="MP353" s="147"/>
    </row>
    <row r="354" spans="349:354">
      <c r="MK354" s="147"/>
      <c r="ML354" s="147"/>
      <c r="MM354" s="147"/>
      <c r="MN354" s="147"/>
      <c r="MO354" s="147"/>
      <c r="MP354" s="147"/>
    </row>
    <row r="355" spans="349:354">
      <c r="MK355" s="147"/>
      <c r="ML355" s="147"/>
      <c r="MM355" s="147"/>
      <c r="MN355" s="147"/>
      <c r="MO355" s="147"/>
      <c r="MP355" s="147"/>
    </row>
    <row r="356" spans="349:354">
      <c r="MK356" s="147"/>
      <c r="ML356" s="147"/>
      <c r="MM356" s="147"/>
      <c r="MN356" s="147"/>
      <c r="MO356" s="147"/>
      <c r="MP356" s="147"/>
    </row>
    <row r="357" spans="349:354">
      <c r="MK357" s="147"/>
      <c r="ML357" s="147"/>
      <c r="MM357" s="147"/>
      <c r="MN357" s="147"/>
      <c r="MO357" s="147"/>
      <c r="MP357" s="147"/>
    </row>
    <row r="358" spans="349:354">
      <c r="MK358" s="147"/>
      <c r="ML358" s="147"/>
      <c r="MM358" s="147"/>
      <c r="MN358" s="147"/>
      <c r="MO358" s="147"/>
      <c r="MP358" s="147"/>
    </row>
    <row r="359" spans="349:354">
      <c r="MK359" s="147"/>
      <c r="ML359" s="147"/>
      <c r="MM359" s="147"/>
      <c r="MN359" s="147"/>
      <c r="MO359" s="147"/>
      <c r="MP359" s="147"/>
    </row>
    <row r="360" spans="349:354">
      <c r="MK360" s="147"/>
      <c r="ML360" s="147"/>
      <c r="MM360" s="147"/>
      <c r="MN360" s="147"/>
      <c r="MO360" s="147"/>
      <c r="MP360" s="147"/>
    </row>
    <row r="361" spans="349:354">
      <c r="MK361" s="147"/>
      <c r="ML361" s="147"/>
      <c r="MM361" s="147"/>
      <c r="MN361" s="147"/>
      <c r="MO361" s="147"/>
      <c r="MP361" s="147"/>
    </row>
    <row r="362" spans="349:354">
      <c r="MK362" s="147"/>
      <c r="ML362" s="147"/>
      <c r="MM362" s="147"/>
      <c r="MN362" s="147"/>
      <c r="MO362" s="147"/>
      <c r="MP362" s="147"/>
    </row>
    <row r="363" spans="349:354">
      <c r="MK363" s="147"/>
      <c r="ML363" s="147"/>
      <c r="MM363" s="147"/>
      <c r="MN363" s="147"/>
      <c r="MO363" s="147"/>
      <c r="MP363" s="147"/>
    </row>
    <row r="364" spans="349:354">
      <c r="MK364" s="147"/>
      <c r="ML364" s="147"/>
      <c r="MM364" s="147"/>
      <c r="MN364" s="147"/>
      <c r="MO364" s="147"/>
      <c r="MP364" s="147"/>
    </row>
    <row r="365" spans="349:354">
      <c r="MK365" s="147"/>
      <c r="ML365" s="147"/>
      <c r="MM365" s="147"/>
      <c r="MN365" s="147"/>
      <c r="MO365" s="147"/>
      <c r="MP365" s="147"/>
    </row>
    <row r="366" spans="349:354">
      <c r="MK366" s="147"/>
      <c r="ML366" s="147"/>
      <c r="MM366" s="147"/>
      <c r="MN366" s="147"/>
      <c r="MO366" s="147"/>
      <c r="MP366" s="147"/>
    </row>
    <row r="367" spans="349:354">
      <c r="MK367" s="147"/>
      <c r="ML367" s="147"/>
      <c r="MM367" s="147"/>
      <c r="MN367" s="147"/>
      <c r="MO367" s="147"/>
      <c r="MP367" s="147"/>
    </row>
    <row r="368" spans="349:354">
      <c r="MK368" s="147"/>
      <c r="ML368" s="147"/>
      <c r="MM368" s="147"/>
      <c r="MN368" s="147"/>
      <c r="MO368" s="147"/>
      <c r="MP368" s="147"/>
    </row>
    <row r="369" spans="349:354">
      <c r="MK369" s="147"/>
      <c r="ML369" s="147"/>
      <c r="MM369" s="147"/>
      <c r="MN369" s="147"/>
      <c r="MO369" s="147"/>
      <c r="MP369" s="147"/>
    </row>
    <row r="370" spans="349:354">
      <c r="MK370" s="147"/>
      <c r="ML370" s="147"/>
      <c r="MM370" s="147"/>
      <c r="MN370" s="147"/>
      <c r="MO370" s="147"/>
      <c r="MP370" s="147"/>
    </row>
    <row r="371" spans="349:354">
      <c r="MK371" s="147"/>
      <c r="ML371" s="147"/>
      <c r="MM371" s="147"/>
      <c r="MN371" s="147"/>
      <c r="MO371" s="147"/>
      <c r="MP371" s="147"/>
    </row>
    <row r="372" spans="349:354">
      <c r="MK372" s="147"/>
      <c r="ML372" s="147"/>
      <c r="MM372" s="147"/>
      <c r="MN372" s="147"/>
      <c r="MO372" s="147"/>
      <c r="MP372" s="147"/>
    </row>
    <row r="373" spans="349:354">
      <c r="MK373" s="147"/>
      <c r="ML373" s="147"/>
      <c r="MM373" s="147"/>
      <c r="MN373" s="147"/>
      <c r="MO373" s="147"/>
      <c r="MP373" s="147"/>
    </row>
    <row r="374" spans="349:354">
      <c r="MK374" s="147"/>
      <c r="ML374" s="147"/>
      <c r="MM374" s="147"/>
      <c r="MN374" s="147"/>
      <c r="MO374" s="147"/>
      <c r="MP374" s="147"/>
    </row>
    <row r="375" spans="349:354">
      <c r="MK375" s="147"/>
      <c r="ML375" s="147"/>
      <c r="MM375" s="147"/>
      <c r="MN375" s="147"/>
      <c r="MO375" s="147"/>
      <c r="MP375" s="147"/>
    </row>
    <row r="376" spans="349:354">
      <c r="MK376" s="147"/>
      <c r="ML376" s="147"/>
      <c r="MM376" s="147"/>
      <c r="MN376" s="147"/>
      <c r="MO376" s="147"/>
      <c r="MP376" s="147"/>
    </row>
    <row r="377" spans="349:354">
      <c r="MK377" s="147"/>
      <c r="ML377" s="147"/>
      <c r="MM377" s="147"/>
      <c r="MN377" s="147"/>
      <c r="MO377" s="147"/>
      <c r="MP377" s="147"/>
    </row>
    <row r="378" spans="349:354">
      <c r="MK378" s="147"/>
      <c r="ML378" s="147"/>
      <c r="MM378" s="147"/>
      <c r="MN378" s="147"/>
      <c r="MO378" s="147"/>
      <c r="MP378" s="147"/>
    </row>
    <row r="379" spans="349:354">
      <c r="MK379" s="147"/>
      <c r="ML379" s="147"/>
      <c r="MM379" s="147"/>
      <c r="MN379" s="147"/>
      <c r="MO379" s="147"/>
      <c r="MP379" s="147"/>
    </row>
    <row r="380" spans="349:354">
      <c r="MK380" s="147"/>
      <c r="ML380" s="147"/>
      <c r="MM380" s="147"/>
      <c r="MN380" s="147"/>
      <c r="MO380" s="147"/>
      <c r="MP380" s="147"/>
    </row>
    <row r="381" spans="349:354">
      <c r="MK381" s="147"/>
      <c r="ML381" s="147"/>
      <c r="MM381" s="147"/>
      <c r="MN381" s="147"/>
      <c r="MO381" s="147"/>
      <c r="MP381" s="147"/>
    </row>
    <row r="382" spans="349:354">
      <c r="MK382" s="147"/>
      <c r="ML382" s="147"/>
      <c r="MM382" s="147"/>
      <c r="MN382" s="147"/>
      <c r="MO382" s="147"/>
      <c r="MP382" s="147"/>
    </row>
    <row r="383" spans="349:354">
      <c r="MK383" s="147"/>
      <c r="ML383" s="147"/>
      <c r="MM383" s="147"/>
      <c r="MN383" s="147"/>
      <c r="MO383" s="147"/>
      <c r="MP383" s="147"/>
    </row>
    <row r="384" spans="349:354">
      <c r="MK384" s="147"/>
      <c r="ML384" s="147"/>
      <c r="MM384" s="147"/>
      <c r="MN384" s="147"/>
      <c r="MO384" s="147"/>
      <c r="MP384" s="147"/>
    </row>
    <row r="385" spans="349:354">
      <c r="MK385" s="147"/>
      <c r="ML385" s="147"/>
      <c r="MM385" s="147"/>
      <c r="MN385" s="147"/>
      <c r="MO385" s="147"/>
      <c r="MP385" s="147"/>
    </row>
    <row r="386" spans="349:354">
      <c r="MK386" s="147"/>
      <c r="ML386" s="147"/>
      <c r="MM386" s="147"/>
      <c r="MN386" s="147"/>
      <c r="MO386" s="147"/>
      <c r="MP386" s="147"/>
    </row>
    <row r="387" spans="349:354">
      <c r="MK387" s="147"/>
      <c r="ML387" s="147"/>
      <c r="MM387" s="147"/>
      <c r="MN387" s="147"/>
      <c r="MO387" s="147"/>
      <c r="MP387" s="147"/>
    </row>
    <row r="388" spans="349:354">
      <c r="MK388" s="147"/>
      <c r="ML388" s="147"/>
      <c r="MM388" s="147"/>
      <c r="MN388" s="147"/>
      <c r="MO388" s="147"/>
      <c r="MP388" s="147"/>
    </row>
    <row r="389" spans="349:354">
      <c r="MK389" s="147"/>
      <c r="ML389" s="147"/>
      <c r="MM389" s="147"/>
      <c r="MN389" s="147"/>
      <c r="MO389" s="147"/>
      <c r="MP389" s="147"/>
    </row>
    <row r="390" spans="349:354">
      <c r="MK390" s="147"/>
      <c r="ML390" s="147"/>
      <c r="MM390" s="147"/>
      <c r="MN390" s="147"/>
      <c r="MO390" s="147"/>
      <c r="MP390" s="147"/>
    </row>
    <row r="391" spans="349:354">
      <c r="MK391" s="147"/>
      <c r="ML391" s="147"/>
      <c r="MM391" s="147"/>
      <c r="MN391" s="147"/>
      <c r="MO391" s="147"/>
      <c r="MP391" s="147"/>
    </row>
    <row r="392" spans="349:354">
      <c r="MK392" s="147"/>
      <c r="ML392" s="147"/>
      <c r="MM392" s="147"/>
      <c r="MN392" s="147"/>
      <c r="MO392" s="147"/>
      <c r="MP392" s="147"/>
    </row>
    <row r="393" spans="349:354">
      <c r="MK393" s="147"/>
      <c r="ML393" s="147"/>
      <c r="MM393" s="147"/>
      <c r="MN393" s="147"/>
      <c r="MO393" s="147"/>
      <c r="MP393" s="147"/>
    </row>
    <row r="394" spans="349:354">
      <c r="MK394" s="147"/>
      <c r="ML394" s="147"/>
      <c r="MM394" s="147"/>
      <c r="MN394" s="147"/>
      <c r="MO394" s="147"/>
      <c r="MP394" s="147"/>
    </row>
    <row r="395" spans="349:354">
      <c r="MK395" s="147"/>
      <c r="ML395" s="147"/>
      <c r="MM395" s="147"/>
      <c r="MN395" s="147"/>
      <c r="MO395" s="147"/>
      <c r="MP395" s="147"/>
    </row>
    <row r="396" spans="349:354">
      <c r="MK396" s="147"/>
      <c r="ML396" s="147"/>
      <c r="MM396" s="147"/>
      <c r="MN396" s="147"/>
      <c r="MO396" s="147"/>
      <c r="MP396" s="147"/>
    </row>
    <row r="397" spans="349:354">
      <c r="MK397" s="147"/>
      <c r="ML397" s="147"/>
      <c r="MM397" s="147"/>
      <c r="MN397" s="147"/>
      <c r="MO397" s="147"/>
      <c r="MP397" s="147"/>
    </row>
    <row r="398" spans="349:354">
      <c r="MK398" s="147"/>
      <c r="ML398" s="147"/>
      <c r="MM398" s="147"/>
      <c r="MN398" s="147"/>
      <c r="MO398" s="147"/>
      <c r="MP398" s="147"/>
    </row>
    <row r="399" spans="349:354">
      <c r="MK399" s="147"/>
      <c r="ML399" s="147"/>
      <c r="MM399" s="147"/>
      <c r="MN399" s="147"/>
      <c r="MO399" s="147"/>
      <c r="MP399" s="147"/>
    </row>
    <row r="400" spans="349:354">
      <c r="MK400" s="147"/>
      <c r="ML400" s="147"/>
      <c r="MM400" s="147"/>
      <c r="MN400" s="147"/>
      <c r="MO400" s="147"/>
      <c r="MP400" s="147"/>
    </row>
    <row r="401" spans="349:354">
      <c r="MK401" s="147"/>
      <c r="ML401" s="147"/>
      <c r="MM401" s="147"/>
      <c r="MN401" s="147"/>
      <c r="MO401" s="147"/>
      <c r="MP401" s="147"/>
    </row>
    <row r="402" spans="349:354">
      <c r="MK402" s="147"/>
      <c r="ML402" s="147"/>
      <c r="MM402" s="147"/>
      <c r="MN402" s="147"/>
      <c r="MO402" s="147"/>
      <c r="MP402" s="147"/>
    </row>
    <row r="403" spans="349:354">
      <c r="MK403" s="147"/>
      <c r="ML403" s="147"/>
      <c r="MM403" s="147"/>
      <c r="MN403" s="147"/>
      <c r="MO403" s="147"/>
      <c r="MP403" s="147"/>
    </row>
    <row r="404" spans="349:354">
      <c r="MK404" s="147"/>
      <c r="ML404" s="147"/>
      <c r="MM404" s="147"/>
      <c r="MN404" s="147"/>
      <c r="MO404" s="147"/>
      <c r="MP404" s="147"/>
    </row>
    <row r="405" spans="349:354">
      <c r="MK405" s="147"/>
      <c r="ML405" s="147"/>
      <c r="MM405" s="147"/>
      <c r="MN405" s="147"/>
      <c r="MO405" s="147"/>
      <c r="MP405" s="147"/>
    </row>
    <row r="406" spans="349:354">
      <c r="MK406" s="147"/>
      <c r="ML406" s="147"/>
      <c r="MM406" s="147"/>
      <c r="MN406" s="147"/>
      <c r="MO406" s="147"/>
      <c r="MP406" s="147"/>
    </row>
    <row r="407" spans="349:354">
      <c r="MK407" s="147"/>
      <c r="ML407" s="147"/>
      <c r="MM407" s="147"/>
      <c r="MN407" s="147"/>
      <c r="MO407" s="147"/>
      <c r="MP407" s="147"/>
    </row>
    <row r="408" spans="349:354">
      <c r="MK408" s="147"/>
      <c r="ML408" s="147"/>
      <c r="MM408" s="147"/>
      <c r="MN408" s="147"/>
      <c r="MO408" s="147"/>
      <c r="MP408" s="147"/>
    </row>
    <row r="409" spans="349:354">
      <c r="MK409" s="147"/>
      <c r="ML409" s="147"/>
      <c r="MM409" s="147"/>
      <c r="MN409" s="147"/>
      <c r="MO409" s="147"/>
      <c r="MP409" s="147"/>
    </row>
    <row r="410" spans="349:354">
      <c r="MK410" s="147"/>
      <c r="ML410" s="147"/>
      <c r="MM410" s="147"/>
      <c r="MN410" s="147"/>
      <c r="MO410" s="147"/>
      <c r="MP410" s="147"/>
    </row>
    <row r="411" spans="349:354">
      <c r="MK411" s="147"/>
      <c r="ML411" s="147"/>
      <c r="MM411" s="147"/>
      <c r="MN411" s="147"/>
      <c r="MO411" s="147"/>
      <c r="MP411" s="147"/>
    </row>
    <row r="412" spans="349:354">
      <c r="MK412" s="147"/>
      <c r="ML412" s="147"/>
      <c r="MM412" s="147"/>
      <c r="MN412" s="147"/>
      <c r="MO412" s="147"/>
      <c r="MP412" s="147"/>
    </row>
    <row r="413" spans="349:354">
      <c r="MK413" s="147"/>
      <c r="ML413" s="147"/>
      <c r="MM413" s="147"/>
      <c r="MN413" s="147"/>
      <c r="MO413" s="147"/>
      <c r="MP413" s="147"/>
    </row>
    <row r="414" spans="349:354">
      <c r="MK414" s="147"/>
      <c r="ML414" s="147"/>
      <c r="MM414" s="147"/>
      <c r="MN414" s="147"/>
      <c r="MO414" s="147"/>
      <c r="MP414" s="147"/>
    </row>
    <row r="415" spans="349:354">
      <c r="MK415" s="147"/>
      <c r="ML415" s="147"/>
      <c r="MM415" s="147"/>
      <c r="MN415" s="147"/>
      <c r="MO415" s="147"/>
      <c r="MP415" s="147"/>
    </row>
    <row r="416" spans="349:354">
      <c r="MK416" s="147"/>
      <c r="ML416" s="147"/>
      <c r="MM416" s="147"/>
      <c r="MN416" s="147"/>
      <c r="MO416" s="147"/>
      <c r="MP416" s="147"/>
    </row>
    <row r="417" spans="349:354">
      <c r="MK417" s="147"/>
      <c r="ML417" s="147"/>
      <c r="MM417" s="147"/>
      <c r="MN417" s="147"/>
      <c r="MO417" s="147"/>
      <c r="MP417" s="147"/>
    </row>
    <row r="418" spans="349:354">
      <c r="MK418" s="147"/>
      <c r="ML418" s="147"/>
      <c r="MM418" s="147"/>
      <c r="MN418" s="147"/>
      <c r="MO418" s="147"/>
      <c r="MP418" s="147"/>
    </row>
    <row r="419" spans="349:354">
      <c r="MK419" s="147"/>
      <c r="ML419" s="147"/>
      <c r="MM419" s="147"/>
      <c r="MN419" s="147"/>
      <c r="MO419" s="147"/>
      <c r="MP419" s="147"/>
    </row>
    <row r="420" spans="349:354">
      <c r="MK420" s="147"/>
      <c r="ML420" s="147"/>
      <c r="MM420" s="147"/>
      <c r="MN420" s="147"/>
      <c r="MO420" s="147"/>
      <c r="MP420" s="147"/>
    </row>
    <row r="421" spans="349:354">
      <c r="MK421" s="147"/>
      <c r="ML421" s="147"/>
      <c r="MM421" s="147"/>
      <c r="MN421" s="147"/>
      <c r="MO421" s="147"/>
      <c r="MP421" s="147"/>
    </row>
    <row r="422" spans="349:354">
      <c r="MK422" s="147"/>
      <c r="ML422" s="147"/>
      <c r="MM422" s="147"/>
      <c r="MN422" s="147"/>
      <c r="MO422" s="147"/>
      <c r="MP422" s="147"/>
    </row>
    <row r="423" spans="349:354">
      <c r="MK423" s="147"/>
      <c r="ML423" s="147"/>
      <c r="MM423" s="147"/>
      <c r="MN423" s="147"/>
      <c r="MO423" s="147"/>
      <c r="MP423" s="147"/>
    </row>
    <row r="424" spans="349:354">
      <c r="MK424" s="147"/>
      <c r="ML424" s="147"/>
      <c r="MM424" s="147"/>
      <c r="MN424" s="147"/>
      <c r="MO424" s="147"/>
      <c r="MP424" s="147"/>
    </row>
    <row r="425" spans="349:354">
      <c r="MK425" s="147"/>
      <c r="ML425" s="147"/>
      <c r="MM425" s="147"/>
      <c r="MN425" s="147"/>
      <c r="MO425" s="147"/>
      <c r="MP425" s="147"/>
    </row>
    <row r="426" spans="349:354">
      <c r="MK426" s="147"/>
      <c r="ML426" s="147"/>
      <c r="MM426" s="147"/>
      <c r="MN426" s="147"/>
      <c r="MO426" s="147"/>
      <c r="MP426" s="147"/>
    </row>
    <row r="427" spans="349:354">
      <c r="MK427" s="147"/>
      <c r="ML427" s="147"/>
      <c r="MM427" s="147"/>
      <c r="MN427" s="147"/>
      <c r="MO427" s="147"/>
      <c r="MP427" s="147"/>
    </row>
    <row r="428" spans="349:354">
      <c r="MK428" s="147"/>
      <c r="ML428" s="147"/>
      <c r="MM428" s="147"/>
      <c r="MN428" s="147"/>
      <c r="MO428" s="147"/>
      <c r="MP428" s="147"/>
    </row>
    <row r="429" spans="349:354">
      <c r="MK429" s="147"/>
      <c r="ML429" s="147"/>
      <c r="MM429" s="147"/>
      <c r="MN429" s="147"/>
      <c r="MO429" s="147"/>
      <c r="MP429" s="147"/>
    </row>
    <row r="430" spans="349:354">
      <c r="MK430" s="147"/>
      <c r="ML430" s="147"/>
      <c r="MM430" s="147"/>
      <c r="MN430" s="147"/>
      <c r="MO430" s="147"/>
      <c r="MP430" s="147"/>
    </row>
    <row r="431" spans="349:354">
      <c r="MK431" s="147"/>
      <c r="ML431" s="147"/>
      <c r="MM431" s="147"/>
      <c r="MN431" s="147"/>
      <c r="MO431" s="147"/>
      <c r="MP431" s="147"/>
    </row>
    <row r="432" spans="349:354">
      <c r="MK432" s="147"/>
      <c r="ML432" s="147"/>
      <c r="MM432" s="147"/>
      <c r="MN432" s="147"/>
      <c r="MO432" s="147"/>
      <c r="MP432" s="147"/>
    </row>
    <row r="433" spans="349:354">
      <c r="MK433" s="147"/>
      <c r="ML433" s="147"/>
      <c r="MM433" s="147"/>
      <c r="MN433" s="147"/>
      <c r="MO433" s="147"/>
      <c r="MP433" s="147"/>
    </row>
    <row r="434" spans="349:354">
      <c r="MK434" s="147"/>
      <c r="ML434" s="147"/>
      <c r="MM434" s="147"/>
      <c r="MN434" s="147"/>
      <c r="MO434" s="147"/>
      <c r="MP434" s="147"/>
    </row>
    <row r="435" spans="349:354">
      <c r="MK435" s="147"/>
      <c r="ML435" s="147"/>
      <c r="MM435" s="147"/>
      <c r="MN435" s="147"/>
      <c r="MO435" s="147"/>
      <c r="MP435" s="147"/>
    </row>
    <row r="436" spans="349:354">
      <c r="MK436" s="147"/>
      <c r="ML436" s="147"/>
      <c r="MM436" s="147"/>
      <c r="MN436" s="147"/>
      <c r="MO436" s="147"/>
      <c r="MP436" s="147"/>
    </row>
    <row r="437" spans="349:354">
      <c r="MK437" s="147"/>
      <c r="ML437" s="147"/>
      <c r="MM437" s="147"/>
      <c r="MN437" s="147"/>
      <c r="MO437" s="147"/>
      <c r="MP437" s="147"/>
    </row>
    <row r="438" spans="349:354">
      <c r="MK438" s="147"/>
      <c r="ML438" s="147"/>
      <c r="MM438" s="147"/>
      <c r="MN438" s="147"/>
      <c r="MO438" s="147"/>
      <c r="MP438" s="147"/>
    </row>
    <row r="439" spans="349:354">
      <c r="MK439" s="147"/>
      <c r="ML439" s="147"/>
      <c r="MM439" s="147"/>
      <c r="MN439" s="147"/>
      <c r="MO439" s="147"/>
      <c r="MP439" s="147"/>
    </row>
    <row r="440" spans="349:354">
      <c r="MK440" s="147"/>
      <c r="ML440" s="147"/>
      <c r="MM440" s="147"/>
      <c r="MN440" s="147"/>
      <c r="MO440" s="147"/>
      <c r="MP440" s="147"/>
    </row>
    <row r="441" spans="349:354">
      <c r="MK441" s="147"/>
      <c r="ML441" s="147"/>
      <c r="MM441" s="147"/>
      <c r="MN441" s="147"/>
      <c r="MO441" s="147"/>
      <c r="MP441" s="147"/>
    </row>
    <row r="442" spans="349:354">
      <c r="MK442" s="147"/>
      <c r="ML442" s="147"/>
      <c r="MM442" s="147"/>
      <c r="MN442" s="147"/>
      <c r="MO442" s="147"/>
      <c r="MP442" s="147"/>
    </row>
    <row r="443" spans="349:354">
      <c r="MK443" s="147"/>
      <c r="ML443" s="147"/>
      <c r="MM443" s="147"/>
      <c r="MN443" s="147"/>
      <c r="MO443" s="147"/>
      <c r="MP443" s="147"/>
    </row>
    <row r="444" spans="349:354">
      <c r="MK444" s="147"/>
      <c r="ML444" s="147"/>
      <c r="MM444" s="147"/>
      <c r="MN444" s="147"/>
      <c r="MO444" s="147"/>
      <c r="MP444" s="147"/>
    </row>
    <row r="445" spans="349:354">
      <c r="MK445" s="147"/>
      <c r="ML445" s="147"/>
      <c r="MM445" s="147"/>
      <c r="MN445" s="147"/>
      <c r="MO445" s="147"/>
      <c r="MP445" s="147"/>
    </row>
    <row r="446" spans="349:354">
      <c r="MK446" s="147"/>
      <c r="ML446" s="147"/>
      <c r="MM446" s="147"/>
      <c r="MN446" s="147"/>
      <c r="MO446" s="147"/>
      <c r="MP446" s="147"/>
    </row>
    <row r="447" spans="349:354">
      <c r="MK447" s="147"/>
      <c r="ML447" s="147"/>
      <c r="MM447" s="147"/>
      <c r="MN447" s="147"/>
      <c r="MO447" s="147"/>
      <c r="MP447" s="147"/>
    </row>
    <row r="448" spans="349:354">
      <c r="MK448" s="147"/>
      <c r="ML448" s="147"/>
      <c r="MM448" s="147"/>
      <c r="MN448" s="147"/>
      <c r="MO448" s="147"/>
      <c r="MP448" s="147"/>
    </row>
    <row r="449" spans="349:354">
      <c r="MK449" s="147"/>
      <c r="ML449" s="147"/>
      <c r="MM449" s="147"/>
      <c r="MN449" s="147"/>
      <c r="MO449" s="147"/>
      <c r="MP449" s="147"/>
    </row>
    <row r="450" spans="349:354">
      <c r="MK450" s="147"/>
      <c r="ML450" s="147"/>
      <c r="MM450" s="147"/>
      <c r="MN450" s="147"/>
      <c r="MO450" s="147"/>
      <c r="MP450" s="147"/>
    </row>
    <row r="451" spans="349:354">
      <c r="MK451" s="147"/>
      <c r="ML451" s="147"/>
      <c r="MM451" s="147"/>
      <c r="MN451" s="147"/>
      <c r="MO451" s="147"/>
      <c r="MP451" s="147"/>
    </row>
    <row r="452" spans="349:354">
      <c r="MK452" s="147"/>
      <c r="ML452" s="147"/>
      <c r="MM452" s="147"/>
      <c r="MN452" s="147"/>
      <c r="MO452" s="147"/>
      <c r="MP452" s="147"/>
    </row>
    <row r="453" spans="349:354">
      <c r="MK453" s="147"/>
      <c r="ML453" s="147"/>
      <c r="MM453" s="147"/>
      <c r="MN453" s="147"/>
      <c r="MO453" s="147"/>
      <c r="MP453" s="147"/>
    </row>
    <row r="454" spans="349:354">
      <c r="MK454" s="147"/>
      <c r="ML454" s="147"/>
      <c r="MM454" s="147"/>
      <c r="MN454" s="147"/>
      <c r="MO454" s="147"/>
      <c r="MP454" s="147"/>
    </row>
    <row r="455" spans="349:354">
      <c r="MK455" s="147"/>
      <c r="ML455" s="147"/>
      <c r="MM455" s="147"/>
      <c r="MN455" s="147"/>
      <c r="MO455" s="147"/>
      <c r="MP455" s="147"/>
    </row>
    <row r="456" spans="349:354">
      <c r="MK456" s="147"/>
      <c r="ML456" s="147"/>
      <c r="MM456" s="147"/>
      <c r="MN456" s="147"/>
      <c r="MO456" s="147"/>
      <c r="MP456" s="147"/>
    </row>
    <row r="457" spans="349:354">
      <c r="MK457" s="147"/>
      <c r="ML457" s="147"/>
      <c r="MM457" s="147"/>
      <c r="MN457" s="147"/>
      <c r="MO457" s="147"/>
      <c r="MP457" s="147"/>
    </row>
    <row r="458" spans="349:354">
      <c r="MK458" s="147"/>
      <c r="ML458" s="147"/>
      <c r="MM458" s="147"/>
      <c r="MN458" s="147"/>
      <c r="MO458" s="147"/>
      <c r="MP458" s="147"/>
    </row>
    <row r="459" spans="349:354">
      <c r="MK459" s="147"/>
      <c r="ML459" s="147"/>
      <c r="MM459" s="147"/>
      <c r="MN459" s="147"/>
      <c r="MO459" s="147"/>
      <c r="MP459" s="147"/>
    </row>
    <row r="460" spans="349:354">
      <c r="MK460" s="147"/>
      <c r="ML460" s="147"/>
      <c r="MM460" s="147"/>
      <c r="MN460" s="147"/>
      <c r="MO460" s="147"/>
      <c r="MP460" s="147"/>
    </row>
    <row r="461" spans="349:354">
      <c r="MK461" s="147"/>
      <c r="ML461" s="147"/>
      <c r="MM461" s="147"/>
      <c r="MN461" s="147"/>
      <c r="MO461" s="147"/>
      <c r="MP461" s="147"/>
    </row>
    <row r="462" spans="349:354">
      <c r="MK462" s="147"/>
      <c r="ML462" s="147"/>
      <c r="MM462" s="147"/>
      <c r="MN462" s="147"/>
      <c r="MO462" s="147"/>
      <c r="MP462" s="147"/>
    </row>
    <row r="463" spans="349:354">
      <c r="MK463" s="147"/>
      <c r="ML463" s="147"/>
      <c r="MM463" s="147"/>
      <c r="MN463" s="147"/>
      <c r="MO463" s="147"/>
      <c r="MP463" s="147"/>
    </row>
    <row r="464" spans="349:354">
      <c r="MK464" s="147"/>
      <c r="ML464" s="147"/>
      <c r="MM464" s="147"/>
      <c r="MN464" s="147"/>
      <c r="MO464" s="147"/>
      <c r="MP464" s="147"/>
    </row>
    <row r="465" spans="349:354">
      <c r="MK465" s="147"/>
      <c r="ML465" s="147"/>
      <c r="MM465" s="147"/>
      <c r="MN465" s="147"/>
      <c r="MO465" s="147"/>
      <c r="MP465" s="147"/>
    </row>
    <row r="466" spans="349:354">
      <c r="MK466" s="147"/>
      <c r="ML466" s="147"/>
      <c r="MM466" s="147"/>
      <c r="MN466" s="147"/>
      <c r="MO466" s="147"/>
      <c r="MP466" s="147"/>
    </row>
    <row r="467" spans="349:354">
      <c r="MK467" s="147"/>
      <c r="ML467" s="147"/>
      <c r="MM467" s="147"/>
      <c r="MN467" s="147"/>
      <c r="MO467" s="147"/>
      <c r="MP467" s="147"/>
    </row>
    <row r="468" spans="349:354">
      <c r="MK468" s="147"/>
      <c r="ML468" s="147"/>
      <c r="MM468" s="147"/>
      <c r="MN468" s="147"/>
      <c r="MO468" s="147"/>
      <c r="MP468" s="147"/>
    </row>
    <row r="469" spans="349:354">
      <c r="MK469" s="147"/>
      <c r="ML469" s="147"/>
      <c r="MM469" s="147"/>
      <c r="MN469" s="147"/>
      <c r="MO469" s="147"/>
      <c r="MP469" s="147"/>
    </row>
    <row r="470" spans="349:354">
      <c r="MK470" s="147"/>
      <c r="ML470" s="147"/>
      <c r="MM470" s="147"/>
      <c r="MN470" s="147"/>
      <c r="MO470" s="147"/>
      <c r="MP470" s="147"/>
    </row>
    <row r="471" spans="349:354">
      <c r="MK471" s="147"/>
      <c r="ML471" s="147"/>
      <c r="MM471" s="147"/>
      <c r="MN471" s="147"/>
      <c r="MO471" s="147"/>
      <c r="MP471" s="147"/>
    </row>
    <row r="472" spans="349:354">
      <c r="MK472" s="147"/>
      <c r="ML472" s="147"/>
      <c r="MM472" s="147"/>
      <c r="MN472" s="147"/>
      <c r="MO472" s="147"/>
      <c r="MP472" s="147"/>
    </row>
    <row r="473" spans="349:354">
      <c r="MK473" s="147"/>
      <c r="ML473" s="147"/>
      <c r="MM473" s="147"/>
      <c r="MN473" s="147"/>
      <c r="MO473" s="147"/>
      <c r="MP473" s="147"/>
    </row>
    <row r="474" spans="349:354">
      <c r="MK474" s="147"/>
      <c r="ML474" s="147"/>
      <c r="MM474" s="147"/>
      <c r="MN474" s="147"/>
      <c r="MO474" s="147"/>
      <c r="MP474" s="147"/>
    </row>
    <row r="475" spans="349:354">
      <c r="MK475" s="147"/>
      <c r="ML475" s="147"/>
      <c r="MM475" s="147"/>
      <c r="MN475" s="147"/>
      <c r="MO475" s="147"/>
      <c r="MP475" s="147"/>
    </row>
    <row r="476" spans="349:354">
      <c r="MK476" s="147"/>
      <c r="ML476" s="147"/>
      <c r="MM476" s="147"/>
      <c r="MN476" s="147"/>
      <c r="MO476" s="147"/>
      <c r="MP476" s="147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D6818-442F-4609-85B3-2E1DF0ADEEC8}">
  <dimension ref="A1:KT77"/>
  <sheetViews>
    <sheetView workbookViewId="0">
      <selection sqref="A1:A1048576"/>
    </sheetView>
  </sheetViews>
  <sheetFormatPr defaultRowHeight="15.75"/>
  <cols>
    <col min="1" max="1" width="21.7109375" style="135" customWidth="1"/>
    <col min="3" max="3" width="10.7109375" customWidth="1"/>
    <col min="4" max="5" width="9"/>
    <col min="6" max="6" width="9" customWidth="1"/>
    <col min="7" max="9" width="9"/>
    <col min="10" max="10" width="9" style="58" customWidth="1"/>
    <col min="11" max="21" width="9"/>
    <col min="22" max="22" width="9" style="58" customWidth="1"/>
    <col min="23" max="29" width="9"/>
    <col min="30" max="30" width="17.5703125" customWidth="1"/>
  </cols>
  <sheetData>
    <row r="1" spans="1:306" s="180" customFormat="1" ht="28.7" customHeight="1" thickBot="1">
      <c r="A1" s="216" t="s">
        <v>277</v>
      </c>
      <c r="B1" s="217"/>
      <c r="C1" s="217"/>
      <c r="D1" s="217"/>
      <c r="E1" s="217"/>
      <c r="F1" s="218"/>
      <c r="G1" s="218"/>
      <c r="H1" s="218"/>
      <c r="I1" s="217"/>
      <c r="J1" s="219"/>
      <c r="K1" s="219"/>
      <c r="L1" s="219"/>
      <c r="M1" s="219"/>
      <c r="N1" s="181"/>
      <c r="O1" s="181"/>
      <c r="P1" s="181"/>
      <c r="Q1" s="181"/>
      <c r="R1" s="181"/>
      <c r="S1" s="181"/>
      <c r="T1" s="181"/>
      <c r="U1" s="181"/>
      <c r="V1" s="195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1"/>
      <c r="CB1" s="181"/>
      <c r="CC1" s="181"/>
      <c r="CD1" s="181"/>
      <c r="CE1" s="181"/>
      <c r="CF1" s="181"/>
      <c r="CG1" s="181"/>
      <c r="CH1" s="181"/>
      <c r="CI1" s="181"/>
      <c r="CJ1" s="181"/>
      <c r="CK1" s="181"/>
      <c r="CL1" s="181"/>
      <c r="CM1" s="181"/>
      <c r="CN1" s="181"/>
      <c r="CO1" s="181"/>
      <c r="CP1" s="181"/>
      <c r="CQ1" s="181"/>
      <c r="CR1" s="181"/>
      <c r="CS1" s="181"/>
      <c r="CT1" s="181"/>
      <c r="CU1" s="181"/>
      <c r="CV1" s="181"/>
      <c r="CW1" s="181"/>
      <c r="CX1" s="181"/>
      <c r="CY1" s="181"/>
      <c r="CZ1" s="181"/>
      <c r="DA1" s="181"/>
      <c r="DB1" s="181"/>
      <c r="DC1" s="181"/>
      <c r="DD1" s="181"/>
      <c r="DE1" s="181"/>
      <c r="DF1" s="181"/>
      <c r="DG1" s="181"/>
      <c r="DH1" s="181"/>
      <c r="DI1" s="181"/>
      <c r="DJ1" s="181"/>
      <c r="DK1" s="181"/>
      <c r="DL1" s="181"/>
      <c r="DM1" s="181"/>
      <c r="DN1" s="181"/>
      <c r="DO1" s="181"/>
      <c r="DP1" s="181"/>
      <c r="DQ1" s="181"/>
      <c r="DR1" s="181"/>
      <c r="DS1" s="181"/>
      <c r="DT1" s="181"/>
      <c r="DU1" s="181"/>
      <c r="DV1" s="181"/>
      <c r="DW1" s="181"/>
      <c r="DX1" s="181"/>
      <c r="DY1" s="181"/>
      <c r="DZ1" s="181"/>
      <c r="EA1" s="181"/>
      <c r="EB1" s="181"/>
      <c r="EC1" s="181"/>
      <c r="ED1" s="181"/>
      <c r="EE1" s="181"/>
      <c r="EF1" s="181"/>
      <c r="EG1" s="181"/>
      <c r="EH1" s="181"/>
      <c r="EI1" s="181"/>
      <c r="EJ1" s="181"/>
      <c r="EK1" s="181"/>
      <c r="EL1" s="181"/>
      <c r="EM1" s="181"/>
      <c r="EN1" s="181"/>
      <c r="EO1" s="181"/>
      <c r="EP1" s="181"/>
      <c r="EQ1" s="181"/>
      <c r="ER1" s="181"/>
      <c r="ES1" s="181"/>
      <c r="ET1" s="181"/>
      <c r="EU1" s="181"/>
      <c r="EV1" s="181"/>
      <c r="EW1" s="181"/>
      <c r="EX1" s="181"/>
      <c r="EY1" s="181"/>
      <c r="EZ1" s="181"/>
      <c r="FA1" s="181"/>
      <c r="FB1" s="181"/>
      <c r="FC1" s="181"/>
      <c r="FD1" s="181"/>
      <c r="FE1" s="181"/>
      <c r="FF1" s="181"/>
      <c r="FG1" s="181"/>
      <c r="FH1" s="181"/>
      <c r="FI1" s="181"/>
      <c r="FJ1" s="181"/>
      <c r="FK1" s="181"/>
      <c r="FL1" s="181"/>
      <c r="FM1" s="181"/>
      <c r="FN1" s="181"/>
      <c r="FO1" s="181"/>
      <c r="FP1" s="181"/>
      <c r="FQ1" s="181"/>
      <c r="FR1" s="181"/>
      <c r="FS1" s="181"/>
      <c r="FT1" s="181"/>
      <c r="FU1" s="181"/>
      <c r="FV1" s="181"/>
      <c r="FW1" s="181"/>
      <c r="FX1" s="181"/>
      <c r="FY1" s="181"/>
      <c r="FZ1" s="181"/>
      <c r="GA1" s="181"/>
      <c r="GB1" s="181"/>
      <c r="GC1" s="181"/>
      <c r="GD1" s="181"/>
      <c r="GE1" s="181"/>
      <c r="GF1" s="181"/>
      <c r="GG1" s="181"/>
      <c r="GH1" s="181"/>
      <c r="GI1" s="181"/>
      <c r="GJ1" s="181"/>
      <c r="GK1" s="181"/>
      <c r="GL1" s="181"/>
      <c r="GM1" s="181"/>
      <c r="GN1" s="181"/>
      <c r="GO1" s="181"/>
      <c r="GP1" s="181"/>
      <c r="GQ1" s="181"/>
      <c r="GR1" s="181"/>
      <c r="GS1" s="181"/>
      <c r="GT1" s="181"/>
      <c r="GU1" s="181"/>
      <c r="GV1" s="181"/>
      <c r="GW1" s="181"/>
      <c r="GX1" s="181"/>
      <c r="GY1" s="181"/>
      <c r="GZ1" s="181"/>
      <c r="HA1" s="181"/>
      <c r="HB1" s="181"/>
      <c r="HC1" s="181"/>
      <c r="HD1" s="181"/>
      <c r="HE1" s="181"/>
      <c r="HF1" s="181"/>
      <c r="HG1" s="181"/>
      <c r="HH1" s="181"/>
      <c r="HI1" s="181"/>
      <c r="HJ1" s="181"/>
      <c r="HK1" s="181"/>
      <c r="HL1" s="181"/>
      <c r="HM1" s="181"/>
      <c r="HN1" s="181"/>
      <c r="HO1" s="181"/>
      <c r="HP1" s="181"/>
      <c r="HQ1" s="181"/>
      <c r="HR1" s="181"/>
      <c r="HS1" s="181"/>
      <c r="HT1" s="181"/>
      <c r="HU1" s="181"/>
      <c r="HV1" s="181"/>
      <c r="HW1" s="181"/>
      <c r="HX1" s="181"/>
      <c r="HY1" s="181"/>
      <c r="HZ1" s="181"/>
      <c r="IA1" s="181"/>
      <c r="IB1" s="181"/>
      <c r="IC1" s="181"/>
      <c r="ID1" s="181"/>
      <c r="IE1" s="181"/>
      <c r="IF1" s="181"/>
      <c r="IG1" s="181"/>
      <c r="IH1" s="181"/>
      <c r="II1" s="181"/>
      <c r="IJ1" s="181"/>
      <c r="IK1" s="181"/>
      <c r="IL1" s="181"/>
      <c r="IM1" s="181"/>
      <c r="IN1" s="181"/>
      <c r="IO1" s="181"/>
      <c r="IP1" s="181"/>
      <c r="IQ1" s="181"/>
      <c r="IR1" s="181"/>
      <c r="IS1" s="181"/>
      <c r="IT1" s="181"/>
      <c r="IU1" s="181"/>
      <c r="IV1" s="181"/>
      <c r="IW1" s="181"/>
      <c r="IX1" s="181"/>
      <c r="IY1" s="181"/>
      <c r="IZ1" s="181"/>
      <c r="JA1" s="181"/>
      <c r="JB1" s="181"/>
      <c r="JC1" s="181"/>
      <c r="JD1" s="181"/>
      <c r="JE1" s="181"/>
      <c r="JF1" s="181"/>
      <c r="JG1" s="181"/>
      <c r="JH1" s="181"/>
      <c r="JI1" s="181"/>
      <c r="JJ1" s="181"/>
      <c r="JK1" s="181"/>
      <c r="JL1" s="181"/>
      <c r="JM1" s="181"/>
      <c r="JN1" s="181"/>
      <c r="JO1" s="181"/>
      <c r="JP1" s="181"/>
      <c r="JQ1" s="181"/>
      <c r="JR1" s="181"/>
      <c r="JS1" s="181"/>
      <c r="JT1" s="181"/>
      <c r="JU1" s="181"/>
      <c r="JV1" s="181"/>
      <c r="JW1" s="181"/>
      <c r="JX1" s="181"/>
      <c r="JY1" s="181"/>
      <c r="JZ1" s="181"/>
      <c r="KA1" s="181"/>
      <c r="KB1" s="181"/>
      <c r="KC1" s="181"/>
      <c r="KD1" s="181"/>
      <c r="KE1" s="181"/>
      <c r="KF1" s="181"/>
      <c r="KG1" s="181"/>
      <c r="KH1" s="181"/>
      <c r="KI1" s="181"/>
      <c r="KJ1" s="181"/>
      <c r="KK1" s="181"/>
      <c r="KL1" s="181"/>
      <c r="KM1" s="181"/>
      <c r="KN1" s="181"/>
      <c r="KO1" s="181"/>
      <c r="KP1" s="181"/>
      <c r="KQ1" s="181"/>
      <c r="KR1" s="181"/>
      <c r="KS1" s="181"/>
      <c r="KT1" s="181"/>
    </row>
    <row r="2" spans="1:306" ht="42.75" customHeight="1" thickBot="1">
      <c r="A2" s="134" t="s">
        <v>0</v>
      </c>
      <c r="B2" s="187">
        <v>46054</v>
      </c>
      <c r="C2" s="188">
        <v>46055</v>
      </c>
      <c r="D2" s="189">
        <v>46056</v>
      </c>
      <c r="E2" s="190">
        <v>46057</v>
      </c>
      <c r="F2" s="190">
        <v>46058</v>
      </c>
      <c r="G2" s="190">
        <v>46059</v>
      </c>
      <c r="H2" s="190">
        <v>46060</v>
      </c>
      <c r="I2" s="190">
        <v>46061</v>
      </c>
      <c r="J2" s="190">
        <v>46062</v>
      </c>
      <c r="K2" s="190">
        <v>46063</v>
      </c>
      <c r="L2" s="190">
        <v>46064</v>
      </c>
      <c r="M2" s="190">
        <v>46065</v>
      </c>
      <c r="N2" s="190">
        <v>46066</v>
      </c>
      <c r="O2" s="190">
        <v>46067</v>
      </c>
      <c r="P2" s="190">
        <v>46068</v>
      </c>
      <c r="Q2" s="190">
        <v>46069</v>
      </c>
      <c r="R2" s="190">
        <v>46070</v>
      </c>
      <c r="S2" s="190">
        <v>46071</v>
      </c>
      <c r="T2" s="190">
        <v>46072</v>
      </c>
      <c r="U2" s="190">
        <v>46073</v>
      </c>
      <c r="V2" s="196">
        <v>46074</v>
      </c>
      <c r="W2" s="190">
        <v>46075</v>
      </c>
      <c r="X2" s="190">
        <v>46076</v>
      </c>
      <c r="Y2" s="190">
        <v>46077</v>
      </c>
      <c r="Z2" s="190">
        <v>46078</v>
      </c>
      <c r="AA2" s="190">
        <v>46079</v>
      </c>
      <c r="AB2" s="190">
        <v>46080</v>
      </c>
      <c r="AC2" s="190">
        <v>46081</v>
      </c>
      <c r="AD2" s="176" t="s">
        <v>245</v>
      </c>
    </row>
    <row r="3" spans="1:306" ht="32.450000000000003" customHeight="1">
      <c r="A3" s="130" t="s">
        <v>31</v>
      </c>
      <c r="B3" s="185" t="s">
        <v>163</v>
      </c>
      <c r="C3" s="185" t="s">
        <v>163</v>
      </c>
      <c r="D3" s="186" t="s">
        <v>163</v>
      </c>
      <c r="E3" s="182" t="s">
        <v>163</v>
      </c>
      <c r="F3" s="183" t="s">
        <v>163</v>
      </c>
      <c r="G3" s="184" t="s">
        <v>163</v>
      </c>
      <c r="H3" s="183" t="s">
        <v>163</v>
      </c>
      <c r="I3" s="183" t="s">
        <v>163</v>
      </c>
      <c r="J3" s="193" t="s">
        <v>163</v>
      </c>
      <c r="K3" s="192" t="s">
        <v>163</v>
      </c>
      <c r="L3" s="192" t="s">
        <v>163</v>
      </c>
      <c r="M3" s="192" t="s">
        <v>163</v>
      </c>
      <c r="N3" s="192" t="s">
        <v>163</v>
      </c>
      <c r="O3" s="192" t="s">
        <v>163</v>
      </c>
      <c r="P3" s="192" t="s">
        <v>163</v>
      </c>
      <c r="Q3" s="192" t="s">
        <v>163</v>
      </c>
      <c r="R3" s="192" t="s">
        <v>163</v>
      </c>
      <c r="S3" s="192" t="s">
        <v>163</v>
      </c>
      <c r="T3" s="192" t="s">
        <v>163</v>
      </c>
      <c r="U3" s="192" t="s">
        <v>163</v>
      </c>
      <c r="V3" s="193" t="s">
        <v>163</v>
      </c>
      <c r="W3" s="192" t="s">
        <v>163</v>
      </c>
      <c r="X3" s="192" t="s">
        <v>163</v>
      </c>
      <c r="Y3" s="192" t="s">
        <v>163</v>
      </c>
      <c r="Z3" s="192" t="s">
        <v>163</v>
      </c>
      <c r="AA3" s="192" t="s">
        <v>163</v>
      </c>
      <c r="AB3" s="192" t="s">
        <v>163</v>
      </c>
      <c r="AC3" s="192" t="s">
        <v>163</v>
      </c>
    </row>
    <row r="4" spans="1:306" ht="15">
      <c r="A4" s="240" t="s">
        <v>279</v>
      </c>
      <c r="B4" s="1">
        <v>41005</v>
      </c>
      <c r="C4" s="1">
        <v>34210</v>
      </c>
      <c r="D4" s="179">
        <v>34005</v>
      </c>
      <c r="E4" s="1">
        <v>38060</v>
      </c>
      <c r="F4" s="1">
        <v>23854</v>
      </c>
      <c r="G4" s="1">
        <v>24806</v>
      </c>
      <c r="H4" s="1">
        <v>20557</v>
      </c>
      <c r="I4" s="1">
        <v>15194</v>
      </c>
      <c r="J4" s="24">
        <v>15000</v>
      </c>
      <c r="K4" s="1">
        <v>11182</v>
      </c>
      <c r="L4" s="1">
        <v>7647</v>
      </c>
      <c r="M4" s="1">
        <v>8834</v>
      </c>
      <c r="N4" s="1">
        <v>9684</v>
      </c>
      <c r="O4" s="1">
        <v>10070</v>
      </c>
      <c r="P4" s="1">
        <v>9930</v>
      </c>
      <c r="Q4" s="1">
        <v>9829</v>
      </c>
      <c r="R4" s="1">
        <v>7354</v>
      </c>
      <c r="S4" s="1">
        <v>9336</v>
      </c>
      <c r="T4" s="1">
        <v>7300</v>
      </c>
      <c r="U4" s="1">
        <v>5959</v>
      </c>
      <c r="V4" s="24">
        <v>5959</v>
      </c>
      <c r="W4" s="1">
        <v>7970</v>
      </c>
      <c r="X4" s="1">
        <v>5600</v>
      </c>
      <c r="Y4" s="1">
        <v>5005</v>
      </c>
      <c r="Z4" s="1">
        <v>3830</v>
      </c>
      <c r="AA4" s="1">
        <v>4492</v>
      </c>
      <c r="AB4" s="1">
        <v>4073</v>
      </c>
      <c r="AC4" s="1">
        <v>2560</v>
      </c>
      <c r="AD4">
        <f>SUM(B4:AC40)</f>
        <v>1958385</v>
      </c>
    </row>
    <row r="5" spans="1:306">
      <c r="A5" s="134" t="s">
        <v>280</v>
      </c>
      <c r="B5" s="1">
        <v>2650</v>
      </c>
      <c r="C5" s="1">
        <v>2080</v>
      </c>
      <c r="D5" s="179">
        <v>2680</v>
      </c>
      <c r="E5" s="1">
        <v>2600</v>
      </c>
      <c r="F5" s="1">
        <v>2400</v>
      </c>
      <c r="G5" s="1">
        <v>2050</v>
      </c>
      <c r="H5" s="1">
        <v>2850</v>
      </c>
      <c r="I5" s="1">
        <v>3130</v>
      </c>
      <c r="J5" s="24">
        <v>2500</v>
      </c>
      <c r="K5" s="1">
        <v>2130</v>
      </c>
      <c r="L5" s="1">
        <v>2150</v>
      </c>
      <c r="M5" s="1">
        <v>2050</v>
      </c>
      <c r="N5" s="1">
        <v>2650</v>
      </c>
      <c r="O5" s="1">
        <v>1700</v>
      </c>
      <c r="P5" s="1">
        <v>1739</v>
      </c>
      <c r="Q5" s="1">
        <v>2520</v>
      </c>
      <c r="R5" s="1">
        <v>1800</v>
      </c>
      <c r="S5" s="1">
        <v>1360</v>
      </c>
      <c r="T5" s="1">
        <v>1500</v>
      </c>
      <c r="U5" s="1">
        <v>800</v>
      </c>
      <c r="V5" s="24">
        <v>800</v>
      </c>
      <c r="W5" s="1">
        <v>1250</v>
      </c>
      <c r="X5" s="1">
        <v>800</v>
      </c>
      <c r="Y5" s="1">
        <v>560</v>
      </c>
      <c r="Z5" s="1">
        <v>568</v>
      </c>
      <c r="AA5" s="1">
        <v>720</v>
      </c>
      <c r="AB5" s="1">
        <v>480</v>
      </c>
      <c r="AC5" s="1">
        <v>700</v>
      </c>
      <c r="AD5">
        <f t="shared" ref="AD5:AD68" si="0">SUM(B5:AC41)</f>
        <v>1585084</v>
      </c>
    </row>
    <row r="6" spans="1:306">
      <c r="A6" s="134" t="s">
        <v>281</v>
      </c>
      <c r="B6" s="1">
        <v>7070</v>
      </c>
      <c r="C6" s="1">
        <v>6800</v>
      </c>
      <c r="D6" s="179">
        <v>9455</v>
      </c>
      <c r="E6" s="1">
        <v>7700</v>
      </c>
      <c r="F6" s="1">
        <v>7500</v>
      </c>
      <c r="G6" s="1">
        <v>4910</v>
      </c>
      <c r="H6" s="1">
        <v>6630</v>
      </c>
      <c r="I6" s="1">
        <v>3850</v>
      </c>
      <c r="J6" s="24">
        <v>4000</v>
      </c>
      <c r="K6" s="1">
        <v>3760</v>
      </c>
      <c r="L6" s="1">
        <v>3600</v>
      </c>
      <c r="M6" s="1">
        <v>5400</v>
      </c>
      <c r="N6" s="1">
        <v>4960</v>
      </c>
      <c r="O6" s="1">
        <v>4700</v>
      </c>
      <c r="P6" s="1">
        <v>5550</v>
      </c>
      <c r="Q6" s="1">
        <v>5280</v>
      </c>
      <c r="R6" s="1">
        <v>5330</v>
      </c>
      <c r="S6" s="1">
        <v>4750</v>
      </c>
      <c r="T6" s="1">
        <v>3500</v>
      </c>
      <c r="U6" s="1">
        <v>4140</v>
      </c>
      <c r="V6" s="24">
        <v>4140</v>
      </c>
      <c r="W6" s="1">
        <v>4600</v>
      </c>
      <c r="X6" s="1">
        <v>3080</v>
      </c>
      <c r="Y6" s="1">
        <v>2900</v>
      </c>
      <c r="Z6" s="1">
        <v>3400</v>
      </c>
      <c r="AA6" s="1">
        <v>3740</v>
      </c>
      <c r="AB6" s="1">
        <v>2100</v>
      </c>
      <c r="AC6" s="1">
        <v>5420</v>
      </c>
      <c r="AD6">
        <f t="shared" si="0"/>
        <v>1539352</v>
      </c>
    </row>
    <row r="7" spans="1:306">
      <c r="A7" s="134" t="s">
        <v>282</v>
      </c>
      <c r="B7" s="1">
        <v>400</v>
      </c>
      <c r="C7" s="1">
        <v>650</v>
      </c>
      <c r="D7" s="179">
        <v>400</v>
      </c>
      <c r="E7" s="1">
        <v>700</v>
      </c>
      <c r="F7" s="1">
        <v>550</v>
      </c>
      <c r="G7" s="1">
        <v>300</v>
      </c>
      <c r="H7" s="1">
        <v>440</v>
      </c>
      <c r="I7" s="1">
        <v>350</v>
      </c>
      <c r="J7" s="24">
        <v>300</v>
      </c>
      <c r="K7" s="1">
        <v>650</v>
      </c>
      <c r="L7" s="1">
        <v>280</v>
      </c>
      <c r="M7" s="1">
        <v>400</v>
      </c>
      <c r="N7" s="1">
        <v>760</v>
      </c>
      <c r="O7" s="1">
        <v>680</v>
      </c>
      <c r="P7" s="1">
        <v>360</v>
      </c>
      <c r="Q7" s="1">
        <v>522</v>
      </c>
      <c r="R7" s="1">
        <v>1100</v>
      </c>
      <c r="S7" s="1">
        <v>926</v>
      </c>
      <c r="T7" s="1">
        <v>680</v>
      </c>
      <c r="U7" s="1">
        <v>1014</v>
      </c>
      <c r="V7" s="24">
        <v>1014</v>
      </c>
      <c r="W7" s="1">
        <v>900</v>
      </c>
      <c r="X7" s="1">
        <v>714</v>
      </c>
      <c r="Y7" s="1">
        <v>400</v>
      </c>
      <c r="Z7" s="1">
        <v>900</v>
      </c>
      <c r="AA7" s="1">
        <v>950</v>
      </c>
      <c r="AB7" s="1">
        <v>600</v>
      </c>
      <c r="AC7" s="1">
        <v>556</v>
      </c>
      <c r="AD7">
        <f t="shared" si="0"/>
        <v>1403444</v>
      </c>
    </row>
    <row r="8" spans="1:306">
      <c r="A8" s="134" t="s">
        <v>283</v>
      </c>
      <c r="B8" s="1">
        <v>940</v>
      </c>
      <c r="C8" s="1">
        <v>2430</v>
      </c>
      <c r="D8" s="179">
        <v>2400</v>
      </c>
      <c r="E8" s="1">
        <v>2200</v>
      </c>
      <c r="F8" s="1">
        <v>3250</v>
      </c>
      <c r="G8" s="1">
        <v>1218</v>
      </c>
      <c r="H8" s="1">
        <v>2200</v>
      </c>
      <c r="I8" s="1">
        <v>1350</v>
      </c>
      <c r="J8" s="24">
        <v>2500</v>
      </c>
      <c r="K8" s="1">
        <v>600</v>
      </c>
      <c r="L8" s="1">
        <v>1900</v>
      </c>
      <c r="M8" s="1">
        <v>1100</v>
      </c>
      <c r="N8" s="1">
        <v>1050</v>
      </c>
      <c r="O8" s="1">
        <v>1700</v>
      </c>
      <c r="P8" s="1">
        <v>766</v>
      </c>
      <c r="Q8" s="1">
        <v>850</v>
      </c>
      <c r="R8" s="1">
        <v>1120</v>
      </c>
      <c r="S8" s="1">
        <v>700</v>
      </c>
      <c r="T8" s="1">
        <v>590</v>
      </c>
      <c r="U8" s="1">
        <v>500</v>
      </c>
      <c r="V8" s="24">
        <v>500</v>
      </c>
      <c r="W8" s="1">
        <v>700</v>
      </c>
      <c r="X8" s="1">
        <v>588</v>
      </c>
      <c r="Y8" s="1">
        <v>200</v>
      </c>
      <c r="Z8" s="1">
        <v>400</v>
      </c>
      <c r="AA8" s="1">
        <v>800</v>
      </c>
      <c r="AB8" s="1">
        <v>500</v>
      </c>
      <c r="AC8" s="1">
        <v>520</v>
      </c>
      <c r="AD8">
        <f t="shared" si="0"/>
        <v>1386554</v>
      </c>
    </row>
    <row r="9" spans="1:306">
      <c r="A9" s="134" t="s">
        <v>284</v>
      </c>
      <c r="B9" s="1">
        <v>5850</v>
      </c>
      <c r="C9" s="1">
        <v>3950</v>
      </c>
      <c r="D9" s="179">
        <v>3250</v>
      </c>
      <c r="E9" s="1">
        <v>3200</v>
      </c>
      <c r="F9" s="1">
        <v>2130</v>
      </c>
      <c r="G9" s="1">
        <v>1628</v>
      </c>
      <c r="H9" s="1">
        <v>1610</v>
      </c>
      <c r="I9" s="1">
        <v>963</v>
      </c>
      <c r="J9" s="24">
        <v>500</v>
      </c>
      <c r="K9" s="1">
        <v>724</v>
      </c>
      <c r="L9" s="1">
        <v>360</v>
      </c>
      <c r="M9" s="1">
        <v>438</v>
      </c>
      <c r="N9" s="1">
        <v>364</v>
      </c>
      <c r="O9" s="1">
        <v>364</v>
      </c>
      <c r="P9" s="1">
        <v>100</v>
      </c>
      <c r="Q9" s="1">
        <v>350</v>
      </c>
      <c r="R9" s="1">
        <v>163</v>
      </c>
      <c r="S9" s="1">
        <v>346</v>
      </c>
      <c r="T9" s="1">
        <v>146</v>
      </c>
      <c r="U9" s="1">
        <v>189</v>
      </c>
      <c r="V9" s="24">
        <v>189</v>
      </c>
      <c r="W9" s="1">
        <v>429</v>
      </c>
      <c r="X9" s="1">
        <v>156</v>
      </c>
      <c r="Y9" s="1">
        <v>219</v>
      </c>
      <c r="Z9" s="1">
        <v>365</v>
      </c>
      <c r="AA9" s="1">
        <v>374</v>
      </c>
      <c r="AB9" s="1">
        <v>310</v>
      </c>
      <c r="AC9" s="1">
        <v>378</v>
      </c>
      <c r="AD9">
        <f t="shared" si="0"/>
        <v>1353799</v>
      </c>
    </row>
    <row r="10" spans="1:306">
      <c r="A10" s="134" t="s">
        <v>285</v>
      </c>
      <c r="B10" s="1">
        <v>883</v>
      </c>
      <c r="C10" s="1">
        <v>835</v>
      </c>
      <c r="D10" s="179">
        <v>782</v>
      </c>
      <c r="E10" s="1">
        <v>680</v>
      </c>
      <c r="F10" s="1">
        <v>542</v>
      </c>
      <c r="G10" s="1">
        <v>600</v>
      </c>
      <c r="H10" s="1">
        <v>860</v>
      </c>
      <c r="I10" s="1">
        <v>642</v>
      </c>
      <c r="J10" s="24">
        <v>600</v>
      </c>
      <c r="K10" s="1">
        <v>450</v>
      </c>
      <c r="L10" s="1">
        <v>232</v>
      </c>
      <c r="M10" s="1">
        <v>232</v>
      </c>
      <c r="N10" s="1">
        <v>0</v>
      </c>
      <c r="O10" s="1">
        <v>350</v>
      </c>
      <c r="P10" s="1">
        <v>289</v>
      </c>
      <c r="Q10" s="1">
        <v>345</v>
      </c>
      <c r="R10" s="1">
        <v>300</v>
      </c>
      <c r="S10" s="1">
        <v>314</v>
      </c>
      <c r="T10" s="1">
        <v>350</v>
      </c>
      <c r="U10" s="1">
        <v>120</v>
      </c>
      <c r="V10" s="24">
        <v>120</v>
      </c>
      <c r="W10" s="1">
        <v>324</v>
      </c>
      <c r="X10" s="1">
        <v>120</v>
      </c>
      <c r="Y10" s="1">
        <v>165</v>
      </c>
      <c r="Z10" s="1">
        <v>176</v>
      </c>
      <c r="AA10" s="1">
        <v>50</v>
      </c>
      <c r="AB10" s="1">
        <v>176</v>
      </c>
      <c r="AC10" s="1">
        <v>80</v>
      </c>
      <c r="AD10">
        <f t="shared" si="0"/>
        <v>1326318</v>
      </c>
    </row>
    <row r="11" spans="1:306">
      <c r="A11" s="134" t="s">
        <v>286</v>
      </c>
      <c r="B11" s="1">
        <v>2824</v>
      </c>
      <c r="C11" s="1">
        <v>1950</v>
      </c>
      <c r="D11" s="179">
        <v>2355</v>
      </c>
      <c r="E11" s="1">
        <v>2488</v>
      </c>
      <c r="F11" s="1">
        <v>1550</v>
      </c>
      <c r="G11" s="1">
        <v>1968</v>
      </c>
      <c r="H11" s="1">
        <v>2150</v>
      </c>
      <c r="I11" s="1">
        <v>1230</v>
      </c>
      <c r="J11" s="24">
        <v>1000</v>
      </c>
      <c r="K11" s="1">
        <v>1218</v>
      </c>
      <c r="L11" s="1">
        <v>1296</v>
      </c>
      <c r="M11" s="1">
        <v>1100</v>
      </c>
      <c r="N11" s="1">
        <v>1550</v>
      </c>
      <c r="O11" s="1">
        <v>1760</v>
      </c>
      <c r="P11" s="1">
        <v>2530</v>
      </c>
      <c r="Q11" s="1">
        <v>2360</v>
      </c>
      <c r="R11" s="1">
        <v>2180</v>
      </c>
      <c r="S11" s="1">
        <v>2386</v>
      </c>
      <c r="T11" s="1">
        <v>2059</v>
      </c>
      <c r="U11" s="1">
        <v>3310</v>
      </c>
      <c r="V11" s="24">
        <v>3310</v>
      </c>
      <c r="W11" s="1">
        <v>2240</v>
      </c>
      <c r="X11" s="1">
        <v>1895</v>
      </c>
      <c r="Y11" s="1">
        <v>2650</v>
      </c>
      <c r="Z11" s="1">
        <v>1610</v>
      </c>
      <c r="AA11" s="1">
        <v>1610</v>
      </c>
      <c r="AB11" s="1">
        <v>1300</v>
      </c>
      <c r="AC11" s="1">
        <v>1560</v>
      </c>
      <c r="AD11">
        <f t="shared" si="0"/>
        <v>1316293</v>
      </c>
    </row>
    <row r="12" spans="1:306">
      <c r="A12" s="134" t="s">
        <v>287</v>
      </c>
      <c r="B12" s="1">
        <v>523</v>
      </c>
      <c r="C12" s="1">
        <v>380</v>
      </c>
      <c r="D12" s="179">
        <v>0</v>
      </c>
      <c r="E12" s="1">
        <v>450</v>
      </c>
      <c r="F12" s="1">
        <v>705</v>
      </c>
      <c r="G12" s="1">
        <v>463</v>
      </c>
      <c r="H12" s="1">
        <v>510</v>
      </c>
      <c r="I12" s="1">
        <v>585</v>
      </c>
      <c r="J12" s="24">
        <v>470</v>
      </c>
      <c r="K12" s="1">
        <v>530</v>
      </c>
      <c r="L12" s="1">
        <v>450</v>
      </c>
      <c r="M12" s="1">
        <v>425</v>
      </c>
      <c r="N12" s="1">
        <v>500</v>
      </c>
      <c r="O12" s="1">
        <v>335</v>
      </c>
      <c r="P12" s="1">
        <v>430</v>
      </c>
      <c r="Q12" s="1">
        <v>179</v>
      </c>
      <c r="R12" s="1">
        <v>261</v>
      </c>
      <c r="S12" s="1">
        <v>200</v>
      </c>
      <c r="T12" s="1">
        <v>158</v>
      </c>
      <c r="U12" s="1">
        <v>120</v>
      </c>
      <c r="V12" s="24">
        <v>120</v>
      </c>
      <c r="W12" s="1">
        <v>158</v>
      </c>
      <c r="X12" s="1">
        <v>94</v>
      </c>
      <c r="Y12" s="1">
        <v>127</v>
      </c>
      <c r="Z12" s="1">
        <v>84</v>
      </c>
      <c r="AA12" s="1">
        <v>127</v>
      </c>
      <c r="AB12" s="1">
        <v>103</v>
      </c>
      <c r="AC12" s="1">
        <v>100</v>
      </c>
      <c r="AD12">
        <f t="shared" si="0"/>
        <v>1264724</v>
      </c>
    </row>
    <row r="13" spans="1:306">
      <c r="A13" s="134" t="s">
        <v>288</v>
      </c>
      <c r="B13" s="1">
        <v>650</v>
      </c>
      <c r="C13" s="1">
        <v>1270</v>
      </c>
      <c r="D13" s="179">
        <v>900</v>
      </c>
      <c r="E13" s="1">
        <v>955</v>
      </c>
      <c r="F13" s="1">
        <v>1065</v>
      </c>
      <c r="G13" s="1">
        <v>1228</v>
      </c>
      <c r="H13" s="1">
        <v>1150</v>
      </c>
      <c r="I13" s="1">
        <v>520</v>
      </c>
      <c r="J13" s="24">
        <v>500</v>
      </c>
      <c r="K13" s="1">
        <v>300</v>
      </c>
      <c r="L13" s="1">
        <v>500</v>
      </c>
      <c r="M13" s="1">
        <v>600</v>
      </c>
      <c r="N13" s="1">
        <v>460</v>
      </c>
      <c r="O13" s="1">
        <v>340</v>
      </c>
      <c r="P13" s="1">
        <v>537</v>
      </c>
      <c r="Q13" s="1">
        <v>400</v>
      </c>
      <c r="R13" s="1">
        <v>150</v>
      </c>
      <c r="S13" s="1">
        <v>300</v>
      </c>
      <c r="T13" s="1">
        <v>225</v>
      </c>
      <c r="U13" s="1">
        <v>180</v>
      </c>
      <c r="V13" s="24">
        <v>180</v>
      </c>
      <c r="W13" s="1">
        <v>170</v>
      </c>
      <c r="X13" s="1">
        <v>110</v>
      </c>
      <c r="Y13" s="1">
        <v>285</v>
      </c>
      <c r="Z13" s="1">
        <v>30</v>
      </c>
      <c r="AA13" s="1">
        <v>121</v>
      </c>
      <c r="AB13" s="1">
        <v>150</v>
      </c>
      <c r="AC13" s="1">
        <v>225</v>
      </c>
      <c r="AD13">
        <f t="shared" si="0"/>
        <v>1257129</v>
      </c>
    </row>
    <row r="14" spans="1:306">
      <c r="A14" s="134" t="s">
        <v>289</v>
      </c>
      <c r="B14" s="1">
        <v>500</v>
      </c>
      <c r="C14" s="1">
        <v>418</v>
      </c>
      <c r="D14" s="179">
        <v>650</v>
      </c>
      <c r="E14" s="1">
        <v>1500</v>
      </c>
      <c r="F14" s="1">
        <v>950</v>
      </c>
      <c r="G14" s="1">
        <v>2000</v>
      </c>
      <c r="H14" s="1">
        <v>2300</v>
      </c>
      <c r="I14" s="1">
        <v>1650</v>
      </c>
      <c r="J14" s="24">
        <v>1700</v>
      </c>
      <c r="K14" s="1">
        <v>2127</v>
      </c>
      <c r="L14" s="1">
        <v>1554</v>
      </c>
      <c r="M14" s="1">
        <v>1466</v>
      </c>
      <c r="N14" s="1">
        <v>3050</v>
      </c>
      <c r="O14" s="1">
        <v>2550</v>
      </c>
      <c r="P14" s="1">
        <v>1150</v>
      </c>
      <c r="Q14" s="1">
        <v>2000</v>
      </c>
      <c r="R14" s="1">
        <v>1500</v>
      </c>
      <c r="S14" s="1">
        <v>1550</v>
      </c>
      <c r="T14" s="1">
        <v>1800</v>
      </c>
      <c r="U14" s="1">
        <v>1250</v>
      </c>
      <c r="V14" s="24">
        <v>1250</v>
      </c>
      <c r="W14" s="1">
        <v>1950</v>
      </c>
      <c r="X14" s="1">
        <v>1100</v>
      </c>
      <c r="Y14" s="1">
        <v>600</v>
      </c>
      <c r="Z14" s="1">
        <v>1300</v>
      </c>
      <c r="AA14" s="1">
        <v>850</v>
      </c>
      <c r="AB14" s="1">
        <v>1630</v>
      </c>
      <c r="AC14" s="1">
        <v>1380</v>
      </c>
      <c r="AD14">
        <f t="shared" si="0"/>
        <v>1243933</v>
      </c>
    </row>
    <row r="15" spans="1:306">
      <c r="A15" s="134" t="s">
        <v>290</v>
      </c>
      <c r="B15" s="1">
        <v>1300</v>
      </c>
      <c r="C15" s="1">
        <v>2250</v>
      </c>
      <c r="D15" s="179">
        <v>2200</v>
      </c>
      <c r="E15" s="1">
        <v>2130</v>
      </c>
      <c r="F15" s="1">
        <v>1510</v>
      </c>
      <c r="G15" s="1">
        <v>2550</v>
      </c>
      <c r="H15" s="1">
        <v>1550</v>
      </c>
      <c r="I15" s="1">
        <v>1850</v>
      </c>
      <c r="J15" s="24">
        <v>1900</v>
      </c>
      <c r="K15" s="1">
        <v>1600</v>
      </c>
      <c r="L15" s="1">
        <v>1350</v>
      </c>
      <c r="M15" s="1">
        <v>1200</v>
      </c>
      <c r="N15" s="1">
        <v>2150</v>
      </c>
      <c r="O15" s="1">
        <v>1950</v>
      </c>
      <c r="P15" s="1">
        <v>2500</v>
      </c>
      <c r="Q15" s="1">
        <v>1200</v>
      </c>
      <c r="R15" s="1">
        <v>950</v>
      </c>
      <c r="S15" s="1">
        <v>950</v>
      </c>
      <c r="T15" s="1">
        <v>1500</v>
      </c>
      <c r="U15" s="1">
        <v>1260</v>
      </c>
      <c r="V15" s="24">
        <v>1260</v>
      </c>
      <c r="W15" s="1">
        <v>840</v>
      </c>
      <c r="X15" s="1">
        <v>1060</v>
      </c>
      <c r="Y15" s="1">
        <v>650</v>
      </c>
      <c r="Z15" s="1">
        <v>490</v>
      </c>
      <c r="AA15" s="1">
        <v>700</v>
      </c>
      <c r="AB15" s="1">
        <v>550</v>
      </c>
      <c r="AC15" s="1">
        <v>950</v>
      </c>
      <c r="AD15">
        <f t="shared" si="0"/>
        <v>1202966</v>
      </c>
    </row>
    <row r="16" spans="1:306">
      <c r="A16" s="134" t="s">
        <v>291</v>
      </c>
      <c r="B16" s="1">
        <v>274</v>
      </c>
      <c r="C16" s="1">
        <v>485</v>
      </c>
      <c r="D16" s="179">
        <v>380</v>
      </c>
      <c r="E16" s="1">
        <v>400</v>
      </c>
      <c r="F16" s="1">
        <v>450</v>
      </c>
      <c r="G16" s="1">
        <v>650</v>
      </c>
      <c r="H16" s="1">
        <v>375</v>
      </c>
      <c r="I16" s="1">
        <v>475</v>
      </c>
      <c r="J16" s="24">
        <v>400</v>
      </c>
      <c r="K16" s="1">
        <v>520</v>
      </c>
      <c r="L16" s="1">
        <v>294</v>
      </c>
      <c r="M16" s="1">
        <v>210</v>
      </c>
      <c r="N16" s="1">
        <v>800</v>
      </c>
      <c r="O16" s="1">
        <v>586</v>
      </c>
      <c r="P16" s="1">
        <v>370</v>
      </c>
      <c r="Q16" s="1">
        <v>415</v>
      </c>
      <c r="R16" s="1">
        <v>245</v>
      </c>
      <c r="S16" s="1">
        <v>450</v>
      </c>
      <c r="T16" s="1">
        <v>385</v>
      </c>
      <c r="U16" s="1">
        <v>200</v>
      </c>
      <c r="V16" s="24">
        <v>200</v>
      </c>
      <c r="W16" s="1">
        <v>291</v>
      </c>
      <c r="X16" s="1">
        <v>538</v>
      </c>
      <c r="Y16" s="1">
        <v>160</v>
      </c>
      <c r="Z16" s="1">
        <v>171</v>
      </c>
      <c r="AA16" s="1">
        <v>64</v>
      </c>
      <c r="AB16" s="1">
        <v>106</v>
      </c>
      <c r="AC16" s="1">
        <v>100</v>
      </c>
      <c r="AD16">
        <f t="shared" si="0"/>
        <v>1162831</v>
      </c>
    </row>
    <row r="17" spans="1:30">
      <c r="A17" s="134" t="s">
        <v>292</v>
      </c>
      <c r="B17" s="1">
        <v>400</v>
      </c>
      <c r="C17" s="1">
        <v>700</v>
      </c>
      <c r="D17" s="179">
        <v>550</v>
      </c>
      <c r="E17" s="1">
        <v>600</v>
      </c>
      <c r="F17" s="1">
        <v>600</v>
      </c>
      <c r="G17" s="1">
        <v>720</v>
      </c>
      <c r="H17" s="1">
        <v>713</v>
      </c>
      <c r="I17" s="1">
        <v>750</v>
      </c>
      <c r="J17" s="24">
        <v>700</v>
      </c>
      <c r="K17" s="1">
        <v>350</v>
      </c>
      <c r="L17" s="1">
        <v>460</v>
      </c>
      <c r="M17" s="1">
        <v>270</v>
      </c>
      <c r="N17" s="1">
        <v>600</v>
      </c>
      <c r="O17" s="1">
        <v>350</v>
      </c>
      <c r="P17" s="1">
        <v>286</v>
      </c>
      <c r="Q17" s="1">
        <v>296</v>
      </c>
      <c r="R17" s="1">
        <v>260</v>
      </c>
      <c r="S17" s="1">
        <v>250</v>
      </c>
      <c r="T17" s="1">
        <v>320</v>
      </c>
      <c r="U17" s="1">
        <v>300</v>
      </c>
      <c r="V17" s="24">
        <v>300</v>
      </c>
      <c r="W17" s="1">
        <v>400</v>
      </c>
      <c r="X17" s="1">
        <v>315</v>
      </c>
      <c r="Y17" s="1">
        <v>190</v>
      </c>
      <c r="Z17" s="1">
        <v>300</v>
      </c>
      <c r="AA17" s="1">
        <v>375</v>
      </c>
      <c r="AB17" s="1">
        <v>400</v>
      </c>
      <c r="AC17" s="1">
        <v>281</v>
      </c>
      <c r="AD17">
        <f t="shared" si="0"/>
        <v>1152961</v>
      </c>
    </row>
    <row r="18" spans="1:30">
      <c r="A18" s="134" t="s">
        <v>293</v>
      </c>
      <c r="B18" s="1">
        <v>250</v>
      </c>
      <c r="C18" s="1">
        <v>350</v>
      </c>
      <c r="D18" s="179">
        <v>145</v>
      </c>
      <c r="E18" s="1">
        <v>200</v>
      </c>
      <c r="F18" s="1">
        <v>450</v>
      </c>
      <c r="G18" s="1">
        <v>100</v>
      </c>
      <c r="H18" s="1">
        <v>250</v>
      </c>
      <c r="I18" s="1">
        <v>100</v>
      </c>
      <c r="J18" s="24">
        <v>200</v>
      </c>
      <c r="K18" s="1">
        <v>150</v>
      </c>
      <c r="L18" s="1">
        <v>133</v>
      </c>
      <c r="M18" s="1">
        <v>150</v>
      </c>
      <c r="N18" s="1">
        <v>200</v>
      </c>
      <c r="O18" s="1">
        <v>80</v>
      </c>
      <c r="P18" s="1">
        <v>250</v>
      </c>
      <c r="Q18" s="1">
        <v>182</v>
      </c>
      <c r="R18" s="1">
        <v>118</v>
      </c>
      <c r="S18" s="1">
        <v>230</v>
      </c>
      <c r="T18" s="1">
        <v>390</v>
      </c>
      <c r="U18" s="1">
        <v>100</v>
      </c>
      <c r="V18" s="24">
        <v>100</v>
      </c>
      <c r="W18" s="1">
        <v>140</v>
      </c>
      <c r="X18" s="1">
        <v>200</v>
      </c>
      <c r="Y18" s="1">
        <v>120</v>
      </c>
      <c r="Z18" s="1">
        <v>80</v>
      </c>
      <c r="AA18" s="1">
        <v>329</v>
      </c>
      <c r="AB18" s="1">
        <v>100</v>
      </c>
      <c r="AC18" s="1">
        <v>133</v>
      </c>
      <c r="AD18">
        <f t="shared" si="0"/>
        <v>1146971</v>
      </c>
    </row>
    <row r="19" spans="1:30">
      <c r="A19" s="134" t="s">
        <v>294</v>
      </c>
      <c r="B19" s="1">
        <v>690</v>
      </c>
      <c r="C19" s="1">
        <v>484</v>
      </c>
      <c r="D19" s="179">
        <v>824</v>
      </c>
      <c r="E19" s="1">
        <v>833</v>
      </c>
      <c r="F19" s="1">
        <v>100</v>
      </c>
      <c r="G19" s="1">
        <v>600</v>
      </c>
      <c r="H19" s="1">
        <v>550</v>
      </c>
      <c r="I19" s="1">
        <v>750</v>
      </c>
      <c r="J19" s="24">
        <v>700</v>
      </c>
      <c r="K19" s="1">
        <v>828</v>
      </c>
      <c r="L19" s="1">
        <v>400</v>
      </c>
      <c r="M19" s="1">
        <v>400</v>
      </c>
      <c r="N19" s="1">
        <v>650</v>
      </c>
      <c r="O19" s="1">
        <v>600</v>
      </c>
      <c r="P19" s="1">
        <v>300</v>
      </c>
      <c r="Q19" s="1">
        <v>300</v>
      </c>
      <c r="R19" s="1">
        <v>450</v>
      </c>
      <c r="S19" s="1">
        <v>530</v>
      </c>
      <c r="T19" s="1">
        <v>350</v>
      </c>
      <c r="U19" s="1">
        <v>316</v>
      </c>
      <c r="V19" s="24">
        <v>316</v>
      </c>
      <c r="W19" s="1">
        <v>175</v>
      </c>
      <c r="X19" s="1">
        <v>100</v>
      </c>
      <c r="Y19" s="1">
        <v>260</v>
      </c>
      <c r="Z19" s="1">
        <v>250</v>
      </c>
      <c r="AA19" s="1">
        <v>542</v>
      </c>
      <c r="AB19" s="1">
        <v>300</v>
      </c>
      <c r="AC19" s="1">
        <v>575</v>
      </c>
      <c r="AD19">
        <f t="shared" si="0"/>
        <v>1146460</v>
      </c>
    </row>
    <row r="20" spans="1:30">
      <c r="A20" s="134" t="s">
        <v>295</v>
      </c>
      <c r="B20" s="1">
        <v>679</v>
      </c>
      <c r="C20" s="1">
        <v>450</v>
      </c>
      <c r="D20" s="179">
        <v>285</v>
      </c>
      <c r="E20" s="1">
        <v>710</v>
      </c>
      <c r="F20" s="1">
        <v>500</v>
      </c>
      <c r="G20" s="1">
        <v>350</v>
      </c>
      <c r="H20" s="1">
        <v>450</v>
      </c>
      <c r="I20" s="1">
        <v>350</v>
      </c>
      <c r="J20" s="24">
        <v>300</v>
      </c>
      <c r="K20" s="1">
        <v>560</v>
      </c>
      <c r="L20" s="1">
        <v>200</v>
      </c>
      <c r="M20" s="1">
        <v>446</v>
      </c>
      <c r="N20" s="1">
        <v>650</v>
      </c>
      <c r="O20" s="1">
        <v>1050</v>
      </c>
      <c r="P20" s="1">
        <v>250</v>
      </c>
      <c r="Q20" s="1">
        <v>685</v>
      </c>
      <c r="R20" s="1">
        <v>250</v>
      </c>
      <c r="S20" s="1">
        <v>480</v>
      </c>
      <c r="T20" s="1">
        <v>350</v>
      </c>
      <c r="U20" s="1">
        <v>421</v>
      </c>
      <c r="V20" s="24">
        <v>421</v>
      </c>
      <c r="W20" s="1">
        <v>300</v>
      </c>
      <c r="X20" s="1">
        <v>65</v>
      </c>
      <c r="Y20" s="1">
        <v>321</v>
      </c>
      <c r="Z20" s="1">
        <v>186</v>
      </c>
      <c r="AA20" s="1">
        <v>450</v>
      </c>
      <c r="AB20" s="1">
        <v>465</v>
      </c>
      <c r="AC20" s="1">
        <v>250</v>
      </c>
      <c r="AD20">
        <f t="shared" si="0"/>
        <v>1134198</v>
      </c>
    </row>
    <row r="21" spans="1:30">
      <c r="A21" s="134" t="s">
        <v>296</v>
      </c>
      <c r="B21" s="1">
        <v>0</v>
      </c>
      <c r="C21" s="1">
        <v>0</v>
      </c>
      <c r="D21" s="179">
        <v>706</v>
      </c>
      <c r="E21" s="1">
        <v>0</v>
      </c>
      <c r="F21" s="1">
        <v>63</v>
      </c>
      <c r="G21" s="1">
        <v>100</v>
      </c>
      <c r="H21" s="1">
        <v>110</v>
      </c>
      <c r="I21" s="1">
        <v>50</v>
      </c>
      <c r="J21" s="24">
        <v>150</v>
      </c>
      <c r="K21" s="1">
        <v>172</v>
      </c>
      <c r="L21" s="1">
        <v>100</v>
      </c>
      <c r="M21" s="1">
        <v>187</v>
      </c>
      <c r="N21" s="1">
        <v>128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80</v>
      </c>
      <c r="V21" s="24">
        <v>80</v>
      </c>
      <c r="W21" s="1">
        <v>100</v>
      </c>
      <c r="X21" s="1">
        <v>65</v>
      </c>
      <c r="Y21" s="1">
        <v>50</v>
      </c>
      <c r="Z21" s="1">
        <v>100</v>
      </c>
      <c r="AA21" s="1">
        <v>50</v>
      </c>
      <c r="AB21" s="1">
        <v>130</v>
      </c>
      <c r="AC21" s="1">
        <v>100</v>
      </c>
      <c r="AD21">
        <f t="shared" si="0"/>
        <v>1122769</v>
      </c>
    </row>
    <row r="22" spans="1:30">
      <c r="A22" s="134" t="s">
        <v>297</v>
      </c>
      <c r="B22" s="1">
        <v>130</v>
      </c>
      <c r="C22" s="1">
        <v>230</v>
      </c>
      <c r="D22" s="179">
        <v>0</v>
      </c>
      <c r="E22" s="1">
        <v>50</v>
      </c>
      <c r="F22" s="1">
        <v>170</v>
      </c>
      <c r="G22" s="1">
        <v>340</v>
      </c>
      <c r="H22" s="1">
        <v>260</v>
      </c>
      <c r="I22" s="1">
        <v>200</v>
      </c>
      <c r="J22" s="24">
        <v>250</v>
      </c>
      <c r="K22" s="1">
        <v>230</v>
      </c>
      <c r="L22" s="1">
        <v>100</v>
      </c>
      <c r="M22" s="1">
        <v>160</v>
      </c>
      <c r="N22" s="1">
        <v>150</v>
      </c>
      <c r="O22" s="1">
        <v>200</v>
      </c>
      <c r="P22" s="1">
        <v>0</v>
      </c>
      <c r="Q22" s="1">
        <v>130</v>
      </c>
      <c r="R22" s="1">
        <v>150</v>
      </c>
      <c r="S22" s="1">
        <v>35</v>
      </c>
      <c r="T22" s="1">
        <v>150</v>
      </c>
      <c r="U22" s="1">
        <v>70</v>
      </c>
      <c r="V22" s="24">
        <v>70</v>
      </c>
      <c r="W22" s="1">
        <v>36</v>
      </c>
      <c r="X22" s="1">
        <v>30</v>
      </c>
      <c r="Y22" s="1">
        <v>0</v>
      </c>
      <c r="Z22" s="1">
        <v>0</v>
      </c>
      <c r="AA22" s="1">
        <v>60</v>
      </c>
      <c r="AB22" s="1">
        <v>56</v>
      </c>
      <c r="AC22" s="1">
        <v>40</v>
      </c>
      <c r="AD22">
        <f t="shared" si="0"/>
        <v>1120302</v>
      </c>
    </row>
    <row r="23" spans="1:30">
      <c r="A23" s="134" t="s">
        <v>298</v>
      </c>
      <c r="B23" s="1">
        <v>614</v>
      </c>
      <c r="C23" s="1">
        <v>637</v>
      </c>
      <c r="D23" s="179">
        <v>750</v>
      </c>
      <c r="E23" s="1">
        <v>910</v>
      </c>
      <c r="F23" s="1">
        <v>1385</v>
      </c>
      <c r="G23" s="1">
        <v>1762</v>
      </c>
      <c r="H23" s="1">
        <v>1560</v>
      </c>
      <c r="I23" s="1">
        <v>1350</v>
      </c>
      <c r="J23" s="24">
        <v>300</v>
      </c>
      <c r="K23" s="1">
        <v>960</v>
      </c>
      <c r="L23" s="1">
        <v>1060</v>
      </c>
      <c r="M23" s="1">
        <v>1200</v>
      </c>
      <c r="N23" s="1">
        <v>60</v>
      </c>
      <c r="O23" s="1">
        <v>1850</v>
      </c>
      <c r="P23" s="1">
        <v>1610</v>
      </c>
      <c r="Q23" s="1">
        <v>1826</v>
      </c>
      <c r="R23" s="1">
        <v>1200</v>
      </c>
      <c r="S23" s="1">
        <v>1316</v>
      </c>
      <c r="T23" s="1">
        <v>1532</v>
      </c>
      <c r="U23" s="1">
        <v>1261</v>
      </c>
      <c r="V23" s="24">
        <v>1261</v>
      </c>
      <c r="W23" s="1">
        <v>1250</v>
      </c>
      <c r="X23" s="1">
        <v>635</v>
      </c>
      <c r="Y23" s="1">
        <v>785</v>
      </c>
      <c r="Z23" s="1">
        <v>782</v>
      </c>
      <c r="AA23" s="1">
        <v>880</v>
      </c>
      <c r="AB23" s="1">
        <v>1060</v>
      </c>
      <c r="AC23" s="1">
        <v>940</v>
      </c>
      <c r="AD23">
        <f t="shared" si="0"/>
        <v>1118165</v>
      </c>
    </row>
    <row r="24" spans="1:30">
      <c r="A24" s="134" t="s">
        <v>299</v>
      </c>
      <c r="B24" s="1">
        <v>213</v>
      </c>
      <c r="C24" s="1">
        <v>363</v>
      </c>
      <c r="D24" s="179">
        <v>347</v>
      </c>
      <c r="E24" s="1">
        <v>240</v>
      </c>
      <c r="F24" s="1">
        <v>308</v>
      </c>
      <c r="G24" s="1">
        <v>563</v>
      </c>
      <c r="H24" s="1">
        <v>370</v>
      </c>
      <c r="I24" s="1">
        <v>320</v>
      </c>
      <c r="J24" s="24">
        <v>250</v>
      </c>
      <c r="K24" s="1">
        <v>310</v>
      </c>
      <c r="L24" s="1">
        <v>188</v>
      </c>
      <c r="M24" s="1">
        <v>230</v>
      </c>
      <c r="N24" s="1">
        <v>320</v>
      </c>
      <c r="O24" s="1">
        <v>292</v>
      </c>
      <c r="P24" s="1">
        <v>233</v>
      </c>
      <c r="Q24" s="1">
        <v>300</v>
      </c>
      <c r="R24" s="1">
        <v>160</v>
      </c>
      <c r="S24" s="1">
        <v>260</v>
      </c>
      <c r="T24" s="1">
        <v>225</v>
      </c>
      <c r="U24" s="1">
        <v>178</v>
      </c>
      <c r="V24" s="24">
        <v>178</v>
      </c>
      <c r="W24" s="1">
        <v>204</v>
      </c>
      <c r="X24" s="1">
        <v>158</v>
      </c>
      <c r="Y24" s="1">
        <v>190</v>
      </c>
      <c r="Z24" s="1">
        <v>169</v>
      </c>
      <c r="AA24" s="1">
        <v>140</v>
      </c>
      <c r="AB24" s="1">
        <v>192</v>
      </c>
      <c r="AC24" s="1">
        <v>188</v>
      </c>
      <c r="AD24">
        <f t="shared" si="0"/>
        <v>1088103</v>
      </c>
    </row>
    <row r="25" spans="1:30">
      <c r="A25" s="134" t="s">
        <v>300</v>
      </c>
      <c r="B25" s="1">
        <v>1134</v>
      </c>
      <c r="C25" s="1">
        <v>1730</v>
      </c>
      <c r="D25" s="179">
        <v>1650</v>
      </c>
      <c r="E25" s="1">
        <v>1374</v>
      </c>
      <c r="F25" s="1">
        <v>1260</v>
      </c>
      <c r="G25" s="1">
        <v>1410</v>
      </c>
      <c r="H25" s="1">
        <v>1550</v>
      </c>
      <c r="I25" s="1">
        <v>1060</v>
      </c>
      <c r="J25" s="24">
        <v>1000</v>
      </c>
      <c r="K25" s="1">
        <v>1080</v>
      </c>
      <c r="L25" s="1">
        <v>777</v>
      </c>
      <c r="M25" s="1">
        <v>820</v>
      </c>
      <c r="N25" s="1">
        <v>1120</v>
      </c>
      <c r="O25" s="1">
        <v>1060</v>
      </c>
      <c r="P25" s="1">
        <v>773</v>
      </c>
      <c r="Q25" s="1">
        <v>952</v>
      </c>
      <c r="R25" s="1">
        <v>673</v>
      </c>
      <c r="S25" s="1">
        <v>886</v>
      </c>
      <c r="T25" s="1">
        <v>755</v>
      </c>
      <c r="U25" s="1">
        <v>500</v>
      </c>
      <c r="V25" s="24">
        <v>500</v>
      </c>
      <c r="W25" s="1">
        <v>507</v>
      </c>
      <c r="X25" s="1">
        <v>579</v>
      </c>
      <c r="Y25" s="1">
        <v>563</v>
      </c>
      <c r="Z25" s="1">
        <v>445</v>
      </c>
      <c r="AA25" s="1">
        <v>436</v>
      </c>
      <c r="AB25" s="1">
        <v>365</v>
      </c>
      <c r="AC25" s="1">
        <v>437</v>
      </c>
      <c r="AD25">
        <f t="shared" si="0"/>
        <v>1081014</v>
      </c>
    </row>
    <row r="26" spans="1:30">
      <c r="A26" s="134" t="s">
        <v>301</v>
      </c>
      <c r="B26" s="1">
        <v>0</v>
      </c>
      <c r="C26" s="1">
        <v>0</v>
      </c>
      <c r="D26" s="179">
        <v>0</v>
      </c>
      <c r="E26" s="1">
        <v>0</v>
      </c>
      <c r="F26" s="1">
        <v>0</v>
      </c>
      <c r="G26" s="1">
        <v>21</v>
      </c>
      <c r="H26" s="1">
        <v>0</v>
      </c>
      <c r="I26" s="1">
        <v>0</v>
      </c>
      <c r="J26" s="24"/>
      <c r="K26" s="1">
        <v>0</v>
      </c>
      <c r="L26" s="1">
        <v>0</v>
      </c>
      <c r="M26" s="1">
        <v>0</v>
      </c>
      <c r="N26" s="1">
        <v>2150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24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>
        <f t="shared" si="0"/>
        <v>1055618</v>
      </c>
    </row>
    <row r="27" spans="1:30">
      <c r="A27" s="134" t="s">
        <v>302</v>
      </c>
      <c r="B27" s="1">
        <v>130</v>
      </c>
      <c r="C27" s="1">
        <v>100</v>
      </c>
      <c r="D27" s="179">
        <v>20</v>
      </c>
      <c r="E27" s="1">
        <v>60</v>
      </c>
      <c r="F27" s="1">
        <v>0</v>
      </c>
      <c r="G27" s="1">
        <v>36</v>
      </c>
      <c r="H27" s="1">
        <v>0</v>
      </c>
      <c r="I27" s="1">
        <v>0</v>
      </c>
      <c r="J27" s="24"/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24">
        <v>0</v>
      </c>
      <c r="W27" s="1">
        <v>0</v>
      </c>
      <c r="X27" s="1">
        <v>0</v>
      </c>
      <c r="Y27" s="1">
        <v>40</v>
      </c>
      <c r="Z27" s="1">
        <v>30</v>
      </c>
      <c r="AA27" s="1">
        <v>130</v>
      </c>
      <c r="AB27" s="1">
        <v>70</v>
      </c>
      <c r="AC27" s="1">
        <v>230</v>
      </c>
      <c r="AD27">
        <f t="shared" si="0"/>
        <v>1054098</v>
      </c>
    </row>
    <row r="28" spans="1:30">
      <c r="A28" s="134" t="s">
        <v>303</v>
      </c>
      <c r="B28" s="1">
        <v>350</v>
      </c>
      <c r="C28" s="1">
        <v>150</v>
      </c>
      <c r="D28" s="179">
        <v>209</v>
      </c>
      <c r="E28" s="1">
        <v>165</v>
      </c>
      <c r="F28" s="1">
        <v>215</v>
      </c>
      <c r="G28" s="1">
        <v>120</v>
      </c>
      <c r="H28" s="1">
        <v>180</v>
      </c>
      <c r="I28" s="1">
        <v>300</v>
      </c>
      <c r="J28" s="24">
        <v>280</v>
      </c>
      <c r="K28" s="1">
        <v>350</v>
      </c>
      <c r="L28" s="1">
        <v>100</v>
      </c>
      <c r="M28" s="1">
        <v>100</v>
      </c>
      <c r="N28" s="1">
        <v>190</v>
      </c>
      <c r="O28" s="1">
        <v>207</v>
      </c>
      <c r="P28" s="1">
        <v>150</v>
      </c>
      <c r="Q28" s="1">
        <v>180</v>
      </c>
      <c r="R28" s="1">
        <v>138</v>
      </c>
      <c r="S28" s="1">
        <v>100</v>
      </c>
      <c r="T28" s="1">
        <v>0</v>
      </c>
      <c r="U28" s="1">
        <v>120</v>
      </c>
      <c r="V28" s="24">
        <v>120</v>
      </c>
      <c r="W28" s="1">
        <v>120</v>
      </c>
      <c r="X28" s="1">
        <v>0</v>
      </c>
      <c r="Y28" s="1">
        <v>50</v>
      </c>
      <c r="Z28" s="1">
        <v>50</v>
      </c>
      <c r="AA28" s="1">
        <v>0</v>
      </c>
      <c r="AB28" s="1">
        <v>0</v>
      </c>
      <c r="AC28" s="1">
        <v>0</v>
      </c>
      <c r="AD28">
        <f t="shared" si="0"/>
        <v>1053524</v>
      </c>
    </row>
    <row r="29" spans="1:30">
      <c r="A29" s="134" t="s">
        <v>304</v>
      </c>
      <c r="B29" s="1">
        <v>0</v>
      </c>
      <c r="C29" s="1">
        <v>0</v>
      </c>
      <c r="D29" s="179">
        <v>0</v>
      </c>
      <c r="E29" s="1">
        <v>0</v>
      </c>
      <c r="F29" s="1">
        <v>0</v>
      </c>
      <c r="G29" s="1">
        <v>0</v>
      </c>
      <c r="H29" s="1">
        <v>0</v>
      </c>
      <c r="I29" s="1">
        <v>135</v>
      </c>
      <c r="J29" s="24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24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>
        <f t="shared" si="0"/>
        <v>1053957</v>
      </c>
    </row>
    <row r="30" spans="1:30">
      <c r="A30" s="134" t="s">
        <v>305</v>
      </c>
      <c r="B30" s="1">
        <v>100</v>
      </c>
      <c r="C30" s="1">
        <v>50</v>
      </c>
      <c r="D30" s="179">
        <v>70</v>
      </c>
      <c r="E30" s="1">
        <v>0</v>
      </c>
      <c r="F30" s="1">
        <v>0</v>
      </c>
      <c r="G30" s="1">
        <v>174</v>
      </c>
      <c r="H30" s="1">
        <v>150</v>
      </c>
      <c r="I30" s="1">
        <v>0</v>
      </c>
      <c r="J30" s="24">
        <v>200</v>
      </c>
      <c r="K30" s="1">
        <v>250</v>
      </c>
      <c r="L30" s="1">
        <v>100</v>
      </c>
      <c r="M30" s="1">
        <v>200</v>
      </c>
      <c r="N30" s="1">
        <v>180</v>
      </c>
      <c r="O30" s="1">
        <v>226</v>
      </c>
      <c r="P30" s="1">
        <v>150</v>
      </c>
      <c r="Q30" s="1">
        <v>200</v>
      </c>
      <c r="R30" s="1">
        <v>230</v>
      </c>
      <c r="S30" s="1">
        <v>150</v>
      </c>
      <c r="T30" s="1">
        <v>200</v>
      </c>
      <c r="U30" s="1">
        <v>50</v>
      </c>
      <c r="V30" s="24">
        <v>50</v>
      </c>
      <c r="W30" s="1">
        <v>80</v>
      </c>
      <c r="X30" s="1">
        <v>0</v>
      </c>
      <c r="Y30" s="1">
        <v>50</v>
      </c>
      <c r="Z30" s="1">
        <v>70</v>
      </c>
      <c r="AA30" s="1">
        <v>25</v>
      </c>
      <c r="AB30" s="1">
        <v>100</v>
      </c>
      <c r="AC30" s="1">
        <v>30</v>
      </c>
      <c r="AD30">
        <f t="shared" si="0"/>
        <v>1060767</v>
      </c>
    </row>
    <row r="31" spans="1:30">
      <c r="A31" s="134" t="s">
        <v>306</v>
      </c>
      <c r="B31" s="1">
        <v>0</v>
      </c>
      <c r="C31" s="1">
        <v>0</v>
      </c>
      <c r="D31" s="179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24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24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>
        <f t="shared" si="0"/>
        <v>1058860</v>
      </c>
    </row>
    <row r="32" spans="1:30">
      <c r="A32" s="134" t="s">
        <v>307</v>
      </c>
      <c r="B32" s="1">
        <v>0</v>
      </c>
      <c r="C32" s="1">
        <v>0</v>
      </c>
      <c r="D32" s="179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24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24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>
        <f t="shared" si="0"/>
        <v>1058867</v>
      </c>
    </row>
    <row r="33" spans="1:30">
      <c r="A33" s="134" t="s">
        <v>308</v>
      </c>
      <c r="B33" s="1">
        <v>70</v>
      </c>
      <c r="C33" s="1">
        <v>90</v>
      </c>
      <c r="D33" s="179">
        <v>45</v>
      </c>
      <c r="E33" s="1">
        <v>94</v>
      </c>
      <c r="F33" s="1">
        <v>51</v>
      </c>
      <c r="G33" s="1">
        <v>148</v>
      </c>
      <c r="H33" s="1">
        <v>80</v>
      </c>
      <c r="I33" s="1">
        <v>351</v>
      </c>
      <c r="J33" s="24">
        <v>300</v>
      </c>
      <c r="K33" s="1">
        <v>85</v>
      </c>
      <c r="L33" s="1">
        <v>42</v>
      </c>
      <c r="M33" s="1">
        <v>55</v>
      </c>
      <c r="N33" s="1">
        <v>80</v>
      </c>
      <c r="O33" s="1">
        <v>100</v>
      </c>
      <c r="P33" s="1">
        <v>260</v>
      </c>
      <c r="Q33" s="1">
        <v>145</v>
      </c>
      <c r="R33" s="1">
        <v>88</v>
      </c>
      <c r="S33" s="1">
        <v>100</v>
      </c>
      <c r="T33" s="1">
        <v>0</v>
      </c>
      <c r="U33" s="1">
        <v>50</v>
      </c>
      <c r="V33" s="24">
        <v>50</v>
      </c>
      <c r="W33" s="1">
        <v>16</v>
      </c>
      <c r="X33" s="1">
        <v>292</v>
      </c>
      <c r="Y33" s="1">
        <v>23</v>
      </c>
      <c r="Z33" s="1">
        <v>0</v>
      </c>
      <c r="AA33" s="1">
        <v>0</v>
      </c>
      <c r="AB33" s="1">
        <v>42</v>
      </c>
      <c r="AC33" s="1">
        <v>0</v>
      </c>
      <c r="AD33">
        <f t="shared" si="0"/>
        <v>1060659</v>
      </c>
    </row>
    <row r="34" spans="1:30">
      <c r="A34" s="134" t="s">
        <v>309</v>
      </c>
      <c r="B34" s="1">
        <v>784</v>
      </c>
      <c r="C34" s="1">
        <v>923</v>
      </c>
      <c r="D34" s="179">
        <v>487</v>
      </c>
      <c r="E34" s="1">
        <v>953</v>
      </c>
      <c r="F34" s="1">
        <v>881</v>
      </c>
      <c r="G34" s="1">
        <v>830</v>
      </c>
      <c r="H34" s="1">
        <v>1240</v>
      </c>
      <c r="I34" s="1">
        <v>320</v>
      </c>
      <c r="J34" s="24">
        <v>500</v>
      </c>
      <c r="K34" s="1">
        <v>660</v>
      </c>
      <c r="L34" s="1">
        <v>663</v>
      </c>
      <c r="M34" s="1">
        <v>624</v>
      </c>
      <c r="N34" s="1">
        <v>685</v>
      </c>
      <c r="O34" s="1">
        <v>467</v>
      </c>
      <c r="P34" s="1">
        <v>430</v>
      </c>
      <c r="Q34" s="1">
        <v>556</v>
      </c>
      <c r="R34" s="1">
        <v>538</v>
      </c>
      <c r="S34" s="1">
        <v>556</v>
      </c>
      <c r="T34" s="1">
        <v>446</v>
      </c>
      <c r="U34" s="1">
        <v>399</v>
      </c>
      <c r="V34" s="24">
        <v>399</v>
      </c>
      <c r="W34" s="1">
        <v>309</v>
      </c>
      <c r="X34" s="1">
        <v>187</v>
      </c>
      <c r="Y34" s="1">
        <v>300</v>
      </c>
      <c r="Z34" s="1">
        <v>365</v>
      </c>
      <c r="AA34" s="1">
        <v>255</v>
      </c>
      <c r="AB34" s="1">
        <v>260</v>
      </c>
      <c r="AC34" s="1">
        <v>343</v>
      </c>
      <c r="AD34">
        <f t="shared" si="0"/>
        <v>1059276</v>
      </c>
    </row>
    <row r="35" spans="1:30" s="202" customFormat="1" ht="22.5" customHeight="1">
      <c r="A35" s="198" t="s">
        <v>163</v>
      </c>
      <c r="B35" s="199">
        <v>70413</v>
      </c>
      <c r="C35" s="199">
        <v>63965</v>
      </c>
      <c r="D35" s="200">
        <v>65545</v>
      </c>
      <c r="E35" s="199">
        <v>69252</v>
      </c>
      <c r="F35" s="199">
        <v>52439</v>
      </c>
      <c r="G35" s="199">
        <v>51645</v>
      </c>
      <c r="H35" s="199">
        <v>50645</v>
      </c>
      <c r="I35" s="199">
        <v>37825</v>
      </c>
      <c r="J35" s="201">
        <f>SUM(J4:J34)</f>
        <v>36500</v>
      </c>
      <c r="K35" s="199">
        <v>31776</v>
      </c>
      <c r="L35" s="199">
        <v>25936</v>
      </c>
      <c r="M35" s="199">
        <v>28297</v>
      </c>
      <c r="N35" s="199">
        <v>35141</v>
      </c>
      <c r="O35" s="199">
        <v>33667</v>
      </c>
      <c r="P35" s="199">
        <v>31043</v>
      </c>
      <c r="Q35" s="199">
        <v>32102</v>
      </c>
      <c r="R35" s="197">
        <v>26808</v>
      </c>
      <c r="S35" s="197">
        <v>28561</v>
      </c>
      <c r="T35" s="197">
        <v>25011</v>
      </c>
      <c r="U35" s="197">
        <v>22887</v>
      </c>
      <c r="V35" s="197">
        <v>22887</v>
      </c>
      <c r="W35" s="197">
        <v>25459</v>
      </c>
      <c r="X35" s="199">
        <v>18481</v>
      </c>
      <c r="Y35" s="199">
        <v>16863</v>
      </c>
      <c r="Z35" s="199">
        <v>16151</v>
      </c>
      <c r="AA35" s="199">
        <v>18270</v>
      </c>
      <c r="AB35" s="199">
        <v>15618</v>
      </c>
      <c r="AC35" s="199">
        <v>18076</v>
      </c>
      <c r="AD35">
        <f t="shared" si="0"/>
        <v>1051348</v>
      </c>
    </row>
    <row r="36" spans="1:30" ht="23.45" customHeight="1">
      <c r="A36" s="132" t="s">
        <v>202</v>
      </c>
      <c r="B36" s="206"/>
      <c r="C36" s="206"/>
      <c r="D36" s="207"/>
      <c r="E36" s="208"/>
      <c r="F36" s="207"/>
      <c r="G36" s="207"/>
      <c r="H36" s="207"/>
      <c r="I36" s="207"/>
      <c r="J36" s="209"/>
      <c r="K36" s="207"/>
      <c r="L36" s="210"/>
      <c r="M36" s="210"/>
      <c r="N36" s="210"/>
      <c r="O36" s="210"/>
      <c r="P36" s="211"/>
      <c r="Q36" s="211"/>
      <c r="R36" s="212"/>
      <c r="S36" s="212"/>
      <c r="T36" s="212"/>
      <c r="U36" s="212"/>
      <c r="V36" s="212"/>
      <c r="W36" s="212"/>
      <c r="X36" s="212"/>
      <c r="Y36" s="212"/>
      <c r="Z36" s="212"/>
      <c r="AA36" s="212"/>
      <c r="AB36" s="212"/>
      <c r="AC36" s="212"/>
      <c r="AD36">
        <f t="shared" si="0"/>
        <v>80122</v>
      </c>
    </row>
    <row r="37" spans="1:30">
      <c r="A37" s="134" t="s">
        <v>203</v>
      </c>
      <c r="B37" s="1">
        <v>98</v>
      </c>
      <c r="C37" s="1">
        <v>108</v>
      </c>
      <c r="D37" s="179">
        <v>138</v>
      </c>
      <c r="E37" s="1">
        <v>150</v>
      </c>
      <c r="F37" s="1">
        <v>88</v>
      </c>
      <c r="G37" s="1">
        <v>130</v>
      </c>
      <c r="H37" s="1">
        <v>55</v>
      </c>
      <c r="I37" s="1">
        <v>94</v>
      </c>
      <c r="J37" s="24">
        <v>30</v>
      </c>
      <c r="K37" s="1">
        <v>90</v>
      </c>
      <c r="L37" s="194">
        <v>164</v>
      </c>
      <c r="M37" s="194">
        <v>62</v>
      </c>
      <c r="N37" s="194">
        <v>167</v>
      </c>
      <c r="O37" s="194">
        <v>39</v>
      </c>
      <c r="P37" s="194">
        <v>143</v>
      </c>
      <c r="Q37" s="1">
        <v>209</v>
      </c>
      <c r="R37" s="1">
        <v>164</v>
      </c>
      <c r="S37" s="1">
        <v>273</v>
      </c>
      <c r="T37" s="1">
        <v>236</v>
      </c>
      <c r="U37" s="1">
        <v>320</v>
      </c>
      <c r="V37" s="24">
        <v>320</v>
      </c>
      <c r="W37" s="1">
        <v>180</v>
      </c>
      <c r="X37" s="1">
        <v>343</v>
      </c>
      <c r="Y37" s="1">
        <v>140</v>
      </c>
      <c r="Z37" s="1">
        <v>175</v>
      </c>
      <c r="AA37" s="1">
        <v>124</v>
      </c>
      <c r="AB37" s="1">
        <v>150</v>
      </c>
      <c r="AC37" s="1">
        <v>160</v>
      </c>
      <c r="AD37">
        <f t="shared" si="0"/>
        <v>87483</v>
      </c>
    </row>
    <row r="38" spans="1:30">
      <c r="A38" s="134" t="s">
        <v>204</v>
      </c>
      <c r="B38" s="1">
        <v>671</v>
      </c>
      <c r="C38" s="1">
        <v>200</v>
      </c>
      <c r="D38" s="179">
        <v>250</v>
      </c>
      <c r="E38" s="1">
        <v>100</v>
      </c>
      <c r="F38" s="1">
        <v>263</v>
      </c>
      <c r="G38" s="1">
        <v>268</v>
      </c>
      <c r="H38" s="1">
        <v>202</v>
      </c>
      <c r="I38" s="1">
        <v>166</v>
      </c>
      <c r="J38" s="24">
        <v>120</v>
      </c>
      <c r="K38" s="1">
        <v>121</v>
      </c>
      <c r="L38" s="1">
        <v>134</v>
      </c>
      <c r="M38" s="1">
        <v>100</v>
      </c>
      <c r="N38" s="1">
        <v>55</v>
      </c>
      <c r="O38" s="1">
        <v>153</v>
      </c>
      <c r="P38" s="1">
        <v>105</v>
      </c>
      <c r="Q38" s="1">
        <v>72</v>
      </c>
      <c r="R38" s="1">
        <v>99</v>
      </c>
      <c r="S38" s="1">
        <v>48</v>
      </c>
      <c r="T38" s="1">
        <v>16</v>
      </c>
      <c r="U38" s="1">
        <v>67</v>
      </c>
      <c r="V38" s="24">
        <v>67</v>
      </c>
      <c r="W38" s="1">
        <v>52</v>
      </c>
      <c r="X38" s="1">
        <v>82</v>
      </c>
      <c r="Y38" s="1">
        <v>33</v>
      </c>
      <c r="Z38" s="1">
        <v>68</v>
      </c>
      <c r="AA38" s="1">
        <v>20</v>
      </c>
      <c r="AB38" s="1">
        <v>45</v>
      </c>
      <c r="AC38" s="1">
        <v>61</v>
      </c>
      <c r="AD38">
        <f t="shared" si="0"/>
        <v>83697</v>
      </c>
    </row>
    <row r="39" spans="1:30">
      <c r="A39" s="134" t="s">
        <v>205</v>
      </c>
      <c r="B39" s="1">
        <v>197</v>
      </c>
      <c r="C39" s="1">
        <v>180</v>
      </c>
      <c r="D39" s="179">
        <v>130</v>
      </c>
      <c r="E39" s="1">
        <v>195</v>
      </c>
      <c r="F39" s="1">
        <v>237</v>
      </c>
      <c r="G39" s="1">
        <v>369</v>
      </c>
      <c r="H39" s="1">
        <v>301</v>
      </c>
      <c r="I39" s="1">
        <v>241</v>
      </c>
      <c r="J39" s="24">
        <v>200</v>
      </c>
      <c r="K39" s="1">
        <v>232</v>
      </c>
      <c r="L39" s="1">
        <v>205</v>
      </c>
      <c r="M39" s="1">
        <v>159</v>
      </c>
      <c r="N39" s="1">
        <v>277</v>
      </c>
      <c r="O39" s="1">
        <v>240</v>
      </c>
      <c r="P39" s="1">
        <v>227</v>
      </c>
      <c r="Q39" s="1">
        <v>262</v>
      </c>
      <c r="R39" s="1">
        <v>247</v>
      </c>
      <c r="S39" s="1">
        <v>300</v>
      </c>
      <c r="T39" s="1">
        <v>247</v>
      </c>
      <c r="U39" s="1">
        <v>170</v>
      </c>
      <c r="V39" s="24">
        <v>170</v>
      </c>
      <c r="W39" s="1">
        <v>429</v>
      </c>
      <c r="X39" s="1">
        <v>315</v>
      </c>
      <c r="Y39" s="1">
        <v>173</v>
      </c>
      <c r="Z39" s="1">
        <v>331</v>
      </c>
      <c r="AA39" s="1">
        <v>168</v>
      </c>
      <c r="AB39" s="1">
        <v>293</v>
      </c>
      <c r="AC39" s="1">
        <v>200</v>
      </c>
      <c r="AD39">
        <f t="shared" si="0"/>
        <v>80077</v>
      </c>
    </row>
    <row r="40" spans="1:30">
      <c r="A40" s="134" t="s">
        <v>206</v>
      </c>
      <c r="B40" s="1">
        <v>0</v>
      </c>
      <c r="C40" s="1">
        <v>0</v>
      </c>
      <c r="D40" s="179">
        <v>0</v>
      </c>
      <c r="E40" s="1">
        <v>50</v>
      </c>
      <c r="F40" s="1">
        <v>100</v>
      </c>
      <c r="G40" s="1">
        <v>50</v>
      </c>
      <c r="H40" s="1">
        <v>110</v>
      </c>
      <c r="I40" s="1">
        <v>55</v>
      </c>
      <c r="J40" s="24">
        <v>50</v>
      </c>
      <c r="K40" s="1">
        <v>21</v>
      </c>
      <c r="L40" s="1">
        <v>30</v>
      </c>
      <c r="M40" s="1">
        <v>35</v>
      </c>
      <c r="N40" s="1">
        <v>40</v>
      </c>
      <c r="O40" s="1">
        <v>0</v>
      </c>
      <c r="P40" s="1">
        <v>0</v>
      </c>
      <c r="Q40" s="1">
        <v>80</v>
      </c>
      <c r="R40" s="1">
        <v>0</v>
      </c>
      <c r="S40" s="1">
        <v>60</v>
      </c>
      <c r="T40" s="1">
        <v>45</v>
      </c>
      <c r="U40" s="1">
        <v>50</v>
      </c>
      <c r="V40" s="24">
        <v>50</v>
      </c>
      <c r="W40" s="1">
        <v>35</v>
      </c>
      <c r="X40" s="1">
        <v>65</v>
      </c>
      <c r="Y40" s="1">
        <v>28</v>
      </c>
      <c r="Z40" s="1">
        <v>55</v>
      </c>
      <c r="AA40" s="1">
        <v>28</v>
      </c>
      <c r="AB40" s="1">
        <v>91</v>
      </c>
      <c r="AC40" s="1">
        <v>48</v>
      </c>
      <c r="AD40">
        <f t="shared" si="0"/>
        <v>161429</v>
      </c>
    </row>
    <row r="41" spans="1:30">
      <c r="A41" s="134" t="s">
        <v>207</v>
      </c>
      <c r="B41" s="1">
        <v>387</v>
      </c>
      <c r="C41" s="1">
        <v>200</v>
      </c>
      <c r="D41" s="179">
        <v>385</v>
      </c>
      <c r="E41" s="1">
        <v>241</v>
      </c>
      <c r="F41" s="1">
        <v>452</v>
      </c>
      <c r="G41" s="1">
        <v>354</v>
      </c>
      <c r="H41" s="1">
        <v>373</v>
      </c>
      <c r="I41" s="1">
        <v>125</v>
      </c>
      <c r="J41" s="24">
        <v>100</v>
      </c>
      <c r="K41" s="1">
        <v>289</v>
      </c>
      <c r="L41" s="1">
        <v>279</v>
      </c>
      <c r="M41" s="1">
        <v>293</v>
      </c>
      <c r="N41" s="1">
        <v>435</v>
      </c>
      <c r="O41" s="1">
        <v>434</v>
      </c>
      <c r="P41" s="1">
        <v>344</v>
      </c>
      <c r="Q41" s="1">
        <v>519</v>
      </c>
      <c r="R41" s="1">
        <v>375</v>
      </c>
      <c r="S41" s="1">
        <v>492</v>
      </c>
      <c r="T41" s="1">
        <v>350</v>
      </c>
      <c r="U41" s="1">
        <v>319</v>
      </c>
      <c r="V41" s="24">
        <v>319</v>
      </c>
      <c r="W41" s="1">
        <v>540</v>
      </c>
      <c r="X41" s="1">
        <v>366</v>
      </c>
      <c r="Y41" s="1">
        <v>145</v>
      </c>
      <c r="Z41" s="1">
        <v>574</v>
      </c>
      <c r="AA41" s="1">
        <v>405</v>
      </c>
      <c r="AB41" s="1">
        <v>333</v>
      </c>
      <c r="AC41" s="1">
        <v>576</v>
      </c>
      <c r="AD41">
        <f t="shared" si="0"/>
        <v>1219563</v>
      </c>
    </row>
    <row r="42" spans="1:30">
      <c r="A42" s="134" t="s">
        <v>208</v>
      </c>
      <c r="B42" s="1">
        <v>35</v>
      </c>
      <c r="C42" s="1">
        <v>15</v>
      </c>
      <c r="D42" s="179">
        <v>18</v>
      </c>
      <c r="E42" s="1">
        <v>10</v>
      </c>
      <c r="F42" s="1">
        <v>22</v>
      </c>
      <c r="G42" s="1">
        <v>21</v>
      </c>
      <c r="H42" s="1">
        <v>44</v>
      </c>
      <c r="I42" s="1">
        <v>45</v>
      </c>
      <c r="J42" s="24">
        <v>40</v>
      </c>
      <c r="K42" s="1">
        <v>105</v>
      </c>
      <c r="L42" s="1">
        <v>83</v>
      </c>
      <c r="M42" s="1">
        <v>58</v>
      </c>
      <c r="N42" s="1">
        <v>126</v>
      </c>
      <c r="O42" s="1">
        <v>162</v>
      </c>
      <c r="P42" s="1">
        <v>167</v>
      </c>
      <c r="Q42" s="1">
        <v>188</v>
      </c>
      <c r="R42" s="1">
        <v>100</v>
      </c>
      <c r="S42" s="1">
        <v>215</v>
      </c>
      <c r="T42" s="1">
        <v>187</v>
      </c>
      <c r="U42" s="1">
        <v>0</v>
      </c>
      <c r="V42" s="24">
        <v>0</v>
      </c>
      <c r="W42" s="1">
        <v>245</v>
      </c>
      <c r="X42" s="1">
        <v>354</v>
      </c>
      <c r="Y42" s="1">
        <v>150</v>
      </c>
      <c r="Z42" s="1">
        <v>256</v>
      </c>
      <c r="AA42" s="1">
        <v>292</v>
      </c>
      <c r="AB42" s="1">
        <v>242</v>
      </c>
      <c r="AC42" s="1">
        <v>305</v>
      </c>
      <c r="AD42">
        <f t="shared" si="0"/>
        <v>1209559</v>
      </c>
    </row>
    <row r="43" spans="1:30">
      <c r="A43" s="134" t="s">
        <v>209</v>
      </c>
      <c r="B43" s="1">
        <v>97</v>
      </c>
      <c r="C43" s="1">
        <v>70</v>
      </c>
      <c r="D43" s="179">
        <v>50</v>
      </c>
      <c r="E43" s="1">
        <v>27</v>
      </c>
      <c r="F43" s="1">
        <v>196</v>
      </c>
      <c r="G43" s="1">
        <v>142</v>
      </c>
      <c r="H43" s="1">
        <v>120</v>
      </c>
      <c r="I43" s="1">
        <v>90</v>
      </c>
      <c r="J43" s="24">
        <v>100</v>
      </c>
      <c r="K43" s="1">
        <v>53</v>
      </c>
      <c r="L43" s="1">
        <v>63</v>
      </c>
      <c r="M43" s="1">
        <v>70</v>
      </c>
      <c r="N43" s="1">
        <v>95</v>
      </c>
      <c r="O43" s="1">
        <v>65</v>
      </c>
      <c r="P43" s="1">
        <v>67</v>
      </c>
      <c r="Q43" s="1">
        <v>75</v>
      </c>
      <c r="R43" s="1">
        <v>50</v>
      </c>
      <c r="S43" s="1">
        <v>83</v>
      </c>
      <c r="T43" s="1">
        <v>110</v>
      </c>
      <c r="U43" s="1">
        <v>40</v>
      </c>
      <c r="V43" s="24">
        <v>40</v>
      </c>
      <c r="W43" s="1">
        <v>140</v>
      </c>
      <c r="X43" s="1">
        <v>70</v>
      </c>
      <c r="Y43" s="1">
        <v>50</v>
      </c>
      <c r="Z43" s="1">
        <v>90</v>
      </c>
      <c r="AA43" s="1">
        <v>69</v>
      </c>
      <c r="AB43" s="1">
        <v>115</v>
      </c>
      <c r="AC43" s="1">
        <v>120</v>
      </c>
      <c r="AD43">
        <f t="shared" si="0"/>
        <v>1206074</v>
      </c>
    </row>
    <row r="44" spans="1:30">
      <c r="A44" s="134" t="s">
        <v>210</v>
      </c>
      <c r="B44" s="1">
        <v>5</v>
      </c>
      <c r="C44" s="1">
        <v>8</v>
      </c>
      <c r="D44" s="179">
        <v>20</v>
      </c>
      <c r="E44" s="1">
        <v>0</v>
      </c>
      <c r="F44" s="1">
        <v>0</v>
      </c>
      <c r="G44" s="1">
        <v>0</v>
      </c>
      <c r="H44" s="1">
        <v>32</v>
      </c>
      <c r="I44" s="1">
        <v>0</v>
      </c>
      <c r="J44" s="24"/>
      <c r="K44" s="1">
        <v>0</v>
      </c>
      <c r="L44" s="1">
        <v>13</v>
      </c>
      <c r="M44" s="1">
        <v>0</v>
      </c>
      <c r="N44" s="1">
        <v>27</v>
      </c>
      <c r="O44" s="1">
        <v>15</v>
      </c>
      <c r="P44" s="1">
        <v>0</v>
      </c>
      <c r="Q44" s="1">
        <v>46</v>
      </c>
      <c r="R44" s="1">
        <v>0</v>
      </c>
      <c r="S44" s="1">
        <v>32</v>
      </c>
      <c r="T44" s="1">
        <v>28</v>
      </c>
      <c r="U44" s="1">
        <v>32</v>
      </c>
      <c r="V44" s="24">
        <v>32</v>
      </c>
      <c r="W44" s="1">
        <v>15</v>
      </c>
      <c r="X44" s="1">
        <v>87</v>
      </c>
      <c r="Y44" s="1">
        <v>20</v>
      </c>
      <c r="Z44" s="1">
        <v>110</v>
      </c>
      <c r="AA44" s="1">
        <v>30</v>
      </c>
      <c r="AB44" s="1">
        <v>10</v>
      </c>
      <c r="AC44" s="1">
        <v>44</v>
      </c>
      <c r="AD44">
        <f t="shared" si="0"/>
        <v>1203717</v>
      </c>
    </row>
    <row r="45" spans="1:30">
      <c r="A45" s="134" t="s">
        <v>211</v>
      </c>
      <c r="B45" s="1">
        <v>0</v>
      </c>
      <c r="C45" s="1">
        <v>0</v>
      </c>
      <c r="D45" s="179">
        <v>0</v>
      </c>
      <c r="E45" s="1">
        <v>0</v>
      </c>
      <c r="F45" s="1">
        <v>0</v>
      </c>
      <c r="G45" s="1">
        <v>0</v>
      </c>
      <c r="H45" s="1">
        <v>0</v>
      </c>
      <c r="I45" s="1">
        <v>50</v>
      </c>
      <c r="J45" s="24">
        <v>30</v>
      </c>
      <c r="K45" s="1">
        <v>105</v>
      </c>
      <c r="L45" s="1">
        <v>42</v>
      </c>
      <c r="M45" s="1">
        <v>39</v>
      </c>
      <c r="N45" s="1">
        <v>55</v>
      </c>
      <c r="O45" s="1">
        <v>60</v>
      </c>
      <c r="P45" s="1">
        <v>0</v>
      </c>
      <c r="Q45" s="1">
        <v>100</v>
      </c>
      <c r="R45" s="1">
        <v>30</v>
      </c>
      <c r="S45" s="1">
        <v>0</v>
      </c>
      <c r="T45" s="1">
        <v>165</v>
      </c>
      <c r="U45" s="1">
        <v>0</v>
      </c>
      <c r="V45" s="24">
        <v>0</v>
      </c>
      <c r="W45" s="1">
        <v>0</v>
      </c>
      <c r="X45" s="1">
        <v>61</v>
      </c>
      <c r="Y45" s="1">
        <v>0</v>
      </c>
      <c r="Z45" s="1">
        <v>40</v>
      </c>
      <c r="AA45" s="1">
        <v>0</v>
      </c>
      <c r="AB45" s="1">
        <v>0</v>
      </c>
      <c r="AC45" s="1">
        <v>40</v>
      </c>
      <c r="AD45">
        <f t="shared" si="0"/>
        <v>1203111</v>
      </c>
    </row>
    <row r="46" spans="1:30">
      <c r="A46" s="134" t="s">
        <v>212</v>
      </c>
      <c r="B46" s="1">
        <v>95</v>
      </c>
      <c r="C46" s="1">
        <v>51</v>
      </c>
      <c r="D46" s="179">
        <v>50</v>
      </c>
      <c r="E46" s="1">
        <v>44</v>
      </c>
      <c r="F46" s="1">
        <v>83</v>
      </c>
      <c r="G46" s="1">
        <v>40</v>
      </c>
      <c r="H46" s="1">
        <v>100</v>
      </c>
      <c r="I46" s="1">
        <v>63</v>
      </c>
      <c r="J46" s="24">
        <v>50</v>
      </c>
      <c r="K46" s="1">
        <v>48</v>
      </c>
      <c r="L46" s="1">
        <v>43</v>
      </c>
      <c r="M46" s="1">
        <v>48</v>
      </c>
      <c r="N46" s="1">
        <v>34</v>
      </c>
      <c r="O46" s="1">
        <v>45</v>
      </c>
      <c r="P46" s="1">
        <v>38</v>
      </c>
      <c r="Q46" s="1">
        <v>45</v>
      </c>
      <c r="R46" s="1">
        <v>98</v>
      </c>
      <c r="S46" s="1">
        <v>50</v>
      </c>
      <c r="T46" s="1">
        <v>47</v>
      </c>
      <c r="U46" s="1">
        <v>44</v>
      </c>
      <c r="V46" s="24">
        <v>44</v>
      </c>
      <c r="W46" s="1">
        <v>123</v>
      </c>
      <c r="X46" s="1">
        <v>0</v>
      </c>
      <c r="Y46" s="1">
        <v>0</v>
      </c>
      <c r="Z46" s="1">
        <v>0</v>
      </c>
      <c r="AA46" s="1">
        <v>57</v>
      </c>
      <c r="AB46" s="1">
        <v>94</v>
      </c>
      <c r="AC46" s="1">
        <v>130</v>
      </c>
      <c r="AD46">
        <f t="shared" si="0"/>
        <v>1202294</v>
      </c>
    </row>
    <row r="47" spans="1:30">
      <c r="A47" s="134" t="s">
        <v>213</v>
      </c>
      <c r="B47" s="1">
        <v>0</v>
      </c>
      <c r="C47" s="1">
        <v>28</v>
      </c>
      <c r="D47" s="179">
        <v>0</v>
      </c>
      <c r="E47" s="1">
        <v>32</v>
      </c>
      <c r="F47" s="1">
        <v>12</v>
      </c>
      <c r="G47" s="1">
        <v>16</v>
      </c>
      <c r="H47" s="1">
        <v>0</v>
      </c>
      <c r="I47" s="1">
        <v>39</v>
      </c>
      <c r="J47" s="24">
        <v>20</v>
      </c>
      <c r="K47" s="1">
        <v>15</v>
      </c>
      <c r="L47" s="1">
        <v>9</v>
      </c>
      <c r="M47" s="1">
        <v>24</v>
      </c>
      <c r="N47" s="1">
        <v>0</v>
      </c>
      <c r="O47" s="1">
        <v>35</v>
      </c>
      <c r="P47" s="1">
        <v>0</v>
      </c>
      <c r="Q47" s="1">
        <v>47</v>
      </c>
      <c r="R47" s="1">
        <v>41</v>
      </c>
      <c r="S47" s="1">
        <v>50</v>
      </c>
      <c r="T47" s="1">
        <v>0</v>
      </c>
      <c r="U47" s="1">
        <v>40</v>
      </c>
      <c r="V47" s="24">
        <v>40</v>
      </c>
      <c r="W47" s="1">
        <v>30</v>
      </c>
      <c r="X47" s="1">
        <v>44</v>
      </c>
      <c r="Y47" s="1">
        <v>0</v>
      </c>
      <c r="Z47" s="1">
        <v>0</v>
      </c>
      <c r="AA47" s="1">
        <v>20</v>
      </c>
      <c r="AB47" s="1">
        <v>0</v>
      </c>
      <c r="AC47" s="1">
        <v>50</v>
      </c>
      <c r="AD47">
        <f t="shared" si="0"/>
        <v>1200730</v>
      </c>
    </row>
    <row r="48" spans="1:30">
      <c r="A48" s="134" t="s">
        <v>214</v>
      </c>
      <c r="B48" s="1">
        <v>203</v>
      </c>
      <c r="C48" s="1">
        <v>50</v>
      </c>
      <c r="D48" s="179">
        <v>180</v>
      </c>
      <c r="E48" s="1">
        <v>50</v>
      </c>
      <c r="F48" s="1">
        <v>46</v>
      </c>
      <c r="G48" s="1">
        <v>115</v>
      </c>
      <c r="H48" s="1">
        <v>129</v>
      </c>
      <c r="I48" s="1">
        <v>102</v>
      </c>
      <c r="J48" s="24">
        <v>50</v>
      </c>
      <c r="K48" s="1">
        <v>190</v>
      </c>
      <c r="L48" s="1">
        <v>115</v>
      </c>
      <c r="M48" s="1">
        <v>73</v>
      </c>
      <c r="N48" s="1">
        <v>77</v>
      </c>
      <c r="O48" s="1">
        <v>273</v>
      </c>
      <c r="P48" s="1">
        <v>102</v>
      </c>
      <c r="Q48" s="1">
        <v>144</v>
      </c>
      <c r="R48" s="1">
        <v>146</v>
      </c>
      <c r="S48" s="1">
        <v>179</v>
      </c>
      <c r="T48" s="1">
        <v>180</v>
      </c>
      <c r="U48" s="1">
        <v>246</v>
      </c>
      <c r="V48" s="24">
        <v>246</v>
      </c>
      <c r="W48" s="1">
        <v>250</v>
      </c>
      <c r="X48" s="1">
        <v>340</v>
      </c>
      <c r="Y48" s="1">
        <v>84</v>
      </c>
      <c r="Z48" s="1">
        <v>85</v>
      </c>
      <c r="AA48" s="1">
        <v>104</v>
      </c>
      <c r="AB48" s="1">
        <v>0</v>
      </c>
      <c r="AC48" s="1">
        <v>111</v>
      </c>
      <c r="AD48">
        <f t="shared" si="0"/>
        <v>1200138</v>
      </c>
    </row>
    <row r="49" spans="1:30">
      <c r="A49" s="134" t="s">
        <v>215</v>
      </c>
      <c r="B49" s="1">
        <v>84</v>
      </c>
      <c r="C49" s="1">
        <v>107</v>
      </c>
      <c r="D49" s="179">
        <v>72</v>
      </c>
      <c r="E49" s="1">
        <v>0</v>
      </c>
      <c r="F49" s="1">
        <v>50</v>
      </c>
      <c r="G49" s="1">
        <v>82</v>
      </c>
      <c r="H49" s="1">
        <v>118</v>
      </c>
      <c r="I49" s="1">
        <v>72</v>
      </c>
      <c r="J49" s="24">
        <v>80</v>
      </c>
      <c r="K49" s="1">
        <v>72</v>
      </c>
      <c r="L49" s="1">
        <v>42</v>
      </c>
      <c r="M49" s="1">
        <v>23</v>
      </c>
      <c r="N49" s="1">
        <v>43</v>
      </c>
      <c r="O49" s="1">
        <v>20</v>
      </c>
      <c r="P49" s="1">
        <v>47</v>
      </c>
      <c r="Q49" s="1">
        <v>0</v>
      </c>
      <c r="R49" s="1">
        <v>0</v>
      </c>
      <c r="S49" s="1">
        <v>8</v>
      </c>
      <c r="T49" s="1">
        <v>0</v>
      </c>
      <c r="U49" s="1">
        <v>23</v>
      </c>
      <c r="V49" s="24">
        <v>23</v>
      </c>
      <c r="W49" s="1">
        <v>0</v>
      </c>
      <c r="X49" s="1">
        <v>0</v>
      </c>
      <c r="Y49" s="1">
        <v>0</v>
      </c>
      <c r="Z49" s="1">
        <v>11</v>
      </c>
      <c r="AA49" s="1">
        <v>0</v>
      </c>
      <c r="AB49" s="1">
        <v>0</v>
      </c>
      <c r="AC49" s="1">
        <v>15</v>
      </c>
      <c r="AD49">
        <f t="shared" si="0"/>
        <v>1196268</v>
      </c>
    </row>
    <row r="50" spans="1:30">
      <c r="A50" s="134" t="s">
        <v>216</v>
      </c>
      <c r="B50" s="1">
        <v>6</v>
      </c>
      <c r="C50" s="1">
        <v>0</v>
      </c>
      <c r="D50" s="179">
        <v>0</v>
      </c>
      <c r="E50" s="1">
        <v>7</v>
      </c>
      <c r="F50" s="1">
        <v>11</v>
      </c>
      <c r="G50" s="1">
        <v>0</v>
      </c>
      <c r="H50" s="1">
        <v>15</v>
      </c>
      <c r="I50" s="1">
        <v>0</v>
      </c>
      <c r="J50" s="24"/>
      <c r="K50" s="1">
        <v>0</v>
      </c>
      <c r="L50" s="1">
        <v>20</v>
      </c>
      <c r="M50" s="1">
        <v>70</v>
      </c>
      <c r="N50" s="1">
        <v>0</v>
      </c>
      <c r="O50" s="1">
        <v>0</v>
      </c>
      <c r="P50" s="1">
        <v>6</v>
      </c>
      <c r="Q50" s="1">
        <v>19</v>
      </c>
      <c r="R50" s="1">
        <v>0</v>
      </c>
      <c r="S50" s="1">
        <v>0</v>
      </c>
      <c r="T50" s="1">
        <v>16</v>
      </c>
      <c r="U50" s="1">
        <v>28</v>
      </c>
      <c r="V50" s="24">
        <v>28</v>
      </c>
      <c r="W50" s="1">
        <v>0</v>
      </c>
      <c r="X50" s="1">
        <v>16</v>
      </c>
      <c r="Y50" s="1">
        <v>0</v>
      </c>
      <c r="Z50" s="1">
        <v>15</v>
      </c>
      <c r="AA50" s="1">
        <v>15</v>
      </c>
      <c r="AB50" s="1">
        <v>9</v>
      </c>
      <c r="AC50" s="1">
        <v>24</v>
      </c>
      <c r="AD50">
        <f t="shared" si="0"/>
        <v>1195276</v>
      </c>
    </row>
    <row r="51" spans="1:30">
      <c r="A51" s="134" t="s">
        <v>217</v>
      </c>
      <c r="B51" s="1">
        <v>22</v>
      </c>
      <c r="C51" s="1">
        <v>30</v>
      </c>
      <c r="D51" s="179">
        <v>10</v>
      </c>
      <c r="E51" s="1">
        <v>13</v>
      </c>
      <c r="F51" s="1">
        <v>0</v>
      </c>
      <c r="G51" s="1">
        <v>34</v>
      </c>
      <c r="H51" s="1">
        <v>35</v>
      </c>
      <c r="I51" s="1">
        <v>0</v>
      </c>
      <c r="J51" s="24"/>
      <c r="K51" s="1">
        <v>0</v>
      </c>
      <c r="L51" s="1">
        <v>84</v>
      </c>
      <c r="M51" s="1">
        <v>30</v>
      </c>
      <c r="N51" s="1">
        <v>20</v>
      </c>
      <c r="O51" s="1">
        <v>15</v>
      </c>
      <c r="P51" s="1">
        <v>35</v>
      </c>
      <c r="Q51" s="1">
        <v>0</v>
      </c>
      <c r="R51" s="1">
        <v>60</v>
      </c>
      <c r="S51" s="1">
        <v>50</v>
      </c>
      <c r="T51" s="1">
        <v>0</v>
      </c>
      <c r="U51" s="1">
        <v>0</v>
      </c>
      <c r="V51" s="24">
        <v>0</v>
      </c>
      <c r="W51" s="1">
        <v>90</v>
      </c>
      <c r="X51" s="1">
        <v>50</v>
      </c>
      <c r="Y51" s="1">
        <v>0</v>
      </c>
      <c r="Z51" s="1">
        <v>50</v>
      </c>
      <c r="AA51" s="1">
        <v>50</v>
      </c>
      <c r="AB51" s="1">
        <v>50</v>
      </c>
      <c r="AC51" s="1">
        <v>30</v>
      </c>
      <c r="AD51">
        <f t="shared" si="0"/>
        <v>1194971</v>
      </c>
    </row>
    <row r="52" spans="1:30">
      <c r="A52" s="134" t="s">
        <v>218</v>
      </c>
      <c r="B52" s="1">
        <v>0</v>
      </c>
      <c r="C52" s="1">
        <v>8</v>
      </c>
      <c r="D52" s="179">
        <v>0</v>
      </c>
      <c r="E52" s="1">
        <v>6</v>
      </c>
      <c r="F52" s="1">
        <v>0</v>
      </c>
      <c r="G52" s="1">
        <v>30</v>
      </c>
      <c r="H52" s="1">
        <v>0</v>
      </c>
      <c r="I52" s="1">
        <v>0</v>
      </c>
      <c r="J52" s="24"/>
      <c r="K52" s="1">
        <v>12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7</v>
      </c>
      <c r="R52" s="1">
        <v>0</v>
      </c>
      <c r="S52" s="1">
        <v>0</v>
      </c>
      <c r="T52" s="1">
        <v>17</v>
      </c>
      <c r="U52" s="1">
        <v>7</v>
      </c>
      <c r="V52" s="24">
        <v>7</v>
      </c>
      <c r="W52" s="1">
        <v>15</v>
      </c>
      <c r="X52" s="1">
        <v>24</v>
      </c>
      <c r="Y52" s="1">
        <v>25</v>
      </c>
      <c r="Z52" s="1">
        <v>10</v>
      </c>
      <c r="AA52" s="1">
        <v>0</v>
      </c>
      <c r="AB52" s="1">
        <v>47</v>
      </c>
      <c r="AC52" s="1">
        <v>0</v>
      </c>
      <c r="AD52">
        <f t="shared" si="0"/>
        <v>1194213</v>
      </c>
    </row>
    <row r="53" spans="1:30">
      <c r="A53" s="134" t="s">
        <v>221</v>
      </c>
      <c r="B53" s="1">
        <v>0</v>
      </c>
      <c r="C53" s="1">
        <v>30</v>
      </c>
      <c r="D53" s="179">
        <v>20</v>
      </c>
      <c r="E53" s="1">
        <v>21</v>
      </c>
      <c r="F53" s="1">
        <v>10</v>
      </c>
      <c r="G53" s="1">
        <v>0</v>
      </c>
      <c r="H53" s="1">
        <v>20</v>
      </c>
      <c r="I53" s="1">
        <v>0</v>
      </c>
      <c r="J53" s="24"/>
      <c r="K53" s="1">
        <v>0</v>
      </c>
      <c r="L53" s="1">
        <v>11</v>
      </c>
      <c r="M53" s="1">
        <v>0</v>
      </c>
      <c r="N53" s="1">
        <v>0</v>
      </c>
      <c r="O53" s="1">
        <v>0</v>
      </c>
      <c r="P53" s="1">
        <v>12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24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>
        <f t="shared" si="0"/>
        <v>1193998</v>
      </c>
    </row>
    <row r="54" spans="1:30">
      <c r="A54" s="134" t="s">
        <v>220</v>
      </c>
      <c r="B54" s="1">
        <v>290</v>
      </c>
      <c r="C54" s="1">
        <v>162</v>
      </c>
      <c r="D54" s="179">
        <v>250</v>
      </c>
      <c r="E54" s="1">
        <v>83</v>
      </c>
      <c r="F54" s="1">
        <v>237</v>
      </c>
      <c r="G54" s="1">
        <v>220</v>
      </c>
      <c r="H54" s="1">
        <v>276</v>
      </c>
      <c r="I54" s="1">
        <v>167</v>
      </c>
      <c r="J54" s="24">
        <v>180</v>
      </c>
      <c r="K54" s="1">
        <v>172</v>
      </c>
      <c r="L54" s="1">
        <v>124</v>
      </c>
      <c r="M54" s="1">
        <v>160</v>
      </c>
      <c r="N54" s="1">
        <v>145</v>
      </c>
      <c r="O54" s="1">
        <v>153</v>
      </c>
      <c r="P54" s="1">
        <v>300</v>
      </c>
      <c r="Q54" s="1">
        <v>300</v>
      </c>
      <c r="R54" s="1">
        <v>141</v>
      </c>
      <c r="S54" s="1">
        <v>550</v>
      </c>
      <c r="T54" s="1">
        <v>135</v>
      </c>
      <c r="U54" s="1">
        <v>300</v>
      </c>
      <c r="V54" s="24">
        <v>300</v>
      </c>
      <c r="W54" s="1">
        <v>230</v>
      </c>
      <c r="X54" s="1">
        <v>260</v>
      </c>
      <c r="Y54" s="1">
        <v>130</v>
      </c>
      <c r="Z54" s="1">
        <v>193</v>
      </c>
      <c r="AA54" s="1">
        <v>128</v>
      </c>
      <c r="AB54" s="1">
        <v>280</v>
      </c>
      <c r="AC54" s="1">
        <v>180</v>
      </c>
      <c r="AD54">
        <f t="shared" si="0"/>
        <v>1193874</v>
      </c>
    </row>
    <row r="55" spans="1:30">
      <c r="A55" s="134" t="s">
        <v>222</v>
      </c>
      <c r="B55" s="1">
        <v>316</v>
      </c>
      <c r="C55" s="1">
        <v>282</v>
      </c>
      <c r="D55" s="179">
        <v>594</v>
      </c>
      <c r="E55" s="1">
        <v>305</v>
      </c>
      <c r="F55" s="1">
        <v>210</v>
      </c>
      <c r="G55" s="1">
        <v>268</v>
      </c>
      <c r="H55" s="1">
        <v>276</v>
      </c>
      <c r="I55" s="1">
        <v>119</v>
      </c>
      <c r="J55" s="24">
        <v>120</v>
      </c>
      <c r="K55" s="1">
        <v>116</v>
      </c>
      <c r="L55" s="1">
        <v>88</v>
      </c>
      <c r="M55" s="1">
        <v>88</v>
      </c>
      <c r="N55" s="1">
        <v>141</v>
      </c>
      <c r="O55" s="1">
        <v>109</v>
      </c>
      <c r="P55" s="1">
        <v>108</v>
      </c>
      <c r="Q55" s="1">
        <v>143</v>
      </c>
      <c r="R55" s="1">
        <v>64</v>
      </c>
      <c r="S55" s="1">
        <v>93</v>
      </c>
      <c r="T55" s="1">
        <v>92</v>
      </c>
      <c r="U55" s="1">
        <v>58</v>
      </c>
      <c r="V55" s="24">
        <v>58</v>
      </c>
      <c r="W55" s="1">
        <v>40</v>
      </c>
      <c r="X55" s="1">
        <v>137</v>
      </c>
      <c r="Y55" s="1">
        <v>80</v>
      </c>
      <c r="Z55" s="1">
        <v>120</v>
      </c>
      <c r="AA55" s="1">
        <v>145</v>
      </c>
      <c r="AB55" s="1">
        <v>314</v>
      </c>
      <c r="AC55" s="1">
        <v>235</v>
      </c>
      <c r="AD55">
        <f t="shared" si="0"/>
        <v>1187828</v>
      </c>
    </row>
    <row r="56" spans="1:30">
      <c r="A56" s="134" t="s">
        <v>223</v>
      </c>
      <c r="B56" s="1">
        <v>41</v>
      </c>
      <c r="C56" s="1">
        <v>41</v>
      </c>
      <c r="D56" s="179">
        <v>25</v>
      </c>
      <c r="E56" s="1">
        <v>46</v>
      </c>
      <c r="F56" s="1">
        <v>24</v>
      </c>
      <c r="G56" s="1">
        <v>50</v>
      </c>
      <c r="H56" s="1">
        <v>70</v>
      </c>
      <c r="I56" s="1">
        <v>42</v>
      </c>
      <c r="J56" s="24">
        <v>30</v>
      </c>
      <c r="K56" s="1">
        <v>0</v>
      </c>
      <c r="L56" s="1">
        <v>40</v>
      </c>
      <c r="M56" s="1">
        <v>14</v>
      </c>
      <c r="N56" s="1">
        <v>0</v>
      </c>
      <c r="O56" s="1">
        <v>32</v>
      </c>
      <c r="P56" s="1">
        <v>55</v>
      </c>
      <c r="Q56" s="1">
        <v>55</v>
      </c>
      <c r="R56" s="1">
        <v>42</v>
      </c>
      <c r="S56" s="1">
        <v>50</v>
      </c>
      <c r="T56" s="1">
        <v>20</v>
      </c>
      <c r="U56" s="1">
        <v>49</v>
      </c>
      <c r="V56" s="24">
        <v>49</v>
      </c>
      <c r="W56" s="1">
        <v>14</v>
      </c>
      <c r="X56" s="1">
        <v>44</v>
      </c>
      <c r="Y56" s="1">
        <v>6</v>
      </c>
      <c r="Z56" s="1">
        <v>27</v>
      </c>
      <c r="AA56" s="1">
        <v>13</v>
      </c>
      <c r="AB56" s="1">
        <v>0</v>
      </c>
      <c r="AC56" s="1">
        <v>32</v>
      </c>
      <c r="AD56">
        <f t="shared" si="0"/>
        <v>1183109</v>
      </c>
    </row>
    <row r="57" spans="1:30">
      <c r="A57" s="134" t="s">
        <v>219</v>
      </c>
      <c r="B57" s="1">
        <v>0</v>
      </c>
      <c r="C57" s="1">
        <v>0</v>
      </c>
      <c r="D57" s="179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24"/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50</v>
      </c>
      <c r="R57" s="1">
        <v>30</v>
      </c>
      <c r="S57" s="1">
        <v>19</v>
      </c>
      <c r="T57" s="1">
        <v>69</v>
      </c>
      <c r="U57" s="1">
        <v>20</v>
      </c>
      <c r="V57" s="24">
        <v>20</v>
      </c>
      <c r="W57" s="1">
        <v>50</v>
      </c>
      <c r="X57" s="1">
        <v>50</v>
      </c>
      <c r="Y57" s="1">
        <v>15</v>
      </c>
      <c r="Z57" s="1">
        <v>9</v>
      </c>
      <c r="AA57" s="1">
        <v>10</v>
      </c>
      <c r="AB57" s="1">
        <v>80</v>
      </c>
      <c r="AC57" s="1">
        <v>23</v>
      </c>
      <c r="AD57">
        <f t="shared" si="0"/>
        <v>1182198</v>
      </c>
    </row>
    <row r="58" spans="1:30">
      <c r="A58" s="134" t="s">
        <v>225</v>
      </c>
      <c r="B58" s="1">
        <v>0</v>
      </c>
      <c r="C58" s="1">
        <v>0</v>
      </c>
      <c r="D58" s="179">
        <v>108</v>
      </c>
      <c r="E58" s="1">
        <v>67</v>
      </c>
      <c r="F58" s="1">
        <v>70</v>
      </c>
      <c r="G58" s="1">
        <v>0</v>
      </c>
      <c r="H58" s="1">
        <v>0</v>
      </c>
      <c r="I58" s="1">
        <v>0</v>
      </c>
      <c r="J58" s="24"/>
      <c r="K58" s="1">
        <v>0</v>
      </c>
      <c r="L58" s="1">
        <v>0</v>
      </c>
      <c r="M58" s="1">
        <v>100</v>
      </c>
      <c r="N58" s="1">
        <v>0</v>
      </c>
      <c r="O58" s="1">
        <v>50</v>
      </c>
      <c r="P58" s="1">
        <v>60</v>
      </c>
      <c r="Q58" s="1">
        <v>0</v>
      </c>
      <c r="R58" s="1">
        <v>20</v>
      </c>
      <c r="S58" s="1">
        <v>0</v>
      </c>
      <c r="T58" s="1">
        <v>20</v>
      </c>
      <c r="U58" s="1">
        <v>30</v>
      </c>
      <c r="V58" s="24">
        <v>30</v>
      </c>
      <c r="W58" s="1">
        <v>0</v>
      </c>
      <c r="X58" s="1">
        <v>0</v>
      </c>
      <c r="Y58" s="1">
        <v>10</v>
      </c>
      <c r="Z58" s="1">
        <v>0</v>
      </c>
      <c r="AA58" s="1">
        <v>45</v>
      </c>
      <c r="AB58" s="1">
        <v>34</v>
      </c>
      <c r="AC58" s="1">
        <v>10</v>
      </c>
      <c r="AD58">
        <f t="shared" si="0"/>
        <v>1181753</v>
      </c>
    </row>
    <row r="59" spans="1:30">
      <c r="A59" s="134" t="s">
        <v>226</v>
      </c>
      <c r="B59" s="1">
        <v>83</v>
      </c>
      <c r="C59" s="1">
        <v>30</v>
      </c>
      <c r="D59" s="179">
        <v>0</v>
      </c>
      <c r="E59" s="1">
        <v>5</v>
      </c>
      <c r="F59" s="1">
        <v>0</v>
      </c>
      <c r="G59" s="1">
        <v>150</v>
      </c>
      <c r="H59" s="1">
        <v>273</v>
      </c>
      <c r="I59" s="1">
        <v>150</v>
      </c>
      <c r="J59" s="24">
        <v>150</v>
      </c>
      <c r="K59" s="1">
        <v>70</v>
      </c>
      <c r="L59" s="1">
        <v>10</v>
      </c>
      <c r="M59" s="1">
        <v>0</v>
      </c>
      <c r="N59" s="1">
        <v>50</v>
      </c>
      <c r="O59" s="1">
        <v>10</v>
      </c>
      <c r="P59" s="1">
        <v>0</v>
      </c>
      <c r="Q59" s="1">
        <v>23</v>
      </c>
      <c r="R59" s="1">
        <v>0</v>
      </c>
      <c r="S59" s="1">
        <v>7</v>
      </c>
      <c r="T59" s="1">
        <v>13</v>
      </c>
      <c r="U59" s="1">
        <v>0</v>
      </c>
      <c r="V59" s="24">
        <v>0</v>
      </c>
      <c r="W59" s="1">
        <v>0</v>
      </c>
      <c r="X59" s="1">
        <v>20</v>
      </c>
      <c r="Y59" s="1">
        <v>20</v>
      </c>
      <c r="Z59" s="1">
        <v>12</v>
      </c>
      <c r="AA59" s="1">
        <v>38</v>
      </c>
      <c r="AB59" s="1">
        <v>34</v>
      </c>
      <c r="AC59" s="1">
        <v>12</v>
      </c>
      <c r="AD59">
        <f t="shared" si="0"/>
        <v>1181099</v>
      </c>
    </row>
    <row r="60" spans="1:30">
      <c r="A60" s="134" t="s">
        <v>227</v>
      </c>
      <c r="B60" s="1">
        <v>8</v>
      </c>
      <c r="C60" s="1">
        <v>15</v>
      </c>
      <c r="D60" s="179">
        <v>50</v>
      </c>
      <c r="E60" s="1">
        <v>20</v>
      </c>
      <c r="F60" s="1">
        <v>45</v>
      </c>
      <c r="G60" s="1">
        <v>7</v>
      </c>
      <c r="H60" s="1">
        <v>43</v>
      </c>
      <c r="I60" s="1">
        <v>10</v>
      </c>
      <c r="J60" s="24"/>
      <c r="K60" s="1">
        <v>10</v>
      </c>
      <c r="L60" s="1">
        <v>0</v>
      </c>
      <c r="M60" s="1">
        <v>30</v>
      </c>
      <c r="N60" s="1">
        <v>5</v>
      </c>
      <c r="O60" s="1">
        <v>0</v>
      </c>
      <c r="P60" s="1">
        <v>70</v>
      </c>
      <c r="Q60" s="1">
        <v>0</v>
      </c>
      <c r="R60" s="1">
        <v>97</v>
      </c>
      <c r="S60" s="1">
        <v>8</v>
      </c>
      <c r="T60" s="1">
        <v>15</v>
      </c>
      <c r="U60" s="1">
        <v>40</v>
      </c>
      <c r="V60" s="24">
        <v>40</v>
      </c>
      <c r="W60" s="1">
        <v>27</v>
      </c>
      <c r="X60" s="1">
        <v>15</v>
      </c>
      <c r="Y60" s="1">
        <v>22</v>
      </c>
      <c r="Z60" s="1">
        <v>5</v>
      </c>
      <c r="AA60" s="1">
        <v>50</v>
      </c>
      <c r="AB60" s="1">
        <v>30</v>
      </c>
      <c r="AC60" s="1">
        <v>12</v>
      </c>
      <c r="AD60">
        <f t="shared" si="0"/>
        <v>1179939</v>
      </c>
    </row>
    <row r="61" spans="1:30">
      <c r="A61" s="134" t="s">
        <v>228</v>
      </c>
      <c r="B61" s="1">
        <v>0</v>
      </c>
      <c r="C61" s="1">
        <v>0</v>
      </c>
      <c r="D61" s="179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24"/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24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>
        <f t="shared" si="0"/>
        <v>1179265</v>
      </c>
    </row>
    <row r="62" spans="1:30">
      <c r="A62" s="134" t="s">
        <v>229</v>
      </c>
      <c r="B62" s="1">
        <v>0</v>
      </c>
      <c r="C62" s="1">
        <v>0</v>
      </c>
      <c r="D62" s="179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24"/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24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>
        <f t="shared" si="0"/>
        <v>1179265</v>
      </c>
    </row>
    <row r="63" spans="1:30">
      <c r="A63" s="134" t="s">
        <v>230</v>
      </c>
      <c r="B63" s="1">
        <v>60</v>
      </c>
      <c r="C63" s="1">
        <v>20</v>
      </c>
      <c r="D63" s="179">
        <v>25</v>
      </c>
      <c r="E63" s="1">
        <v>59</v>
      </c>
      <c r="F63" s="1">
        <v>13</v>
      </c>
      <c r="G63" s="1">
        <v>29</v>
      </c>
      <c r="H63" s="1">
        <v>39</v>
      </c>
      <c r="I63" s="1">
        <v>17</v>
      </c>
      <c r="J63" s="24">
        <v>30</v>
      </c>
      <c r="K63" s="1">
        <v>14</v>
      </c>
      <c r="L63" s="1">
        <v>13</v>
      </c>
      <c r="M63" s="1">
        <v>11</v>
      </c>
      <c r="N63" s="1">
        <v>24</v>
      </c>
      <c r="O63" s="1">
        <v>15</v>
      </c>
      <c r="P63" s="1">
        <v>27</v>
      </c>
      <c r="Q63" s="1">
        <v>30</v>
      </c>
      <c r="R63" s="1">
        <v>15</v>
      </c>
      <c r="S63" s="1">
        <v>15</v>
      </c>
      <c r="T63" s="1">
        <v>27</v>
      </c>
      <c r="U63" s="1">
        <v>20</v>
      </c>
      <c r="V63" s="24">
        <v>20</v>
      </c>
      <c r="W63" s="1">
        <v>29</v>
      </c>
      <c r="X63" s="1">
        <v>14</v>
      </c>
      <c r="Y63" s="1">
        <v>27</v>
      </c>
      <c r="Z63" s="1">
        <v>18</v>
      </c>
      <c r="AA63" s="1">
        <v>24</v>
      </c>
      <c r="AB63" s="1">
        <v>6</v>
      </c>
      <c r="AC63" s="1">
        <v>10</v>
      </c>
      <c r="AD63">
        <f t="shared" si="0"/>
        <v>1179265</v>
      </c>
    </row>
    <row r="64" spans="1:30">
      <c r="A64" s="134" t="s">
        <v>231</v>
      </c>
      <c r="B64" s="1">
        <v>0</v>
      </c>
      <c r="C64" s="1">
        <v>0</v>
      </c>
      <c r="D64" s="179">
        <v>20</v>
      </c>
      <c r="E64" s="1">
        <v>12</v>
      </c>
      <c r="F64" s="1">
        <v>24</v>
      </c>
      <c r="G64" s="1">
        <v>0</v>
      </c>
      <c r="H64" s="1">
        <v>20</v>
      </c>
      <c r="I64" s="1">
        <v>0</v>
      </c>
      <c r="J64" s="24"/>
      <c r="K64" s="1">
        <v>24</v>
      </c>
      <c r="L64" s="1">
        <v>20</v>
      </c>
      <c r="M64" s="1">
        <v>0</v>
      </c>
      <c r="N64" s="1">
        <v>20</v>
      </c>
      <c r="O64" s="1">
        <v>0</v>
      </c>
      <c r="P64" s="1">
        <v>5</v>
      </c>
      <c r="Q64" s="1">
        <v>0</v>
      </c>
      <c r="R64" s="1">
        <v>0</v>
      </c>
      <c r="S64" s="1">
        <v>0</v>
      </c>
      <c r="T64" s="1">
        <v>7</v>
      </c>
      <c r="U64" s="1">
        <v>5</v>
      </c>
      <c r="V64" s="24">
        <v>5</v>
      </c>
      <c r="W64" s="1">
        <v>0</v>
      </c>
      <c r="X64" s="1">
        <v>32</v>
      </c>
      <c r="Y64" s="1">
        <v>0</v>
      </c>
      <c r="Z64" s="1">
        <v>0</v>
      </c>
      <c r="AA64" s="1">
        <v>44</v>
      </c>
      <c r="AB64" s="1">
        <v>14</v>
      </c>
      <c r="AC64" s="1">
        <v>20</v>
      </c>
      <c r="AD64">
        <f t="shared" si="0"/>
        <v>1178614</v>
      </c>
    </row>
    <row r="65" spans="1:30">
      <c r="A65" s="134" t="s">
        <v>232</v>
      </c>
      <c r="B65" s="1">
        <v>194</v>
      </c>
      <c r="C65" s="1">
        <v>280</v>
      </c>
      <c r="D65" s="179">
        <v>239</v>
      </c>
      <c r="E65" s="1">
        <v>150</v>
      </c>
      <c r="F65" s="1">
        <v>161</v>
      </c>
      <c r="G65" s="1">
        <v>248</v>
      </c>
      <c r="H65" s="1">
        <v>220</v>
      </c>
      <c r="I65" s="1">
        <v>274</v>
      </c>
      <c r="J65" s="24">
        <v>200</v>
      </c>
      <c r="K65" s="1">
        <v>200</v>
      </c>
      <c r="L65" s="1">
        <v>117</v>
      </c>
      <c r="M65" s="1">
        <v>96</v>
      </c>
      <c r="N65" s="1">
        <v>232</v>
      </c>
      <c r="O65" s="1">
        <v>0</v>
      </c>
      <c r="P65" s="1">
        <v>168</v>
      </c>
      <c r="Q65" s="1">
        <v>131</v>
      </c>
      <c r="R65" s="1">
        <v>181</v>
      </c>
      <c r="S65" s="1">
        <v>106</v>
      </c>
      <c r="T65" s="1">
        <v>38</v>
      </c>
      <c r="U65" s="1">
        <v>121</v>
      </c>
      <c r="V65" s="24">
        <v>121</v>
      </c>
      <c r="W65" s="1">
        <v>213</v>
      </c>
      <c r="X65" s="1">
        <v>136</v>
      </c>
      <c r="Y65" s="1">
        <v>121</v>
      </c>
      <c r="Z65" s="1">
        <v>140</v>
      </c>
      <c r="AA65" s="1">
        <v>36</v>
      </c>
      <c r="AB65" s="1">
        <v>150</v>
      </c>
      <c r="AC65" s="1">
        <v>104</v>
      </c>
      <c r="AD65">
        <f t="shared" si="0"/>
        <v>1178342</v>
      </c>
    </row>
    <row r="66" spans="1:30">
      <c r="A66" s="134" t="s">
        <v>233</v>
      </c>
      <c r="B66" s="1">
        <v>25</v>
      </c>
      <c r="C66" s="1">
        <v>26</v>
      </c>
      <c r="D66" s="179">
        <v>30</v>
      </c>
      <c r="E66" s="1">
        <v>34</v>
      </c>
      <c r="F66" s="1">
        <v>50</v>
      </c>
      <c r="G66" s="1">
        <v>45</v>
      </c>
      <c r="H66" s="1">
        <v>50</v>
      </c>
      <c r="I66" s="1">
        <v>50</v>
      </c>
      <c r="J66" s="24">
        <v>50</v>
      </c>
      <c r="K66" s="1">
        <v>148</v>
      </c>
      <c r="L66" s="1">
        <v>74</v>
      </c>
      <c r="M66" s="1">
        <v>77</v>
      </c>
      <c r="N66" s="1">
        <v>266</v>
      </c>
      <c r="O66" s="1">
        <v>225</v>
      </c>
      <c r="P66" s="1">
        <v>300</v>
      </c>
      <c r="Q66" s="1">
        <v>539</v>
      </c>
      <c r="R66" s="1">
        <v>482</v>
      </c>
      <c r="S66" s="1">
        <v>377</v>
      </c>
      <c r="T66" s="1">
        <v>390</v>
      </c>
      <c r="U66" s="1">
        <v>728</v>
      </c>
      <c r="V66" s="24">
        <v>728</v>
      </c>
      <c r="W66" s="1">
        <v>390</v>
      </c>
      <c r="X66" s="1">
        <v>438</v>
      </c>
      <c r="Y66" s="1">
        <v>142</v>
      </c>
      <c r="Z66" s="1">
        <v>363</v>
      </c>
      <c r="AA66" s="1">
        <v>618</v>
      </c>
      <c r="AB66" s="1">
        <v>0</v>
      </c>
      <c r="AC66" s="1">
        <v>300</v>
      </c>
      <c r="AD66">
        <f t="shared" si="0"/>
        <v>1173965</v>
      </c>
    </row>
    <row r="67" spans="1:30">
      <c r="A67" s="134" t="s">
        <v>234</v>
      </c>
      <c r="B67" s="1">
        <v>12</v>
      </c>
      <c r="C67" s="1">
        <v>55</v>
      </c>
      <c r="D67" s="179">
        <v>20</v>
      </c>
      <c r="E67" s="1">
        <v>58</v>
      </c>
      <c r="F67" s="1">
        <v>0</v>
      </c>
      <c r="G67" s="1">
        <v>0</v>
      </c>
      <c r="H67" s="1">
        <v>50</v>
      </c>
      <c r="I67" s="1">
        <v>10</v>
      </c>
      <c r="J67" s="24"/>
      <c r="K67" s="1">
        <v>20</v>
      </c>
      <c r="L67" s="1">
        <v>70</v>
      </c>
      <c r="M67" s="1">
        <v>0</v>
      </c>
      <c r="N67" s="1">
        <v>60</v>
      </c>
      <c r="O67" s="1">
        <v>50</v>
      </c>
      <c r="P67" s="1">
        <v>60</v>
      </c>
      <c r="Q67" s="1">
        <v>110</v>
      </c>
      <c r="R67" s="1">
        <v>40</v>
      </c>
      <c r="S67" s="1">
        <v>45</v>
      </c>
      <c r="T67" s="1">
        <v>80</v>
      </c>
      <c r="U67" s="1">
        <v>50</v>
      </c>
      <c r="V67" s="24">
        <v>50</v>
      </c>
      <c r="W67" s="1">
        <v>31</v>
      </c>
      <c r="X67" s="1">
        <v>37</v>
      </c>
      <c r="Y67" s="1">
        <v>50</v>
      </c>
      <c r="Z67" s="1">
        <v>50</v>
      </c>
      <c r="AA67" s="1">
        <v>60</v>
      </c>
      <c r="AB67" s="1">
        <v>60</v>
      </c>
      <c r="AC67" s="1">
        <v>50</v>
      </c>
      <c r="AD67">
        <f t="shared" si="0"/>
        <v>1167020</v>
      </c>
    </row>
    <row r="68" spans="1:30">
      <c r="A68" s="134" t="s">
        <v>235</v>
      </c>
      <c r="B68" s="1">
        <v>0</v>
      </c>
      <c r="C68" s="1">
        <v>0</v>
      </c>
      <c r="D68" s="179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24"/>
      <c r="K68" s="1">
        <v>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24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>
        <f t="shared" si="0"/>
        <v>1165842</v>
      </c>
    </row>
    <row r="69" spans="1:30">
      <c r="A69" s="134" t="s">
        <v>236</v>
      </c>
      <c r="B69" s="1">
        <v>0</v>
      </c>
      <c r="C69" s="1">
        <v>50</v>
      </c>
      <c r="D69" s="179">
        <v>0</v>
      </c>
      <c r="E69" s="1">
        <v>0</v>
      </c>
      <c r="F69" s="1">
        <v>39</v>
      </c>
      <c r="G69" s="1">
        <v>30</v>
      </c>
      <c r="H69" s="1">
        <v>25</v>
      </c>
      <c r="I69" s="1">
        <v>36</v>
      </c>
      <c r="J69" s="24">
        <v>30</v>
      </c>
      <c r="K69" s="1">
        <v>0</v>
      </c>
      <c r="L69" s="1">
        <v>50</v>
      </c>
      <c r="M69" s="1">
        <v>22</v>
      </c>
      <c r="N69" s="1">
        <v>55</v>
      </c>
      <c r="O69" s="1">
        <v>43</v>
      </c>
      <c r="P69" s="1">
        <v>64</v>
      </c>
      <c r="Q69" s="1">
        <v>52</v>
      </c>
      <c r="R69" s="1">
        <v>0</v>
      </c>
      <c r="S69" s="1">
        <v>139</v>
      </c>
      <c r="T69" s="1">
        <v>40</v>
      </c>
      <c r="U69" s="1">
        <v>132</v>
      </c>
      <c r="V69" s="24">
        <v>132</v>
      </c>
      <c r="W69" s="1">
        <v>197</v>
      </c>
      <c r="X69" s="1">
        <v>150</v>
      </c>
      <c r="Y69" s="1">
        <v>15</v>
      </c>
      <c r="Z69" s="1">
        <v>148</v>
      </c>
      <c r="AA69" s="1">
        <v>85</v>
      </c>
      <c r="AB69" s="1">
        <v>78</v>
      </c>
      <c r="AC69" s="1">
        <v>180</v>
      </c>
      <c r="AD69">
        <f t="shared" ref="AD69:AD77" si="1">SUM(B69:AC105)</f>
        <v>1165835</v>
      </c>
    </row>
    <row r="70" spans="1:30">
      <c r="A70" s="134" t="s">
        <v>237</v>
      </c>
      <c r="B70" s="1">
        <v>100</v>
      </c>
      <c r="C70" s="1">
        <v>100</v>
      </c>
      <c r="D70" s="179">
        <v>32</v>
      </c>
      <c r="E70" s="1">
        <v>136</v>
      </c>
      <c r="F70" s="1">
        <v>85</v>
      </c>
      <c r="G70" s="1">
        <v>54</v>
      </c>
      <c r="H70" s="1">
        <v>75</v>
      </c>
      <c r="I70" s="1">
        <v>40</v>
      </c>
      <c r="J70" s="24">
        <v>30</v>
      </c>
      <c r="K70" s="1">
        <v>50</v>
      </c>
      <c r="L70" s="1">
        <v>40</v>
      </c>
      <c r="M70" s="1">
        <v>26</v>
      </c>
      <c r="N70" s="1">
        <v>24</v>
      </c>
      <c r="O70" s="1">
        <v>0</v>
      </c>
      <c r="P70" s="1">
        <v>18</v>
      </c>
      <c r="Q70" s="1">
        <v>14</v>
      </c>
      <c r="R70" s="1">
        <v>10</v>
      </c>
      <c r="S70" s="1">
        <v>15</v>
      </c>
      <c r="T70" s="1">
        <v>0</v>
      </c>
      <c r="U70" s="1">
        <v>18</v>
      </c>
      <c r="V70" s="24">
        <v>18</v>
      </c>
      <c r="W70" s="1">
        <v>13</v>
      </c>
      <c r="X70" s="1">
        <v>66</v>
      </c>
      <c r="Y70" s="1">
        <v>36</v>
      </c>
      <c r="Z70" s="1">
        <v>43</v>
      </c>
      <c r="AA70" s="1">
        <v>60</v>
      </c>
      <c r="AB70" s="1">
        <v>105</v>
      </c>
      <c r="AC70" s="1">
        <v>66</v>
      </c>
      <c r="AD70">
        <f t="shared" si="1"/>
        <v>1164043</v>
      </c>
    </row>
    <row r="71" spans="1:30">
      <c r="A71" s="134" t="s">
        <v>238</v>
      </c>
      <c r="B71" s="1">
        <v>540</v>
      </c>
      <c r="C71" s="1">
        <v>100</v>
      </c>
      <c r="D71" s="179">
        <v>540</v>
      </c>
      <c r="E71" s="1">
        <v>380</v>
      </c>
      <c r="F71" s="1">
        <v>315</v>
      </c>
      <c r="G71" s="1">
        <v>350</v>
      </c>
      <c r="H71" s="1">
        <v>300</v>
      </c>
      <c r="I71" s="1">
        <v>317</v>
      </c>
      <c r="J71" s="24">
        <v>250</v>
      </c>
      <c r="K71" s="1">
        <v>200</v>
      </c>
      <c r="L71" s="1">
        <v>150</v>
      </c>
      <c r="M71" s="1">
        <v>180</v>
      </c>
      <c r="N71" s="1">
        <v>223</v>
      </c>
      <c r="O71" s="1">
        <v>147</v>
      </c>
      <c r="P71" s="1">
        <v>185</v>
      </c>
      <c r="Q71" s="1">
        <v>277</v>
      </c>
      <c r="R71" s="1">
        <v>250</v>
      </c>
      <c r="S71" s="1">
        <v>200</v>
      </c>
      <c r="T71" s="1">
        <v>50</v>
      </c>
      <c r="U71" s="1">
        <v>184</v>
      </c>
      <c r="V71" s="24">
        <v>184</v>
      </c>
      <c r="W71" s="1">
        <v>450</v>
      </c>
      <c r="X71" s="1">
        <v>360</v>
      </c>
      <c r="Y71" s="1">
        <v>58</v>
      </c>
      <c r="Z71" s="1">
        <v>232</v>
      </c>
      <c r="AA71" s="1">
        <v>367</v>
      </c>
      <c r="AB71" s="1">
        <v>398</v>
      </c>
      <c r="AC71" s="1">
        <v>245</v>
      </c>
      <c r="AD71">
        <f t="shared" si="1"/>
        <v>1162769</v>
      </c>
    </row>
    <row r="72" spans="1:30">
      <c r="A72" s="134" t="s">
        <v>242</v>
      </c>
      <c r="B72" s="1">
        <v>0</v>
      </c>
      <c r="C72" s="1">
        <v>0</v>
      </c>
      <c r="D72" s="179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24"/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27</v>
      </c>
      <c r="U72" s="1">
        <v>0</v>
      </c>
      <c r="V72" s="24">
        <v>0</v>
      </c>
      <c r="W72" s="1">
        <v>0</v>
      </c>
      <c r="X72" s="1">
        <v>0</v>
      </c>
      <c r="Y72" s="1">
        <v>0</v>
      </c>
      <c r="Z72" s="1">
        <v>0</v>
      </c>
      <c r="AA72" s="1">
        <v>10</v>
      </c>
      <c r="AB72" s="1">
        <v>0</v>
      </c>
      <c r="AC72" s="1">
        <v>0</v>
      </c>
      <c r="AD72">
        <f t="shared" si="1"/>
        <v>1155337</v>
      </c>
    </row>
    <row r="73" spans="1:30">
      <c r="A73" s="134" t="s">
        <v>240</v>
      </c>
      <c r="B73" s="1">
        <v>170</v>
      </c>
      <c r="C73" s="1">
        <v>228</v>
      </c>
      <c r="D73" s="179">
        <v>309</v>
      </c>
      <c r="E73" s="1">
        <v>150</v>
      </c>
      <c r="F73" s="1">
        <v>204</v>
      </c>
      <c r="G73" s="1">
        <v>168</v>
      </c>
      <c r="H73" s="1">
        <v>150</v>
      </c>
      <c r="I73" s="1">
        <v>279</v>
      </c>
      <c r="J73" s="24">
        <v>100</v>
      </c>
      <c r="K73" s="1">
        <v>365</v>
      </c>
      <c r="L73" s="1">
        <v>284</v>
      </c>
      <c r="M73" s="1">
        <v>210</v>
      </c>
      <c r="N73" s="1">
        <v>339</v>
      </c>
      <c r="O73" s="1">
        <v>230</v>
      </c>
      <c r="P73" s="1">
        <v>643</v>
      </c>
      <c r="Q73" s="1">
        <v>70</v>
      </c>
      <c r="R73" s="1">
        <v>312</v>
      </c>
      <c r="S73" s="1">
        <v>246</v>
      </c>
      <c r="T73" s="1">
        <v>232</v>
      </c>
      <c r="U73" s="1">
        <v>413</v>
      </c>
      <c r="V73" s="24">
        <v>413</v>
      </c>
      <c r="W73" s="1">
        <v>98</v>
      </c>
      <c r="X73" s="1">
        <v>378</v>
      </c>
      <c r="Y73" s="1">
        <v>230</v>
      </c>
      <c r="Z73" s="1">
        <v>378</v>
      </c>
      <c r="AA73" s="1">
        <v>184</v>
      </c>
      <c r="AB73" s="1">
        <v>270</v>
      </c>
      <c r="AC73" s="1">
        <v>308</v>
      </c>
      <c r="AD73">
        <f t="shared" si="1"/>
        <v>1155300</v>
      </c>
    </row>
    <row r="74" spans="1:30">
      <c r="A74" s="134" t="s">
        <v>241</v>
      </c>
      <c r="B74" s="1">
        <v>0</v>
      </c>
      <c r="C74" s="1">
        <v>0</v>
      </c>
      <c r="D74" s="179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24"/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32</v>
      </c>
      <c r="Q74" s="1">
        <v>32</v>
      </c>
      <c r="R74" s="1">
        <v>30</v>
      </c>
      <c r="S74" s="1">
        <v>56</v>
      </c>
      <c r="T74" s="1">
        <v>56</v>
      </c>
      <c r="U74" s="1">
        <v>40</v>
      </c>
      <c r="V74" s="24">
        <v>40</v>
      </c>
      <c r="W74" s="1">
        <v>0</v>
      </c>
      <c r="X74" s="1">
        <v>50</v>
      </c>
      <c r="Y74" s="1">
        <v>50</v>
      </c>
      <c r="Z74" s="1">
        <v>50</v>
      </c>
      <c r="AA74" s="1">
        <v>88</v>
      </c>
      <c r="AB74" s="1">
        <v>0</v>
      </c>
      <c r="AC74" s="1">
        <v>40</v>
      </c>
      <c r="AD74">
        <f t="shared" si="1"/>
        <v>1147939</v>
      </c>
    </row>
    <row r="75" spans="1:30">
      <c r="A75" s="131" t="s">
        <v>243</v>
      </c>
      <c r="B75" s="1">
        <v>0</v>
      </c>
      <c r="C75" s="1">
        <v>0</v>
      </c>
      <c r="D75" s="179">
        <v>0</v>
      </c>
      <c r="E75" s="1">
        <v>8</v>
      </c>
      <c r="F75" s="1">
        <v>0</v>
      </c>
      <c r="G75" s="1">
        <v>0</v>
      </c>
      <c r="H75" s="1">
        <v>0</v>
      </c>
      <c r="I75" s="1">
        <v>0</v>
      </c>
      <c r="J75" s="24"/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24">
        <v>0</v>
      </c>
      <c r="W75" s="1">
        <v>0</v>
      </c>
      <c r="X75" s="1">
        <v>10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>
        <f t="shared" si="1"/>
        <v>1147375</v>
      </c>
    </row>
    <row r="76" spans="1:30" s="205" customFormat="1">
      <c r="A76" s="203" t="s">
        <v>163</v>
      </c>
      <c r="B76" s="201">
        <v>3739</v>
      </c>
      <c r="C76" s="201">
        <v>2474</v>
      </c>
      <c r="D76" s="204">
        <v>3565</v>
      </c>
      <c r="E76" s="201">
        <v>2451</v>
      </c>
      <c r="F76" s="201">
        <v>3047</v>
      </c>
      <c r="G76" s="201">
        <v>3270</v>
      </c>
      <c r="H76" s="201">
        <v>3521</v>
      </c>
      <c r="I76" s="201">
        <v>2653</v>
      </c>
      <c r="J76" s="201">
        <f>SUM(J37:J74)</f>
        <v>2040</v>
      </c>
      <c r="K76" s="201">
        <v>2749</v>
      </c>
      <c r="L76" s="201">
        <v>2417</v>
      </c>
      <c r="M76" s="201">
        <v>2098</v>
      </c>
      <c r="N76" s="201">
        <v>3035</v>
      </c>
      <c r="O76" s="201">
        <v>2620</v>
      </c>
      <c r="P76" s="201">
        <v>3388</v>
      </c>
      <c r="Q76" s="201">
        <v>3639</v>
      </c>
      <c r="R76" s="199">
        <v>3124</v>
      </c>
      <c r="S76" s="199">
        <v>3766</v>
      </c>
      <c r="T76" s="197">
        <v>2955</v>
      </c>
      <c r="U76" s="197">
        <v>3594</v>
      </c>
      <c r="V76" s="197">
        <v>3594</v>
      </c>
      <c r="W76" s="197">
        <v>3926</v>
      </c>
      <c r="X76" s="199">
        <v>4404</v>
      </c>
      <c r="Y76" s="199">
        <v>1860</v>
      </c>
      <c r="Z76" s="199">
        <v>3658</v>
      </c>
      <c r="AA76" s="199">
        <v>3387</v>
      </c>
      <c r="AB76" s="199">
        <v>3332</v>
      </c>
      <c r="AC76" s="199">
        <v>3741</v>
      </c>
      <c r="AD76">
        <f t="shared" si="1"/>
        <v>1147357</v>
      </c>
    </row>
    <row r="77" spans="1:30" s="215" customFormat="1" ht="29.1" customHeight="1">
      <c r="A77" s="213" t="s">
        <v>244</v>
      </c>
      <c r="B77" s="214">
        <v>74152</v>
      </c>
      <c r="C77" s="214">
        <v>66439</v>
      </c>
      <c r="D77" s="213">
        <v>69110</v>
      </c>
      <c r="E77" s="214">
        <v>71703</v>
      </c>
      <c r="F77" s="214">
        <v>55486</v>
      </c>
      <c r="G77" s="214">
        <v>54915</v>
      </c>
      <c r="H77" s="214">
        <v>54166</v>
      </c>
      <c r="I77" s="214">
        <v>40478</v>
      </c>
      <c r="J77" s="214">
        <f>SUM(J35,J76)</f>
        <v>38540</v>
      </c>
      <c r="K77" s="214">
        <v>34525</v>
      </c>
      <c r="L77" s="214">
        <v>28353</v>
      </c>
      <c r="M77" s="214">
        <v>30395</v>
      </c>
      <c r="N77" s="214">
        <v>38176</v>
      </c>
      <c r="O77" s="214">
        <v>36287</v>
      </c>
      <c r="P77" s="214">
        <v>34431</v>
      </c>
      <c r="Q77" s="214">
        <v>35741</v>
      </c>
      <c r="R77" s="214">
        <v>29932</v>
      </c>
      <c r="S77" s="214">
        <v>32327</v>
      </c>
      <c r="T77" s="214">
        <v>27966</v>
      </c>
      <c r="U77" s="214">
        <v>26481</v>
      </c>
      <c r="V77" s="214">
        <v>26481</v>
      </c>
      <c r="W77" s="214">
        <v>29385</v>
      </c>
      <c r="X77" s="214">
        <v>22885</v>
      </c>
      <c r="Y77" s="214">
        <v>18723</v>
      </c>
      <c r="Z77" s="214">
        <v>19809</v>
      </c>
      <c r="AA77" s="214">
        <v>21657</v>
      </c>
      <c r="AB77" s="214">
        <v>18950</v>
      </c>
      <c r="AC77" s="214">
        <v>21817</v>
      </c>
      <c r="AD77">
        <f t="shared" si="1"/>
        <v>1059310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6D26-2CDE-4151-A96B-7CE36FE397D4}">
  <dimension ref="A1:AC71"/>
  <sheetViews>
    <sheetView topLeftCell="A57" workbookViewId="0">
      <selection activeCell="M44" sqref="M44"/>
    </sheetView>
  </sheetViews>
  <sheetFormatPr defaultRowHeight="15.75"/>
  <cols>
    <col min="1" max="1" width="22.85546875" style="242" customWidth="1"/>
    <col min="2" max="5" width="9" style="1"/>
    <col min="6" max="6" width="9" style="1" customWidth="1"/>
    <col min="7" max="9" width="9.140625" style="1"/>
    <col min="10" max="10" width="9" style="24" customWidth="1"/>
    <col min="11" max="21" width="9.140625" style="1"/>
    <col min="22" max="22" width="9" style="24" customWidth="1"/>
    <col min="23" max="16384" width="9.140625" style="1"/>
  </cols>
  <sheetData>
    <row r="1" spans="1:29" ht="24.95" customHeight="1">
      <c r="A1" s="241"/>
      <c r="B1" s="243">
        <v>46082</v>
      </c>
      <c r="C1" s="243">
        <v>46083</v>
      </c>
      <c r="D1" s="243">
        <v>46084</v>
      </c>
      <c r="E1" s="243">
        <v>46085</v>
      </c>
      <c r="F1" s="243">
        <v>46086</v>
      </c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4"/>
      <c r="W1" s="243"/>
      <c r="X1" s="243"/>
      <c r="Y1" s="243"/>
      <c r="Z1" s="243"/>
      <c r="AA1" s="243"/>
      <c r="AB1" s="243"/>
      <c r="AC1" s="243"/>
    </row>
    <row r="2" spans="1:29">
      <c r="A2" s="241" t="s">
        <v>171</v>
      </c>
      <c r="B2" s="1">
        <v>5255</v>
      </c>
      <c r="C2" s="1">
        <v>3665</v>
      </c>
      <c r="D2" s="1">
        <v>3458</v>
      </c>
      <c r="E2" s="1">
        <v>4364</v>
      </c>
    </row>
    <row r="3" spans="1:29">
      <c r="A3" s="241" t="s">
        <v>172</v>
      </c>
      <c r="B3" s="1">
        <v>620</v>
      </c>
      <c r="C3" s="1">
        <v>429</v>
      </c>
      <c r="D3" s="1">
        <v>525</v>
      </c>
      <c r="E3" s="1">
        <v>600</v>
      </c>
    </row>
    <row r="4" spans="1:29">
      <c r="A4" s="241" t="s">
        <v>173</v>
      </c>
      <c r="B4" s="1">
        <v>3015</v>
      </c>
      <c r="C4" s="1">
        <v>3900</v>
      </c>
      <c r="D4" s="1">
        <v>3100</v>
      </c>
      <c r="E4" s="1">
        <v>1870</v>
      </c>
    </row>
    <row r="5" spans="1:29">
      <c r="A5" s="241" t="s">
        <v>174</v>
      </c>
      <c r="B5" s="1">
        <v>658</v>
      </c>
      <c r="C5" s="1">
        <v>770</v>
      </c>
      <c r="D5" s="1">
        <v>444</v>
      </c>
      <c r="E5" s="1">
        <v>1079</v>
      </c>
    </row>
    <row r="6" spans="1:29">
      <c r="A6" s="241" t="s">
        <v>175</v>
      </c>
      <c r="B6" s="1">
        <v>340</v>
      </c>
      <c r="C6" s="1">
        <v>578</v>
      </c>
      <c r="D6" s="1">
        <v>650</v>
      </c>
      <c r="E6" s="1">
        <v>379</v>
      </c>
    </row>
    <row r="7" spans="1:29">
      <c r="A7" s="241" t="s">
        <v>176</v>
      </c>
      <c r="B7" s="1">
        <v>384</v>
      </c>
      <c r="C7" s="1">
        <v>432</v>
      </c>
      <c r="D7" s="1">
        <v>447</v>
      </c>
      <c r="E7" s="1">
        <v>492</v>
      </c>
    </row>
    <row r="8" spans="1:29">
      <c r="A8" s="241" t="s">
        <v>177</v>
      </c>
      <c r="B8" s="1">
        <v>123</v>
      </c>
      <c r="C8" s="1">
        <v>45</v>
      </c>
      <c r="D8" s="1">
        <v>75</v>
      </c>
      <c r="E8" s="1">
        <v>60</v>
      </c>
    </row>
    <row r="9" spans="1:29">
      <c r="A9" s="241" t="s">
        <v>178</v>
      </c>
      <c r="B9" s="1">
        <v>1735</v>
      </c>
      <c r="C9" s="1">
        <v>1900</v>
      </c>
      <c r="D9" s="1">
        <v>1500</v>
      </c>
      <c r="E9" s="1">
        <v>1300</v>
      </c>
    </row>
    <row r="10" spans="1:29">
      <c r="A10" s="241" t="s">
        <v>179</v>
      </c>
      <c r="B10" s="1">
        <v>70</v>
      </c>
      <c r="C10" s="1">
        <v>72</v>
      </c>
      <c r="D10" s="1">
        <v>170</v>
      </c>
      <c r="E10" s="1">
        <v>150</v>
      </c>
    </row>
    <row r="11" spans="1:29">
      <c r="A11" s="241" t="s">
        <v>180</v>
      </c>
      <c r="B11" s="1">
        <v>170</v>
      </c>
      <c r="C11" s="1">
        <v>35</v>
      </c>
      <c r="D11" s="1">
        <v>164</v>
      </c>
      <c r="E11" s="1">
        <v>205</v>
      </c>
    </row>
    <row r="12" spans="1:29">
      <c r="A12" s="241" t="s">
        <v>181</v>
      </c>
      <c r="B12" s="1">
        <v>1430</v>
      </c>
      <c r="C12" s="1">
        <v>1470</v>
      </c>
      <c r="D12" s="1">
        <v>1950</v>
      </c>
      <c r="E12" s="1">
        <v>1160</v>
      </c>
    </row>
    <row r="13" spans="1:29">
      <c r="A13" s="241" t="s">
        <v>182</v>
      </c>
      <c r="B13" s="1">
        <v>550</v>
      </c>
      <c r="C13" s="1">
        <v>840</v>
      </c>
      <c r="D13" s="1">
        <v>1270</v>
      </c>
      <c r="E13" s="1">
        <v>532</v>
      </c>
    </row>
    <row r="14" spans="1:29">
      <c r="A14" s="241" t="s">
        <v>183</v>
      </c>
      <c r="B14" s="1">
        <v>100</v>
      </c>
      <c r="C14" s="1">
        <v>140</v>
      </c>
      <c r="D14" s="1">
        <v>146</v>
      </c>
      <c r="E14" s="1">
        <v>220</v>
      </c>
    </row>
    <row r="15" spans="1:29">
      <c r="A15" s="241" t="s">
        <v>184</v>
      </c>
      <c r="B15" s="1">
        <v>321</v>
      </c>
      <c r="C15" s="1">
        <v>280</v>
      </c>
      <c r="D15" s="1">
        <v>550</v>
      </c>
      <c r="E15" s="1">
        <v>765</v>
      </c>
    </row>
    <row r="16" spans="1:29">
      <c r="A16" s="241" t="s">
        <v>185</v>
      </c>
      <c r="B16" s="1">
        <v>150</v>
      </c>
      <c r="C16" s="1">
        <v>50</v>
      </c>
      <c r="D16" s="1">
        <v>250</v>
      </c>
      <c r="E16" s="1">
        <v>150</v>
      </c>
    </row>
    <row r="17" spans="1:5">
      <c r="A17" s="241" t="s">
        <v>186</v>
      </c>
      <c r="B17" s="1">
        <v>440</v>
      </c>
      <c r="C17" s="1">
        <v>320</v>
      </c>
      <c r="D17" s="1">
        <v>500</v>
      </c>
      <c r="E17" s="1">
        <v>800</v>
      </c>
    </row>
    <row r="18" spans="1:5">
      <c r="A18" s="241" t="s">
        <v>187</v>
      </c>
      <c r="B18" s="1">
        <v>180</v>
      </c>
      <c r="C18" s="1">
        <v>519</v>
      </c>
      <c r="D18" s="1">
        <v>189</v>
      </c>
      <c r="E18" s="1">
        <v>300</v>
      </c>
    </row>
    <row r="19" spans="1:5">
      <c r="A19" s="241" t="s">
        <v>188</v>
      </c>
      <c r="B19" s="1">
        <v>70</v>
      </c>
      <c r="C19" s="1">
        <v>90</v>
      </c>
      <c r="D19" s="1">
        <v>150</v>
      </c>
      <c r="E19" s="1">
        <v>0</v>
      </c>
    </row>
    <row r="20" spans="1:5">
      <c r="A20" s="241" t="s">
        <v>189</v>
      </c>
      <c r="B20" s="1">
        <v>40</v>
      </c>
      <c r="C20" s="1">
        <v>24</v>
      </c>
      <c r="D20" s="1">
        <v>20</v>
      </c>
      <c r="E20" s="1">
        <v>10</v>
      </c>
    </row>
    <row r="21" spans="1:5">
      <c r="A21" s="241" t="s">
        <v>190</v>
      </c>
      <c r="B21" s="1">
        <v>718</v>
      </c>
      <c r="C21" s="1">
        <v>966</v>
      </c>
      <c r="D21" s="1">
        <v>1250</v>
      </c>
      <c r="E21" s="1">
        <v>1118</v>
      </c>
    </row>
    <row r="22" spans="1:5">
      <c r="A22" s="241" t="s">
        <v>191</v>
      </c>
      <c r="B22" s="1">
        <v>227</v>
      </c>
      <c r="C22" s="1">
        <v>200</v>
      </c>
      <c r="D22" s="1">
        <v>224</v>
      </c>
      <c r="E22" s="1">
        <v>255</v>
      </c>
    </row>
    <row r="23" spans="1:5">
      <c r="A23" s="241" t="s">
        <v>192</v>
      </c>
      <c r="B23" s="1">
        <v>150</v>
      </c>
      <c r="C23" s="1">
        <v>442</v>
      </c>
      <c r="D23" s="1">
        <v>337</v>
      </c>
      <c r="E23" s="1">
        <v>347</v>
      </c>
    </row>
    <row r="24" spans="1:5">
      <c r="A24" s="241" t="s">
        <v>193</v>
      </c>
      <c r="B24" s="1">
        <v>0</v>
      </c>
      <c r="C24" s="1">
        <v>0</v>
      </c>
      <c r="D24" s="1">
        <v>0</v>
      </c>
      <c r="E24" s="1">
        <v>0</v>
      </c>
    </row>
    <row r="25" spans="1:5">
      <c r="A25" s="241" t="s">
        <v>194</v>
      </c>
      <c r="B25" s="1">
        <v>150</v>
      </c>
      <c r="C25" s="1">
        <v>100</v>
      </c>
      <c r="D25" s="1">
        <v>140</v>
      </c>
      <c r="E25" s="1">
        <v>230</v>
      </c>
    </row>
    <row r="26" spans="1:5">
      <c r="A26" s="241" t="s">
        <v>195</v>
      </c>
      <c r="B26" s="1">
        <v>60</v>
      </c>
      <c r="C26" s="1">
        <v>43</v>
      </c>
      <c r="D26" s="1">
        <v>60</v>
      </c>
      <c r="E26" s="1">
        <v>52</v>
      </c>
    </row>
    <row r="27" spans="1:5">
      <c r="A27" s="241" t="s">
        <v>196</v>
      </c>
      <c r="B27" s="1">
        <v>0</v>
      </c>
      <c r="C27" s="1">
        <v>0</v>
      </c>
      <c r="D27" s="1">
        <v>0</v>
      </c>
      <c r="E27" s="1">
        <v>0</v>
      </c>
    </row>
    <row r="28" spans="1:5">
      <c r="A28" s="241" t="s">
        <v>197</v>
      </c>
      <c r="B28" s="1">
        <v>80</v>
      </c>
      <c r="C28" s="1">
        <v>30</v>
      </c>
      <c r="D28" s="1">
        <v>44</v>
      </c>
      <c r="E28" s="1">
        <v>86</v>
      </c>
    </row>
    <row r="29" spans="1:5">
      <c r="A29" s="241" t="s">
        <v>198</v>
      </c>
      <c r="B29" s="1">
        <v>0</v>
      </c>
      <c r="C29" s="1">
        <v>0</v>
      </c>
      <c r="D29" s="1">
        <v>0</v>
      </c>
      <c r="E29" s="1">
        <v>0</v>
      </c>
    </row>
    <row r="30" spans="1:5">
      <c r="A30" s="241" t="s">
        <v>199</v>
      </c>
      <c r="B30" s="1">
        <v>0</v>
      </c>
      <c r="C30" s="1">
        <v>0</v>
      </c>
      <c r="D30" s="1">
        <v>0</v>
      </c>
      <c r="E30" s="1">
        <v>0</v>
      </c>
    </row>
    <row r="31" spans="1:5">
      <c r="A31" s="241" t="s">
        <v>200</v>
      </c>
      <c r="B31" s="1">
        <v>105</v>
      </c>
      <c r="C31" s="1">
        <v>56</v>
      </c>
      <c r="D31" s="1">
        <v>50</v>
      </c>
      <c r="E31" s="1">
        <v>45</v>
      </c>
    </row>
    <row r="32" spans="1:5">
      <c r="A32" s="241" t="s">
        <v>201</v>
      </c>
      <c r="B32" s="1">
        <v>325</v>
      </c>
      <c r="C32" s="1">
        <v>230</v>
      </c>
      <c r="D32" s="1">
        <v>284</v>
      </c>
      <c r="E32" s="1">
        <v>617</v>
      </c>
    </row>
    <row r="33" spans="1:5">
      <c r="A33" s="241" t="s">
        <v>203</v>
      </c>
      <c r="B33" s="1">
        <v>199</v>
      </c>
      <c r="C33" s="1">
        <v>150</v>
      </c>
      <c r="D33" s="1">
        <v>236</v>
      </c>
      <c r="E33" s="1">
        <v>131</v>
      </c>
    </row>
    <row r="34" spans="1:5">
      <c r="A34" s="241" t="s">
        <v>204</v>
      </c>
      <c r="B34" s="1">
        <v>52</v>
      </c>
      <c r="C34" s="1">
        <v>140</v>
      </c>
      <c r="D34" s="1">
        <v>50</v>
      </c>
      <c r="E34" s="1">
        <v>185</v>
      </c>
    </row>
    <row r="35" spans="1:5">
      <c r="A35" s="241" t="s">
        <v>205</v>
      </c>
      <c r="B35" s="1">
        <v>221</v>
      </c>
      <c r="C35" s="1">
        <v>190</v>
      </c>
      <c r="D35" s="1">
        <v>112</v>
      </c>
      <c r="E35" s="1">
        <v>10</v>
      </c>
    </row>
    <row r="36" spans="1:5">
      <c r="A36" s="241" t="s">
        <v>206</v>
      </c>
      <c r="B36" s="1">
        <v>100</v>
      </c>
      <c r="C36" s="1">
        <v>100</v>
      </c>
      <c r="D36" s="1">
        <v>20</v>
      </c>
      <c r="E36" s="1">
        <v>120</v>
      </c>
    </row>
    <row r="37" spans="1:5">
      <c r="A37" s="241" t="s">
        <v>207</v>
      </c>
      <c r="B37" s="1">
        <v>502</v>
      </c>
      <c r="C37" s="1">
        <v>332</v>
      </c>
      <c r="D37" s="1">
        <v>350</v>
      </c>
      <c r="E37" s="1">
        <v>380</v>
      </c>
    </row>
    <row r="38" spans="1:5">
      <c r="A38" s="241" t="s">
        <v>208</v>
      </c>
      <c r="B38" s="1">
        <v>377</v>
      </c>
      <c r="C38" s="1">
        <v>260</v>
      </c>
      <c r="D38" s="1">
        <v>336</v>
      </c>
      <c r="E38" s="1">
        <v>352</v>
      </c>
    </row>
    <row r="39" spans="1:5">
      <c r="A39" s="241" t="s">
        <v>209</v>
      </c>
      <c r="B39" s="1">
        <v>70</v>
      </c>
      <c r="C39" s="1">
        <v>100</v>
      </c>
      <c r="D39" s="1">
        <v>40</v>
      </c>
      <c r="E39" s="1">
        <v>40</v>
      </c>
    </row>
    <row r="40" spans="1:5">
      <c r="A40" s="241" t="s">
        <v>210</v>
      </c>
      <c r="B40" s="1">
        <v>0</v>
      </c>
      <c r="C40" s="1">
        <v>0</v>
      </c>
      <c r="D40" s="1">
        <v>0</v>
      </c>
      <c r="E40" s="1">
        <v>138</v>
      </c>
    </row>
    <row r="41" spans="1:5">
      <c r="A41" s="241" t="s">
        <v>211</v>
      </c>
      <c r="B41" s="1">
        <v>22</v>
      </c>
      <c r="C41" s="1">
        <v>0</v>
      </c>
      <c r="D41" s="1">
        <v>0</v>
      </c>
      <c r="E41" s="1">
        <v>15</v>
      </c>
    </row>
    <row r="42" spans="1:5">
      <c r="A42" s="241" t="s">
        <v>212</v>
      </c>
      <c r="B42" s="1">
        <v>120</v>
      </c>
      <c r="C42" s="1">
        <v>54</v>
      </c>
      <c r="D42" s="1">
        <v>89</v>
      </c>
      <c r="E42" s="1">
        <v>0</v>
      </c>
    </row>
    <row r="43" spans="1:5">
      <c r="A43" s="241" t="s">
        <v>213</v>
      </c>
      <c r="B43" s="1">
        <v>0</v>
      </c>
      <c r="C43" s="1">
        <v>37</v>
      </c>
      <c r="D43" s="1">
        <v>10</v>
      </c>
      <c r="E43" s="1">
        <v>0</v>
      </c>
    </row>
    <row r="44" spans="1:5">
      <c r="A44" s="241" t="s">
        <v>214</v>
      </c>
      <c r="B44" s="1">
        <v>166</v>
      </c>
      <c r="C44" s="1">
        <v>20</v>
      </c>
      <c r="D44" s="1">
        <v>60</v>
      </c>
      <c r="E44" s="1">
        <v>85</v>
      </c>
    </row>
    <row r="45" spans="1:5">
      <c r="A45" s="241" t="s">
        <v>215</v>
      </c>
      <c r="B45" s="1">
        <v>0</v>
      </c>
      <c r="C45" s="1">
        <v>0</v>
      </c>
      <c r="D45" s="1">
        <v>25</v>
      </c>
      <c r="E45" s="1">
        <v>0</v>
      </c>
    </row>
    <row r="46" spans="1:5">
      <c r="A46" s="241" t="s">
        <v>216</v>
      </c>
      <c r="B46" s="1">
        <v>25</v>
      </c>
      <c r="C46" s="1">
        <v>12</v>
      </c>
      <c r="D46" s="1">
        <v>6</v>
      </c>
      <c r="E46" s="1">
        <v>23</v>
      </c>
    </row>
    <row r="47" spans="1:5">
      <c r="A47" s="241" t="s">
        <v>217</v>
      </c>
      <c r="B47" s="1">
        <v>50</v>
      </c>
      <c r="C47" s="1">
        <v>30</v>
      </c>
      <c r="D47" s="1">
        <v>28</v>
      </c>
      <c r="E47" s="1">
        <v>40</v>
      </c>
    </row>
    <row r="48" spans="1:5">
      <c r="A48" s="241" t="s">
        <v>218</v>
      </c>
      <c r="B48" s="1">
        <v>11</v>
      </c>
      <c r="C48" s="1">
        <v>11</v>
      </c>
      <c r="D48" s="1">
        <v>10</v>
      </c>
      <c r="E48" s="1">
        <v>0</v>
      </c>
    </row>
    <row r="49" spans="1:5">
      <c r="A49" s="241" t="s">
        <v>221</v>
      </c>
      <c r="B49" s="1">
        <v>0</v>
      </c>
      <c r="C49" s="1">
        <v>0</v>
      </c>
      <c r="D49" s="1">
        <v>0</v>
      </c>
      <c r="E49" s="1">
        <v>0</v>
      </c>
    </row>
    <row r="50" spans="1:5">
      <c r="A50" s="241" t="s">
        <v>220</v>
      </c>
      <c r="B50" s="1">
        <v>250</v>
      </c>
      <c r="C50" s="1">
        <v>165</v>
      </c>
      <c r="D50" s="1">
        <v>150</v>
      </c>
      <c r="E50" s="1">
        <v>138</v>
      </c>
    </row>
    <row r="51" spans="1:5">
      <c r="A51" s="241" t="s">
        <v>222</v>
      </c>
      <c r="B51" s="1">
        <v>172</v>
      </c>
      <c r="C51" s="1">
        <v>0</v>
      </c>
      <c r="D51" s="1">
        <v>183</v>
      </c>
      <c r="E51" s="1">
        <v>230</v>
      </c>
    </row>
    <row r="52" spans="1:5">
      <c r="A52" s="241" t="s">
        <v>223</v>
      </c>
      <c r="B52" s="1">
        <v>10</v>
      </c>
      <c r="C52" s="1">
        <v>8</v>
      </c>
      <c r="D52" s="1">
        <v>0</v>
      </c>
      <c r="E52" s="1">
        <v>10</v>
      </c>
    </row>
    <row r="53" spans="1:5">
      <c r="A53" s="241" t="s">
        <v>219</v>
      </c>
      <c r="B53" s="1">
        <v>30</v>
      </c>
      <c r="C53" s="1">
        <v>43</v>
      </c>
      <c r="D53" s="1">
        <v>100</v>
      </c>
      <c r="E53" s="1">
        <v>15</v>
      </c>
    </row>
    <row r="54" spans="1:5">
      <c r="A54" s="241" t="s">
        <v>225</v>
      </c>
      <c r="B54" s="1">
        <v>10</v>
      </c>
      <c r="C54" s="1">
        <v>0</v>
      </c>
      <c r="D54" s="1">
        <v>0</v>
      </c>
      <c r="E54" s="1">
        <v>0</v>
      </c>
    </row>
    <row r="55" spans="1:5">
      <c r="A55" s="241" t="s">
        <v>226</v>
      </c>
      <c r="B55" s="1">
        <v>32</v>
      </c>
      <c r="C55" s="1">
        <v>22</v>
      </c>
      <c r="D55" s="1">
        <v>50</v>
      </c>
      <c r="E55" s="1">
        <v>7</v>
      </c>
    </row>
    <row r="56" spans="1:5">
      <c r="A56" s="241" t="s">
        <v>227</v>
      </c>
      <c r="B56" s="1">
        <v>17</v>
      </c>
      <c r="C56" s="1">
        <v>20</v>
      </c>
      <c r="D56" s="1">
        <v>12</v>
      </c>
      <c r="E56" s="1">
        <v>0</v>
      </c>
    </row>
    <row r="57" spans="1:5">
      <c r="A57" s="241" t="s">
        <v>228</v>
      </c>
      <c r="B57" s="1">
        <v>0</v>
      </c>
      <c r="C57" s="1">
        <v>0</v>
      </c>
      <c r="D57" s="1">
        <v>0</v>
      </c>
      <c r="E57" s="1">
        <v>0</v>
      </c>
    </row>
    <row r="58" spans="1:5">
      <c r="A58" s="241" t="s">
        <v>229</v>
      </c>
      <c r="B58" s="1">
        <v>0</v>
      </c>
      <c r="C58" s="1">
        <v>0</v>
      </c>
      <c r="D58" s="1">
        <v>0</v>
      </c>
      <c r="E58" s="1">
        <v>0</v>
      </c>
    </row>
    <row r="59" spans="1:5">
      <c r="A59" s="241" t="s">
        <v>230</v>
      </c>
      <c r="B59" s="1">
        <v>21</v>
      </c>
      <c r="C59" s="1">
        <v>30</v>
      </c>
      <c r="D59" s="1">
        <v>15</v>
      </c>
      <c r="E59" s="1">
        <v>49</v>
      </c>
    </row>
    <row r="60" spans="1:5">
      <c r="A60" s="241" t="s">
        <v>231</v>
      </c>
      <c r="B60" s="1">
        <v>20</v>
      </c>
      <c r="C60" s="1">
        <v>20</v>
      </c>
      <c r="D60" s="1">
        <v>30</v>
      </c>
      <c r="E60" s="1">
        <v>0</v>
      </c>
    </row>
    <row r="61" spans="1:5">
      <c r="A61" s="241" t="s">
        <v>232</v>
      </c>
      <c r="B61" s="1">
        <v>155</v>
      </c>
      <c r="C61" s="1">
        <v>54</v>
      </c>
      <c r="D61" s="1">
        <v>113</v>
      </c>
      <c r="E61" s="1">
        <v>87</v>
      </c>
    </row>
    <row r="62" spans="1:5">
      <c r="A62" s="241" t="s">
        <v>233</v>
      </c>
      <c r="B62" s="1">
        <v>320</v>
      </c>
      <c r="C62" s="1">
        <v>304</v>
      </c>
      <c r="D62" s="1">
        <v>328</v>
      </c>
      <c r="E62" s="1">
        <v>378</v>
      </c>
    </row>
    <row r="63" spans="1:5">
      <c r="A63" s="241" t="s">
        <v>234</v>
      </c>
      <c r="B63" s="1">
        <v>45</v>
      </c>
      <c r="C63" s="1">
        <v>30</v>
      </c>
      <c r="D63" s="1">
        <v>47</v>
      </c>
      <c r="E63" s="1">
        <v>0</v>
      </c>
    </row>
    <row r="64" spans="1:5">
      <c r="A64" s="241" t="s">
        <v>235</v>
      </c>
      <c r="B64" s="1">
        <v>0</v>
      </c>
      <c r="C64" s="1">
        <v>0</v>
      </c>
      <c r="D64" s="1">
        <v>0</v>
      </c>
      <c r="E64" s="1">
        <v>0</v>
      </c>
    </row>
    <row r="65" spans="1:5">
      <c r="A65" s="241" t="s">
        <v>236</v>
      </c>
      <c r="B65" s="1">
        <v>127</v>
      </c>
      <c r="C65" s="1">
        <v>100</v>
      </c>
      <c r="D65" s="1">
        <v>225</v>
      </c>
      <c r="E65" s="1">
        <v>207</v>
      </c>
    </row>
    <row r="66" spans="1:5">
      <c r="A66" s="241" t="s">
        <v>237</v>
      </c>
      <c r="B66" s="1">
        <v>80</v>
      </c>
      <c r="C66" s="1">
        <v>77</v>
      </c>
      <c r="D66" s="1">
        <v>100</v>
      </c>
      <c r="E66" s="1">
        <v>103</v>
      </c>
    </row>
    <row r="67" spans="1:5">
      <c r="A67" s="241" t="s">
        <v>238</v>
      </c>
      <c r="B67" s="1">
        <v>300</v>
      </c>
      <c r="C67" s="1">
        <v>230</v>
      </c>
      <c r="D67" s="1">
        <v>410</v>
      </c>
      <c r="E67" s="1">
        <v>230</v>
      </c>
    </row>
    <row r="68" spans="1:5">
      <c r="A68" s="241" t="s">
        <v>242</v>
      </c>
      <c r="B68" s="1">
        <v>0</v>
      </c>
      <c r="C68" s="1">
        <v>0</v>
      </c>
      <c r="D68" s="1">
        <v>0</v>
      </c>
      <c r="E68" s="1">
        <v>0</v>
      </c>
    </row>
    <row r="69" spans="1:5">
      <c r="A69" s="241" t="s">
        <v>240</v>
      </c>
      <c r="B69" s="1">
        <v>205</v>
      </c>
      <c r="C69" s="1">
        <v>335</v>
      </c>
      <c r="D69" s="1">
        <v>410</v>
      </c>
      <c r="E69" s="1">
        <v>404</v>
      </c>
    </row>
    <row r="70" spans="1:5">
      <c r="A70" s="241" t="s">
        <v>241</v>
      </c>
      <c r="B70" s="1">
        <v>40</v>
      </c>
      <c r="C70" s="1">
        <v>26</v>
      </c>
      <c r="D70" s="1">
        <v>44</v>
      </c>
      <c r="E70" s="1">
        <v>38</v>
      </c>
    </row>
    <row r="71" spans="1:5">
      <c r="A71" s="120" t="s">
        <v>243</v>
      </c>
      <c r="B71" s="1">
        <v>0</v>
      </c>
      <c r="C71" s="1">
        <v>0</v>
      </c>
      <c r="D71" s="1">
        <v>0</v>
      </c>
      <c r="E71" s="1">
        <v>0</v>
      </c>
    </row>
  </sheetData>
  <pageMargins left="0.7" right="0.7" top="0.75" bottom="0.75" header="0.3" footer="0.3"/>
  <pageSetup paperSize="9"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149C7-0FB7-47F4-8C6F-99D4B1127908}">
  <dimension ref="A1:D41"/>
  <sheetViews>
    <sheetView tabSelected="1" workbookViewId="0"/>
  </sheetViews>
  <sheetFormatPr defaultRowHeight="15"/>
  <cols>
    <col min="1" max="1" width="19" style="1" bestFit="1" customWidth="1"/>
    <col min="2" max="3" width="9.140625" style="1"/>
    <col min="4" max="4" width="21.7109375" style="1" bestFit="1" customWidth="1"/>
    <col min="5" max="16384" width="9.140625" style="1"/>
  </cols>
  <sheetData>
    <row r="1" spans="1:4" ht="15.75">
      <c r="A1" s="245" t="s">
        <v>31</v>
      </c>
      <c r="D1" s="246" t="s">
        <v>202</v>
      </c>
    </row>
    <row r="2" spans="1:4" ht="15.75">
      <c r="A2" s="247" t="s">
        <v>171</v>
      </c>
      <c r="B2" s="248"/>
      <c r="C2" s="248"/>
      <c r="D2" s="247" t="s">
        <v>203</v>
      </c>
    </row>
    <row r="3" spans="1:4" ht="15.75">
      <c r="A3" s="247" t="s">
        <v>172</v>
      </c>
      <c r="B3" s="248"/>
      <c r="C3" s="248"/>
      <c r="D3" s="247" t="s">
        <v>204</v>
      </c>
    </row>
    <row r="4" spans="1:4" ht="15.75">
      <c r="A4" s="247" t="s">
        <v>173</v>
      </c>
      <c r="B4" s="248"/>
      <c r="C4" s="248"/>
      <c r="D4" s="247" t="s">
        <v>205</v>
      </c>
    </row>
    <row r="5" spans="1:4" ht="15.75">
      <c r="A5" s="247" t="s">
        <v>174</v>
      </c>
      <c r="B5" s="248"/>
      <c r="C5" s="248"/>
      <c r="D5" s="247" t="s">
        <v>206</v>
      </c>
    </row>
    <row r="6" spans="1:4" ht="15.75">
      <c r="A6" s="247" t="s">
        <v>175</v>
      </c>
      <c r="B6" s="248"/>
      <c r="C6" s="248"/>
      <c r="D6" s="247" t="s">
        <v>207</v>
      </c>
    </row>
    <row r="7" spans="1:4" ht="15.75">
      <c r="A7" s="247" t="s">
        <v>176</v>
      </c>
      <c r="B7" s="248"/>
      <c r="C7" s="248"/>
      <c r="D7" s="247" t="s">
        <v>208</v>
      </c>
    </row>
    <row r="8" spans="1:4" ht="15.75">
      <c r="A8" s="247" t="s">
        <v>177</v>
      </c>
      <c r="B8" s="248"/>
      <c r="C8" s="248"/>
      <c r="D8" s="247" t="s">
        <v>209</v>
      </c>
    </row>
    <row r="9" spans="1:4" ht="15.75">
      <c r="A9" s="247" t="s">
        <v>178</v>
      </c>
      <c r="B9" s="248"/>
      <c r="C9" s="248"/>
      <c r="D9" s="247" t="s">
        <v>210</v>
      </c>
    </row>
    <row r="10" spans="1:4" ht="15.75">
      <c r="A10" s="247" t="s">
        <v>179</v>
      </c>
      <c r="B10" s="248"/>
      <c r="C10" s="248"/>
      <c r="D10" s="247" t="s">
        <v>211</v>
      </c>
    </row>
    <row r="11" spans="1:4" ht="15.75">
      <c r="A11" s="247" t="s">
        <v>180</v>
      </c>
      <c r="B11" s="248"/>
      <c r="C11" s="248"/>
      <c r="D11" s="247" t="s">
        <v>212</v>
      </c>
    </row>
    <row r="12" spans="1:4" ht="15.75">
      <c r="A12" s="247" t="s">
        <v>181</v>
      </c>
      <c r="B12" s="248"/>
      <c r="C12" s="248"/>
      <c r="D12" s="247" t="s">
        <v>213</v>
      </c>
    </row>
    <row r="13" spans="1:4" ht="15.75">
      <c r="A13" s="247" t="s">
        <v>182</v>
      </c>
      <c r="B13" s="248"/>
      <c r="C13" s="248"/>
      <c r="D13" s="247" t="s">
        <v>214</v>
      </c>
    </row>
    <row r="14" spans="1:4" ht="15.75">
      <c r="A14" s="247" t="s">
        <v>183</v>
      </c>
      <c r="B14" s="248"/>
      <c r="C14" s="248"/>
      <c r="D14" s="247" t="s">
        <v>215</v>
      </c>
    </row>
    <row r="15" spans="1:4" ht="15.75">
      <c r="A15" s="247" t="s">
        <v>184</v>
      </c>
      <c r="B15" s="248"/>
      <c r="C15" s="248"/>
      <c r="D15" s="247" t="s">
        <v>216</v>
      </c>
    </row>
    <row r="16" spans="1:4" ht="15.75">
      <c r="A16" s="247" t="s">
        <v>185</v>
      </c>
      <c r="B16" s="248"/>
      <c r="C16" s="248"/>
      <c r="D16" s="247" t="s">
        <v>217</v>
      </c>
    </row>
    <row r="17" spans="1:4" ht="15.75">
      <c r="A17" s="247" t="s">
        <v>186</v>
      </c>
      <c r="B17" s="248"/>
      <c r="C17" s="248"/>
      <c r="D17" s="247" t="s">
        <v>218</v>
      </c>
    </row>
    <row r="18" spans="1:4" ht="15.75">
      <c r="A18" s="247" t="s">
        <v>187</v>
      </c>
      <c r="B18" s="248"/>
      <c r="C18" s="248"/>
      <c r="D18" s="247" t="s">
        <v>221</v>
      </c>
    </row>
    <row r="19" spans="1:4" ht="15.75">
      <c r="A19" s="247" t="s">
        <v>188</v>
      </c>
      <c r="B19" s="248"/>
      <c r="C19" s="248"/>
      <c r="D19" s="247" t="s">
        <v>220</v>
      </c>
    </row>
    <row r="20" spans="1:4" ht="15.75">
      <c r="A20" s="247" t="s">
        <v>189</v>
      </c>
      <c r="B20" s="248"/>
      <c r="C20" s="248"/>
      <c r="D20" s="247" t="s">
        <v>222</v>
      </c>
    </row>
    <row r="21" spans="1:4" ht="15.75">
      <c r="A21" s="247" t="s">
        <v>190</v>
      </c>
      <c r="B21" s="248"/>
      <c r="C21" s="248"/>
      <c r="D21" s="247" t="s">
        <v>223</v>
      </c>
    </row>
    <row r="22" spans="1:4" ht="15.75">
      <c r="A22" s="247" t="s">
        <v>191</v>
      </c>
      <c r="B22" s="248"/>
      <c r="C22" s="248"/>
      <c r="D22" s="247" t="s">
        <v>219</v>
      </c>
    </row>
    <row r="23" spans="1:4" ht="15.75">
      <c r="A23" s="247" t="s">
        <v>192</v>
      </c>
      <c r="B23" s="248"/>
      <c r="C23" s="248"/>
      <c r="D23" s="247" t="s">
        <v>225</v>
      </c>
    </row>
    <row r="24" spans="1:4" ht="15.75">
      <c r="A24" s="247" t="s">
        <v>193</v>
      </c>
      <c r="B24" s="248"/>
      <c r="C24" s="248"/>
      <c r="D24" s="247" t="s">
        <v>226</v>
      </c>
    </row>
    <row r="25" spans="1:4" ht="15.75">
      <c r="A25" s="247" t="s">
        <v>194</v>
      </c>
      <c r="B25" s="248"/>
      <c r="C25" s="248"/>
      <c r="D25" s="247" t="s">
        <v>227</v>
      </c>
    </row>
    <row r="26" spans="1:4" ht="15.75">
      <c r="A26" s="247" t="s">
        <v>195</v>
      </c>
      <c r="B26" s="248"/>
      <c r="C26" s="248"/>
      <c r="D26" s="247" t="s">
        <v>228</v>
      </c>
    </row>
    <row r="27" spans="1:4" ht="15.75">
      <c r="A27" s="247" t="s">
        <v>196</v>
      </c>
      <c r="B27" s="248"/>
      <c r="C27" s="248"/>
      <c r="D27" s="247" t="s">
        <v>229</v>
      </c>
    </row>
    <row r="28" spans="1:4" ht="15.75">
      <c r="A28" s="247" t="s">
        <v>197</v>
      </c>
      <c r="B28" s="248"/>
      <c r="C28" s="248"/>
      <c r="D28" s="247" t="s">
        <v>230</v>
      </c>
    </row>
    <row r="29" spans="1:4" ht="15.75">
      <c r="A29" s="247" t="s">
        <v>198</v>
      </c>
      <c r="B29" s="248"/>
      <c r="C29" s="248"/>
      <c r="D29" s="247" t="s">
        <v>231</v>
      </c>
    </row>
    <row r="30" spans="1:4" ht="15.75">
      <c r="A30" s="247" t="s">
        <v>199</v>
      </c>
      <c r="B30" s="248"/>
      <c r="C30" s="248"/>
      <c r="D30" s="247" t="s">
        <v>232</v>
      </c>
    </row>
    <row r="31" spans="1:4" ht="15.75">
      <c r="A31" s="247" t="s">
        <v>200</v>
      </c>
      <c r="B31" s="248"/>
      <c r="C31" s="248"/>
      <c r="D31" s="247" t="s">
        <v>233</v>
      </c>
    </row>
    <row r="32" spans="1:4" ht="15.75">
      <c r="A32" s="247" t="s">
        <v>201</v>
      </c>
      <c r="B32" s="248"/>
      <c r="C32" s="248"/>
      <c r="D32" s="247" t="s">
        <v>234</v>
      </c>
    </row>
    <row r="33" spans="1:4" ht="15.75">
      <c r="A33" s="248"/>
      <c r="B33" s="248"/>
      <c r="C33" s="248"/>
      <c r="D33" s="247" t="s">
        <v>235</v>
      </c>
    </row>
    <row r="34" spans="1:4" ht="15.75">
      <c r="A34" s="248"/>
      <c r="B34" s="248"/>
      <c r="C34" s="248"/>
      <c r="D34" s="247" t="s">
        <v>236</v>
      </c>
    </row>
    <row r="35" spans="1:4" ht="15.75">
      <c r="A35" s="248"/>
      <c r="B35" s="248"/>
      <c r="C35" s="248"/>
      <c r="D35" s="247" t="s">
        <v>237</v>
      </c>
    </row>
    <row r="36" spans="1:4" ht="15.75">
      <c r="A36" s="248"/>
      <c r="B36" s="248"/>
      <c r="C36" s="248"/>
      <c r="D36" s="247" t="s">
        <v>238</v>
      </c>
    </row>
    <row r="37" spans="1:4" ht="15.75">
      <c r="D37" s="247" t="s">
        <v>242</v>
      </c>
    </row>
    <row r="38" spans="1:4" ht="15.75">
      <c r="D38" s="247" t="s">
        <v>240</v>
      </c>
    </row>
    <row r="39" spans="1:4" ht="15.75">
      <c r="D39" s="247" t="s">
        <v>241</v>
      </c>
    </row>
    <row r="40" spans="1:4" ht="15.75">
      <c r="D40" s="249" t="s">
        <v>243</v>
      </c>
    </row>
    <row r="41" spans="1:4" ht="15.75">
      <c r="D41" s="2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 2026</vt:lpstr>
      <vt:lpstr>FEBRUARY 2026</vt:lpstr>
      <vt:lpstr>MARCH 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gideon hamisi</cp:lastModifiedBy>
  <dcterms:created xsi:type="dcterms:W3CDTF">2026-01-12T08:24:00Z</dcterms:created>
  <dcterms:modified xsi:type="dcterms:W3CDTF">2026-04-06T13:46:02Z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6ACAD8416E9B436CBB78A01089940708_12</vt:lpwstr>
  </property>
  <property fmtid="{D5CDD505-2E9C-101B-9397-08002B2CF9AE}" pid="3" name="KSOProductBuildVer">
    <vt:lpwstr>2057-12.2.0.23196</vt:lpwstr>
  </property>
</Properties>
</file>